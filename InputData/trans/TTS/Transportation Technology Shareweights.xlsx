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40321071-2EEC-4284-A4D1-0B535CFAC78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I92" i="10"/>
  <c r="G92" i="10"/>
  <c r="J92" i="10" s="1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E18" i="6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I19" i="7" l="1"/>
  <c r="J19" i="7"/>
  <c r="K39" i="7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5" i="7" l="1"/>
  <c r="N35" i="7" s="1"/>
  <c r="Q35" i="7" s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AI22" i="7" s="1"/>
  <c r="P32" i="7"/>
  <c r="AH32" i="7" s="1"/>
  <c r="Q11" i="7"/>
  <c r="AI11" i="7" s="1"/>
  <c r="P31" i="7"/>
  <c r="AH31" i="7" s="1"/>
  <c r="Q50" i="7"/>
  <c r="AI50" i="7" s="1"/>
  <c r="O48" i="7"/>
  <c r="O31" i="7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31" i="7" l="1"/>
  <c r="T31" i="7" s="1"/>
  <c r="R36" i="7"/>
  <c r="W36" i="7" s="1"/>
  <c r="R44" i="7"/>
  <c r="S44" i="7" s="1"/>
  <c r="R29" i="7"/>
  <c r="T29" i="7" s="1"/>
  <c r="R20" i="7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M42" i="10"/>
  <c r="E6" i="15" s="1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M90" i="10"/>
  <c r="M67" i="10"/>
  <c r="E3" i="19" s="1"/>
  <c r="M27" i="10"/>
  <c r="E5" i="13" s="1"/>
  <c r="R53" i="7"/>
  <c r="Y53" i="7" s="1"/>
  <c r="M23" i="10"/>
  <c r="E8" i="12" s="1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R42" i="7"/>
  <c r="S42" i="7" s="1"/>
  <c r="AG42" i="7"/>
  <c r="AH3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AI7" i="7"/>
  <c r="AG28" i="7"/>
  <c r="R28" i="7"/>
  <c r="S28" i="7" s="1"/>
  <c r="AI45" i="7"/>
  <c r="AI13" i="7"/>
  <c r="AG13" i="7"/>
  <c r="R13" i="7"/>
  <c r="S13" i="7" s="1"/>
  <c r="AG37" i="7"/>
  <c r="R37" i="7"/>
  <c r="U37" i="7" s="1"/>
  <c r="AI38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AH23" i="7"/>
  <c r="AH27" i="7"/>
  <c r="AH51" i="7"/>
  <c r="R45" i="7"/>
  <c r="U45" i="7" s="1"/>
  <c r="AG45" i="7"/>
  <c r="AI39" i="7"/>
  <c r="AH37" i="7"/>
  <c r="AI27" i="7"/>
  <c r="U29" i="7" l="1"/>
  <c r="X31" i="7"/>
  <c r="Y31" i="7"/>
  <c r="U44" i="7"/>
  <c r="X44" i="7"/>
  <c r="X36" i="7"/>
  <c r="Y44" i="7"/>
  <c r="Y36" i="7"/>
  <c r="V44" i="7"/>
  <c r="V36" i="7"/>
  <c r="U36" i="7"/>
  <c r="S36" i="7"/>
  <c r="Z36" i="7" s="1"/>
  <c r="T44" i="7"/>
  <c r="U31" i="7"/>
  <c r="V31" i="7"/>
  <c r="W44" i="7"/>
  <c r="S31" i="7"/>
  <c r="T36" i="7"/>
  <c r="W31" i="7"/>
  <c r="X10" i="7"/>
  <c r="S10" i="7"/>
  <c r="W10" i="7"/>
  <c r="S29" i="7"/>
  <c r="W29" i="7"/>
  <c r="X29" i="7"/>
  <c r="V29" i="7"/>
  <c r="Y29" i="7"/>
  <c r="Y34" i="7"/>
  <c r="V34" i="7"/>
  <c r="X34" i="7"/>
  <c r="W34" i="7"/>
  <c r="U6" i="7"/>
  <c r="S37" i="7"/>
  <c r="V10" i="7"/>
  <c r="Y10" i="7"/>
  <c r="T10" i="7"/>
  <c r="T20" i="7"/>
  <c r="U42" i="7"/>
  <c r="W20" i="7"/>
  <c r="X20" i="7"/>
  <c r="Y20" i="7"/>
  <c r="V20" i="7"/>
  <c r="S20" i="7"/>
  <c r="T47" i="7"/>
  <c r="U34" i="7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T6" i="7"/>
  <c r="X6" i="7"/>
  <c r="S18" i="7"/>
  <c r="V6" i="7"/>
  <c r="T17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U51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AJ17" i="7"/>
  <c r="S51" i="7"/>
  <c r="Z31" i="7" l="1"/>
  <c r="AA36" i="7"/>
  <c r="AB36" i="7"/>
  <c r="AC36" i="7" s="1"/>
  <c r="AD36" i="7" s="1"/>
  <c r="AA44" i="7"/>
  <c r="Z29" i="7"/>
  <c r="AA31" i="7"/>
  <c r="AB44" i="7"/>
  <c r="AB31" i="7"/>
  <c r="Z44" i="7"/>
  <c r="Z10" i="7"/>
  <c r="AB29" i="7"/>
  <c r="AA29" i="7"/>
  <c r="AA34" i="7"/>
  <c r="AB10" i="7"/>
  <c r="Z34" i="7"/>
  <c r="AB20" i="7"/>
  <c r="AB34" i="7"/>
  <c r="AA20" i="7"/>
  <c r="AA10" i="7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B30" i="7"/>
  <c r="AB41" i="7"/>
  <c r="Z35" i="7"/>
  <c r="AC15" i="7"/>
  <c r="AD15" i="7" s="1"/>
  <c r="AB45" i="7"/>
  <c r="AA35" i="7"/>
  <c r="AA39" i="7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 l="1"/>
  <c r="AC44" i="7"/>
  <c r="AD44" i="7" s="1"/>
  <c r="AC29" i="7"/>
  <c r="AD29" i="7" s="1"/>
  <c r="AC34" i="7"/>
  <c r="AD34" i="7" s="1"/>
  <c r="AC10" i="7"/>
  <c r="AD10" i="7" s="1"/>
  <c r="AO36" i="7"/>
  <c r="AC26" i="7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AX36" i="7" l="1"/>
  <c r="AY36" i="7" s="1"/>
  <c r="F14" i="10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V35" i="10"/>
  <c r="N6" i="14" s="1"/>
  <c r="V51" i="10"/>
  <c r="N8" i="16" s="1"/>
  <c r="V19" i="10"/>
  <c r="N4" i="12" s="1"/>
  <c r="V28" i="10" l="1"/>
  <c r="N6" i="13" s="1"/>
  <c r="V64" i="10"/>
  <c r="N7" i="18" s="1"/>
  <c r="N1" i="13"/>
  <c r="V34" i="10"/>
  <c r="N5" i="14" s="1"/>
  <c r="N1" i="20"/>
  <c r="V78" i="10"/>
  <c r="N7" i="20" s="1"/>
  <c r="V73" i="10"/>
  <c r="N2" i="20" s="1"/>
  <c r="V48" i="10"/>
  <c r="N5" i="16" s="1"/>
  <c r="V63" i="10"/>
  <c r="N6" i="18" s="1"/>
  <c r="V20" i="10"/>
  <c r="N5" i="12" s="1"/>
  <c r="V82" i="10"/>
  <c r="N4" i="21" s="1"/>
  <c r="V72" i="10"/>
  <c r="N8" i="19" s="1"/>
  <c r="W9" i="10"/>
  <c r="O1" i="20" s="1"/>
  <c r="V22" i="10"/>
  <c r="N7" i="12" s="1"/>
  <c r="V13" i="10"/>
  <c r="N5" i="11" s="1"/>
  <c r="V77" i="10"/>
  <c r="N6" i="20" s="1"/>
  <c r="V42" i="10"/>
  <c r="N6" i="15" s="1"/>
  <c r="V65" i="10"/>
  <c r="N8" i="18" s="1"/>
  <c r="V27" i="10"/>
  <c r="N5" i="13" s="1"/>
  <c r="V26" i="10"/>
  <c r="N4" i="13" s="1"/>
  <c r="V60" i="10"/>
  <c r="N3" i="18" s="1"/>
  <c r="V59" i="10"/>
  <c r="N2" i="18" s="1"/>
  <c r="V79" i="10"/>
  <c r="N8" i="20" s="1"/>
  <c r="V33" i="10"/>
  <c r="N4" i="14" s="1"/>
  <c r="V25" i="10"/>
  <c r="N3" i="13" s="1"/>
  <c r="V30" i="10"/>
  <c r="N8" i="13" s="1"/>
  <c r="V47" i="10"/>
  <c r="N4" i="16" s="1"/>
  <c r="V88" i="10"/>
  <c r="V75" i="10"/>
  <c r="N4" i="20" s="1"/>
  <c r="N1" i="12"/>
  <c r="V57" i="10"/>
  <c r="N7" i="17" s="1"/>
  <c r="V39" i="10"/>
  <c r="N3" i="15" s="1"/>
  <c r="V56" i="10"/>
  <c r="N6" i="17" s="1"/>
  <c r="V83" i="10"/>
  <c r="N5" i="21" s="1"/>
  <c r="V16" i="10"/>
  <c r="N8" i="11" s="1"/>
  <c r="N1" i="16"/>
  <c r="V15" i="10"/>
  <c r="N7" i="11" s="1"/>
  <c r="V23" i="10"/>
  <c r="N8" i="12" s="1"/>
  <c r="V74" i="10"/>
  <c r="N3" i="20" s="1"/>
  <c r="V86" i="10"/>
  <c r="N8" i="21" s="1"/>
  <c r="V91" i="10"/>
  <c r="N1" i="14"/>
  <c r="V85" i="10"/>
  <c r="N7" i="21" s="1"/>
  <c r="V41" i="10"/>
  <c r="N5" i="15" s="1"/>
  <c r="V54" i="10"/>
  <c r="N4" i="17" s="1"/>
  <c r="V11" i="10"/>
  <c r="N3" i="11" s="1"/>
  <c r="V45" i="10"/>
  <c r="N2" i="16" s="1"/>
  <c r="V76" i="10"/>
  <c r="N5" i="20" s="1"/>
  <c r="V52" i="10"/>
  <c r="N2" i="17" s="1"/>
  <c r="V69" i="10"/>
  <c r="N5" i="19" s="1"/>
  <c r="V87" i="10"/>
  <c r="V38" i="10"/>
  <c r="N2" i="15" s="1"/>
  <c r="V46" i="10"/>
  <c r="N3" i="16" s="1"/>
  <c r="V18" i="10"/>
  <c r="N3" i="12" s="1"/>
  <c r="V58" i="10"/>
  <c r="N8" i="17" s="1"/>
  <c r="V68" i="10"/>
  <c r="N4" i="19" s="1"/>
  <c r="V70" i="10"/>
  <c r="N6" i="19" s="1"/>
  <c r="V53" i="10"/>
  <c r="N3" i="17" s="1"/>
  <c r="V89" i="10"/>
  <c r="V62" i="10"/>
  <c r="N5" i="18" s="1"/>
  <c r="V50" i="10"/>
  <c r="N7" i="16" s="1"/>
  <c r="N1" i="22"/>
  <c r="V37" i="10"/>
  <c r="N8" i="14" s="1"/>
  <c r="V40" i="10"/>
  <c r="N4" i="15" s="1"/>
  <c r="N1" i="11"/>
  <c r="V81" i="10"/>
  <c r="N3" i="21" s="1"/>
  <c r="V49" i="10"/>
  <c r="N6" i="16" s="1"/>
  <c r="V43" i="10"/>
  <c r="N7" i="15" s="1"/>
  <c r="N1" i="15"/>
  <c r="V55" i="10"/>
  <c r="N5" i="17" s="1"/>
  <c r="V71" i="10"/>
  <c r="N7" i="19" s="1"/>
  <c r="V61" i="10"/>
  <c r="N4" i="18" s="1"/>
  <c r="N1" i="19"/>
  <c r="V90" i="10"/>
  <c r="V66" i="10"/>
  <c r="N2" i="19" s="1"/>
  <c r="V67" i="10"/>
  <c r="N3" i="19" s="1"/>
  <c r="N1" i="17"/>
  <c r="V92" i="10"/>
  <c r="V32" i="10"/>
  <c r="N3" i="14" s="1"/>
  <c r="V29" i="10"/>
  <c r="N7" i="13" s="1"/>
  <c r="N1" i="21"/>
  <c r="V12" i="10"/>
  <c r="N4" i="11" s="1"/>
  <c r="V36" i="10"/>
  <c r="N7" i="14" s="1"/>
  <c r="V93" i="10"/>
  <c r="V44" i="10"/>
  <c r="N8" i="15" s="1"/>
  <c r="W29" i="10" l="1"/>
  <c r="O7" i="13" s="1"/>
  <c r="O1" i="12"/>
  <c r="O1" i="17"/>
  <c r="O1" i="21"/>
  <c r="O1" i="19"/>
  <c r="O1" i="14"/>
  <c r="W71" i="10"/>
  <c r="O7" i="19" s="1"/>
  <c r="W41" i="10"/>
  <c r="O5" i="15" s="1"/>
  <c r="W85" i="10"/>
  <c r="O7" i="21" s="1"/>
  <c r="W15" i="10"/>
  <c r="O7" i="11" s="1"/>
  <c r="W82" i="10"/>
  <c r="O4" i="21" s="1"/>
  <c r="W69" i="10"/>
  <c r="O5" i="19" s="1"/>
  <c r="W43" i="10"/>
  <c r="O7" i="15" s="1"/>
  <c r="W72" i="10"/>
  <c r="O8" i="19" s="1"/>
  <c r="W46" i="10"/>
  <c r="O3" i="16" s="1"/>
  <c r="W25" i="10"/>
  <c r="O3" i="13" s="1"/>
  <c r="W61" i="10"/>
  <c r="O4" i="18" s="1"/>
  <c r="W50" i="10"/>
  <c r="O7" i="16" s="1"/>
  <c r="W91" i="10"/>
  <c r="W53" i="10"/>
  <c r="O3" i="17" s="1"/>
  <c r="W83" i="10"/>
  <c r="O5" i="21" s="1"/>
  <c r="W16" i="10"/>
  <c r="O8" i="11" s="1"/>
  <c r="W39" i="10"/>
  <c r="O3" i="15" s="1"/>
  <c r="W12" i="10"/>
  <c r="O4" i="11" s="1"/>
  <c r="W76" i="10"/>
  <c r="O5" i="20" s="1"/>
  <c r="W33" i="10"/>
  <c r="O4" i="14" s="1"/>
  <c r="W86" i="10"/>
  <c r="O8" i="21" s="1"/>
  <c r="W63" i="10"/>
  <c r="O6" i="18" s="1"/>
  <c r="W30" i="10"/>
  <c r="O8" i="13" s="1"/>
  <c r="X9" i="10"/>
  <c r="X29" i="10" s="1"/>
  <c r="P7" i="13" s="1"/>
  <c r="W79" i="10"/>
  <c r="O8" i="20" s="1"/>
  <c r="O1" i="16"/>
  <c r="W59" i="10"/>
  <c r="O2" i="18" s="1"/>
  <c r="W45" i="10"/>
  <c r="O2" i="16" s="1"/>
  <c r="W68" i="10"/>
  <c r="O4" i="19" s="1"/>
  <c r="W64" i="10"/>
  <c r="O7" i="18" s="1"/>
  <c r="W18" i="10"/>
  <c r="O3" i="12" s="1"/>
  <c r="W67" i="10"/>
  <c r="O3" i="19" s="1"/>
  <c r="O1" i="11"/>
  <c r="W20" i="10"/>
  <c r="O5" i="12" s="1"/>
  <c r="W66" i="10"/>
  <c r="O2" i="19" s="1"/>
  <c r="W57" i="10"/>
  <c r="O7" i="17" s="1"/>
  <c r="W90" i="10"/>
  <c r="W62" i="10"/>
  <c r="O5" i="18" s="1"/>
  <c r="W37" i="10"/>
  <c r="O8" i="14" s="1"/>
  <c r="W40" i="10"/>
  <c r="O4" i="15" s="1"/>
  <c r="W93" i="10"/>
  <c r="W23" i="10"/>
  <c r="O8" i="12" s="1"/>
  <c r="W34" i="10"/>
  <c r="O5" i="14" s="1"/>
  <c r="W87" i="10"/>
  <c r="W65" i="10"/>
  <c r="O8" i="18" s="1"/>
  <c r="W28" i="10"/>
  <c r="O6" i="13" s="1"/>
  <c r="O1" i="13"/>
  <c r="W44" i="10"/>
  <c r="O8" i="15" s="1"/>
  <c r="W81" i="10"/>
  <c r="O3" i="21" s="1"/>
  <c r="W19" i="10"/>
  <c r="O4" i="12" s="1"/>
  <c r="W75" i="10"/>
  <c r="O4" i="20" s="1"/>
  <c r="W36" i="10"/>
  <c r="O7" i="14" s="1"/>
  <c r="W42" i="10"/>
  <c r="O6" i="15" s="1"/>
  <c r="W51" i="10"/>
  <c r="O8" i="16" s="1"/>
  <c r="W60" i="10"/>
  <c r="O3" i="18" s="1"/>
  <c r="O1" i="22"/>
  <c r="W49" i="10"/>
  <c r="O6" i="16" s="1"/>
  <c r="W27" i="10"/>
  <c r="O5" i="13" s="1"/>
  <c r="O1" i="18"/>
  <c r="W13" i="10"/>
  <c r="O5" i="11" s="1"/>
  <c r="W77" i="10"/>
  <c r="O6" i="20" s="1"/>
  <c r="W11" i="10"/>
  <c r="O3" i="11" s="1"/>
  <c r="W26" i="10"/>
  <c r="O4" i="13" s="1"/>
  <c r="W73" i="10"/>
  <c r="O2" i="20" s="1"/>
  <c r="W55" i="10"/>
  <c r="O5" i="17" s="1"/>
  <c r="W35" i="10"/>
  <c r="O6" i="14" s="1"/>
  <c r="W88" i="10"/>
  <c r="W89" i="10"/>
  <c r="W22" i="10"/>
  <c r="O7" i="12" s="1"/>
  <c r="W74" i="10"/>
  <c r="O3" i="20" s="1"/>
  <c r="W48" i="10"/>
  <c r="O5" i="16" s="1"/>
  <c r="W70" i="10"/>
  <c r="O6" i="19" s="1"/>
  <c r="W92" i="10"/>
  <c r="W52" i="10"/>
  <c r="O2" i="17" s="1"/>
  <c r="W78" i="10"/>
  <c r="O7" i="20" s="1"/>
  <c r="W54" i="10"/>
  <c r="O4" i="17" s="1"/>
  <c r="W56" i="10"/>
  <c r="O6" i="17" s="1"/>
  <c r="W58" i="10"/>
  <c r="O8" i="17" s="1"/>
  <c r="O1" i="15"/>
  <c r="W38" i="10"/>
  <c r="O2" i="15" s="1"/>
  <c r="W32" i="10"/>
  <c r="O3" i="14" s="1"/>
  <c r="W47" i="10"/>
  <c r="O4" i="16" s="1"/>
  <c r="X41" i="10" l="1"/>
  <c r="P5" i="15" s="1"/>
  <c r="X70" i="10"/>
  <c r="P6" i="19" s="1"/>
  <c r="X25" i="10"/>
  <c r="P3" i="13" s="1"/>
  <c r="X23" i="10"/>
  <c r="P8" i="12" s="1"/>
  <c r="X58" i="10"/>
  <c r="P8" i="17" s="1"/>
  <c r="X27" i="10"/>
  <c r="P5" i="13" s="1"/>
  <c r="X66" i="10"/>
  <c r="P2" i="19" s="1"/>
  <c r="X51" i="10"/>
  <c r="P8" i="16" s="1"/>
  <c r="X48" i="10"/>
  <c r="P5" i="16" s="1"/>
  <c r="X85" i="10"/>
  <c r="P7" i="21" s="1"/>
  <c r="X39" i="10"/>
  <c r="P3" i="15" s="1"/>
  <c r="X87" i="10"/>
  <c r="X92" i="10"/>
  <c r="X18" i="10"/>
  <c r="P3" i="12" s="1"/>
  <c r="X63" i="10"/>
  <c r="P6" i="18" s="1"/>
  <c r="X56" i="10"/>
  <c r="P6" i="17" s="1"/>
  <c r="X65" i="10"/>
  <c r="P8" i="18" s="1"/>
  <c r="P1" i="17"/>
  <c r="X16" i="10"/>
  <c r="P8" i="11" s="1"/>
  <c r="X89" i="10"/>
  <c r="P1" i="15"/>
  <c r="X13" i="10"/>
  <c r="P5" i="11" s="1"/>
  <c r="X55" i="10"/>
  <c r="P5" i="17" s="1"/>
  <c r="P1" i="11"/>
  <c r="X53" i="10"/>
  <c r="P3" i="17" s="1"/>
  <c r="X83" i="10"/>
  <c r="P5" i="21" s="1"/>
  <c r="X11" i="10"/>
  <c r="P3" i="11" s="1"/>
  <c r="X52" i="10"/>
  <c r="P2" i="17" s="1"/>
  <c r="P1" i="21"/>
  <c r="X12" i="10"/>
  <c r="P4" i="11" s="1"/>
  <c r="X69" i="10"/>
  <c r="P5" i="19" s="1"/>
  <c r="X40" i="10"/>
  <c r="P4" i="15" s="1"/>
  <c r="X15" i="10"/>
  <c r="P7" i="11" s="1"/>
  <c r="X59" i="10"/>
  <c r="P2" i="18" s="1"/>
  <c r="X74" i="10"/>
  <c r="P3" i="20" s="1"/>
  <c r="X37" i="10"/>
  <c r="P8" i="14" s="1"/>
  <c r="X50" i="10"/>
  <c r="P7" i="16" s="1"/>
  <c r="X34" i="10"/>
  <c r="P5" i="14" s="1"/>
  <c r="X43" i="10"/>
  <c r="P7" i="15" s="1"/>
  <c r="X93" i="10"/>
  <c r="X38" i="10"/>
  <c r="P2" i="15" s="1"/>
  <c r="X79" i="10"/>
  <c r="P8" i="20" s="1"/>
  <c r="X77" i="10"/>
  <c r="P6" i="20" s="1"/>
  <c r="X61" i="10"/>
  <c r="P4" i="18" s="1"/>
  <c r="X73" i="10"/>
  <c r="P2" i="20" s="1"/>
  <c r="X20" i="10"/>
  <c r="P5" i="12" s="1"/>
  <c r="P1" i="18"/>
  <c r="X19" i="10"/>
  <c r="P4" i="12" s="1"/>
  <c r="X42" i="10"/>
  <c r="P6" i="15" s="1"/>
  <c r="X32" i="10"/>
  <c r="P3" i="14" s="1"/>
  <c r="X88" i="10"/>
  <c r="X64" i="10"/>
  <c r="P7" i="18" s="1"/>
  <c r="X76" i="10"/>
  <c r="P5" i="20" s="1"/>
  <c r="X71" i="10"/>
  <c r="P7" i="19" s="1"/>
  <c r="P1" i="13"/>
  <c r="X26" i="10"/>
  <c r="P4" i="13" s="1"/>
  <c r="X30" i="10"/>
  <c r="P8" i="13" s="1"/>
  <c r="P1" i="16"/>
  <c r="X90" i="10"/>
  <c r="P1" i="12"/>
  <c r="X45" i="10"/>
  <c r="P2" i="16" s="1"/>
  <c r="X62" i="10"/>
  <c r="P5" i="18" s="1"/>
  <c r="P1" i="20"/>
  <c r="X72" i="10"/>
  <c r="P8" i="19" s="1"/>
  <c r="X47" i="10"/>
  <c r="P4" i="16" s="1"/>
  <c r="X22" i="10"/>
  <c r="P7" i="12" s="1"/>
  <c r="X60" i="10"/>
  <c r="P3" i="18" s="1"/>
  <c r="X78" i="10"/>
  <c r="P7" i="20" s="1"/>
  <c r="X91" i="10"/>
  <c r="X67" i="10"/>
  <c r="P3" i="19" s="1"/>
  <c r="P1" i="19"/>
  <c r="X57" i="10"/>
  <c r="P7" i="17" s="1"/>
  <c r="X82" i="10"/>
  <c r="P4" i="21" s="1"/>
  <c r="Y9" i="10"/>
  <c r="Y89" i="10" s="1"/>
  <c r="X54" i="10"/>
  <c r="P4" i="17" s="1"/>
  <c r="P1" i="14"/>
  <c r="X46" i="10"/>
  <c r="P3" i="16" s="1"/>
  <c r="X44" i="10"/>
  <c r="P8" i="15" s="1"/>
  <c r="P1" i="22"/>
  <c r="X49" i="10"/>
  <c r="P6" i="16" s="1"/>
  <c r="X75" i="10"/>
  <c r="P4" i="20" s="1"/>
  <c r="X86" i="10"/>
  <c r="P8" i="21" s="1"/>
  <c r="X33" i="10"/>
  <c r="P4" i="14" s="1"/>
  <c r="X35" i="10"/>
  <c r="P6" i="14" s="1"/>
  <c r="X68" i="10"/>
  <c r="P4" i="19" s="1"/>
  <c r="X81" i="10"/>
  <c r="P3" i="21" s="1"/>
  <c r="X28" i="10"/>
  <c r="P6" i="13" s="1"/>
  <c r="X36" i="10"/>
  <c r="P7" i="14" s="1"/>
  <c r="Y72" i="10" l="1"/>
  <c r="Q8" i="19" s="1"/>
  <c r="Y28" i="10"/>
  <c r="Q6" i="13" s="1"/>
  <c r="Q1" i="22"/>
  <c r="Q1" i="17"/>
  <c r="Q1" i="21"/>
  <c r="Z9" i="10"/>
  <c r="R1" i="15" s="1"/>
  <c r="Y78" i="10"/>
  <c r="Q7" i="20" s="1"/>
  <c r="Y37" i="10"/>
  <c r="Q8" i="14" s="1"/>
  <c r="Y76" i="10"/>
  <c r="Q5" i="20" s="1"/>
  <c r="Y30" i="10"/>
  <c r="Q8" i="13" s="1"/>
  <c r="Y23" i="10"/>
  <c r="Q8" i="12" s="1"/>
  <c r="Y38" i="10"/>
  <c r="Q2" i="15" s="1"/>
  <c r="Y75" i="10"/>
  <c r="Q4" i="20" s="1"/>
  <c r="Y49" i="10"/>
  <c r="Q6" i="16" s="1"/>
  <c r="Q1" i="15"/>
  <c r="Y39" i="10"/>
  <c r="Q3" i="15" s="1"/>
  <c r="Y86" i="10"/>
  <c r="Q8" i="21" s="1"/>
  <c r="Y62" i="10"/>
  <c r="Q5" i="18" s="1"/>
  <c r="Y50" i="10"/>
  <c r="Q7" i="16" s="1"/>
  <c r="Y85" i="10"/>
  <c r="Q7" i="21" s="1"/>
  <c r="Y91" i="10"/>
  <c r="Y27" i="10"/>
  <c r="Q5" i="13" s="1"/>
  <c r="Y33" i="10"/>
  <c r="Q4" i="14" s="1"/>
  <c r="Y42" i="10"/>
  <c r="Q6" i="15" s="1"/>
  <c r="Y43" i="10"/>
  <c r="Q7" i="15" s="1"/>
  <c r="Y56" i="10"/>
  <c r="Q6" i="17" s="1"/>
  <c r="Q1" i="18"/>
  <c r="Y93" i="10"/>
  <c r="Y20" i="10"/>
  <c r="Q5" i="12" s="1"/>
  <c r="Y47" i="10"/>
  <c r="Q4" i="16" s="1"/>
  <c r="Y22" i="10"/>
  <c r="Q7" i="12" s="1"/>
  <c r="Y25" i="10"/>
  <c r="Q3" i="13" s="1"/>
  <c r="Y74" i="10"/>
  <c r="Q3" i="20" s="1"/>
  <c r="Y12" i="10"/>
  <c r="Q4" i="11" s="1"/>
  <c r="Y29" i="10"/>
  <c r="Q7" i="13" s="1"/>
  <c r="Y77" i="10"/>
  <c r="Q6" i="20" s="1"/>
  <c r="Y15" i="10"/>
  <c r="Q7" i="11" s="1"/>
  <c r="Y48" i="10"/>
  <c r="Q5" i="16" s="1"/>
  <c r="Y11" i="10"/>
  <c r="Q3" i="11" s="1"/>
  <c r="Y34" i="10"/>
  <c r="Q5" i="14" s="1"/>
  <c r="Y13" i="10"/>
  <c r="Q5" i="11" s="1"/>
  <c r="Y55" i="10"/>
  <c r="Q5" i="17" s="1"/>
  <c r="Y66" i="10"/>
  <c r="Q2" i="19" s="1"/>
  <c r="Y88" i="10"/>
  <c r="Y59" i="10"/>
  <c r="Q2" i="18" s="1"/>
  <c r="Y92" i="10"/>
  <c r="Y61" i="10"/>
  <c r="Q4" i="18" s="1"/>
  <c r="Y79" i="10"/>
  <c r="Q8" i="20" s="1"/>
  <c r="Y26" i="10"/>
  <c r="Q4" i="13" s="1"/>
  <c r="Y32" i="10"/>
  <c r="Q3" i="14" s="1"/>
  <c r="Y60" i="10"/>
  <c r="Q3" i="18" s="1"/>
  <c r="Y36" i="10"/>
  <c r="Q7" i="14" s="1"/>
  <c r="Y54" i="10"/>
  <c r="Q4" i="17" s="1"/>
  <c r="Q1" i="14"/>
  <c r="Q1" i="12"/>
  <c r="Y68" i="10"/>
  <c r="Q4" i="19" s="1"/>
  <c r="Y81" i="10"/>
  <c r="Q3" i="21" s="1"/>
  <c r="Q1" i="19"/>
  <c r="Y63" i="10"/>
  <c r="Q6" i="18" s="1"/>
  <c r="Y16" i="10"/>
  <c r="Q8" i="11" s="1"/>
  <c r="Y70" i="10"/>
  <c r="Q6" i="19" s="1"/>
  <c r="Y19" i="10"/>
  <c r="Q4" i="12" s="1"/>
  <c r="Y45" i="10"/>
  <c r="Q2" i="16" s="1"/>
  <c r="Y52" i="10"/>
  <c r="Q2" i="17" s="1"/>
  <c r="Q1" i="16"/>
  <c r="Y40" i="10"/>
  <c r="Q4" i="15" s="1"/>
  <c r="Y41" i="10"/>
  <c r="Q5" i="15" s="1"/>
  <c r="Y64" i="10"/>
  <c r="Q7" i="18" s="1"/>
  <c r="Y65" i="10"/>
  <c r="Q8" i="18" s="1"/>
  <c r="Y73" i="10"/>
  <c r="Q2" i="20" s="1"/>
  <c r="Y90" i="10"/>
  <c r="Q1" i="20"/>
  <c r="Q1" i="13"/>
  <c r="Y87" i="10"/>
  <c r="Y44" i="10"/>
  <c r="Q8" i="15" s="1"/>
  <c r="Y35" i="10"/>
  <c r="Q6" i="14" s="1"/>
  <c r="Y83" i="10"/>
  <c r="Q5" i="21" s="1"/>
  <c r="Y18" i="10"/>
  <c r="Q3" i="12" s="1"/>
  <c r="Y58" i="10"/>
  <c r="Q8" i="17" s="1"/>
  <c r="Y67" i="10"/>
  <c r="Q3" i="19" s="1"/>
  <c r="Y82" i="10"/>
  <c r="Q4" i="21" s="1"/>
  <c r="Q1" i="11"/>
  <c r="Y51" i="10"/>
  <c r="Q8" i="16" s="1"/>
  <c r="Y53" i="10"/>
  <c r="Q3" i="17" s="1"/>
  <c r="Y69" i="10"/>
  <c r="Q5" i="19" s="1"/>
  <c r="Y71" i="10"/>
  <c r="Q7" i="19" s="1"/>
  <c r="Y57" i="10"/>
  <c r="Q7" i="17" s="1"/>
  <c r="Y46" i="10"/>
  <c r="Q3" i="16" s="1"/>
  <c r="R1" i="12"/>
  <c r="Z89" i="10"/>
  <c r="Z29" i="10"/>
  <c r="R7" i="13" s="1"/>
  <c r="R1" i="18"/>
  <c r="AA9" i="10"/>
  <c r="Z70" i="10"/>
  <c r="R6" i="19" s="1"/>
  <c r="Z61" i="10"/>
  <c r="R4" i="18" s="1"/>
  <c r="Z48" i="10"/>
  <c r="R5" i="16" s="1"/>
  <c r="Z51" i="10"/>
  <c r="R8" i="16" s="1"/>
  <c r="Z18" i="10"/>
  <c r="R3" i="12" s="1"/>
  <c r="Z40" i="10"/>
  <c r="R4" i="15" s="1"/>
  <c r="Z27" i="10"/>
  <c r="R5" i="13" s="1"/>
  <c r="Z49" i="10"/>
  <c r="R6" i="16" s="1"/>
  <c r="Z56" i="10"/>
  <c r="R6" i="17" s="1"/>
  <c r="Z43" i="10"/>
  <c r="R7" i="15" s="1"/>
  <c r="Z28" i="10"/>
  <c r="R6" i="13" s="1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93" i="10"/>
  <c r="Z39" i="10"/>
  <c r="R3" i="15" s="1"/>
  <c r="Z55" i="10"/>
  <c r="R5" i="17" s="1"/>
  <c r="Z11" i="10"/>
  <c r="R3" i="11" s="1"/>
  <c r="Z13" i="10"/>
  <c r="R5" i="11" s="1"/>
  <c r="Z83" i="10"/>
  <c r="R5" i="21" s="1"/>
  <c r="Z12" i="10"/>
  <c r="R4" i="11" s="1"/>
  <c r="Z82" i="10"/>
  <c r="R4" i="21" s="1"/>
  <c r="Z86" i="10"/>
  <c r="R8" i="21" s="1"/>
  <c r="Z30" i="10" l="1"/>
  <c r="R8" i="13" s="1"/>
  <c r="R1" i="11"/>
  <c r="Z41" i="10"/>
  <c r="R5" i="15" s="1"/>
  <c r="R1" i="21"/>
  <c r="Z47" i="10"/>
  <c r="R4" i="16" s="1"/>
  <c r="Z81" i="10"/>
  <c r="R3" i="21" s="1"/>
  <c r="Z69" i="10"/>
  <c r="R5" i="19" s="1"/>
  <c r="Z57" i="10"/>
  <c r="R7" i="17" s="1"/>
  <c r="Z85" i="10"/>
  <c r="R7" i="21" s="1"/>
  <c r="Z38" i="10"/>
  <c r="R2" i="15" s="1"/>
  <c r="Z88" i="10"/>
  <c r="Z92" i="10"/>
  <c r="Z15" i="10"/>
  <c r="R7" i="11" s="1"/>
  <c r="Z54" i="10"/>
  <c r="R4" i="17" s="1"/>
  <c r="Z16" i="10"/>
  <c r="R8" i="11" s="1"/>
  <c r="Z22" i="10"/>
  <c r="R7" i="12" s="1"/>
  <c r="Z53" i="10"/>
  <c r="R3" i="17" s="1"/>
  <c r="Z64" i="10"/>
  <c r="R7" i="18" s="1"/>
  <c r="Z46" i="10"/>
  <c r="R3" i="16" s="1"/>
  <c r="Z73" i="10"/>
  <c r="R2" i="20" s="1"/>
  <c r="Z32" i="10"/>
  <c r="R3" i="14" s="1"/>
  <c r="Z77" i="10"/>
  <c r="R6" i="20" s="1"/>
  <c r="Z33" i="10"/>
  <c r="R4" i="14" s="1"/>
  <c r="R1" i="13"/>
  <c r="Z65" i="10"/>
  <c r="R8" i="18" s="1"/>
  <c r="Z79" i="10"/>
  <c r="R8" i="20" s="1"/>
  <c r="Z87" i="10"/>
  <c r="Z37" i="10"/>
  <c r="R8" i="14" s="1"/>
  <c r="Z68" i="10"/>
  <c r="R4" i="19" s="1"/>
  <c r="Z91" i="10"/>
  <c r="R1" i="14"/>
  <c r="Z52" i="10"/>
  <c r="R2" i="17" s="1"/>
  <c r="Z34" i="10"/>
  <c r="R5" i="14" s="1"/>
  <c r="Z19" i="10"/>
  <c r="R4" i="12" s="1"/>
  <c r="Z36" i="10"/>
  <c r="R7" i="14" s="1"/>
  <c r="Z35" i="10"/>
  <c r="R6" i="14" s="1"/>
  <c r="R1" i="20"/>
  <c r="Z74" i="10"/>
  <c r="R3" i="20" s="1"/>
  <c r="R1" i="22"/>
  <c r="Z20" i="10"/>
  <c r="R5" i="12" s="1"/>
  <c r="Z60" i="10"/>
  <c r="R3" i="18" s="1"/>
  <c r="R1" i="16"/>
  <c r="Z45" i="10"/>
  <c r="R2" i="16" s="1"/>
  <c r="Z23" i="10"/>
  <c r="R8" i="12" s="1"/>
  <c r="Z26" i="10"/>
  <c r="R4" i="13" s="1"/>
  <c r="Z78" i="10"/>
  <c r="R7" i="20" s="1"/>
  <c r="Z67" i="10"/>
  <c r="R3" i="19" s="1"/>
  <c r="R1" i="19"/>
  <c r="Z66" i="10"/>
  <c r="R2" i="19" s="1"/>
  <c r="Z90" i="10"/>
  <c r="Z44" i="10"/>
  <c r="R8" i="15" s="1"/>
  <c r="R1" i="17"/>
  <c r="Z50" i="10"/>
  <c r="R7" i="16" s="1"/>
  <c r="Z42" i="10"/>
  <c r="R6" i="15" s="1"/>
  <c r="Z62" i="10"/>
  <c r="R5" i="18" s="1"/>
  <c r="S1" i="19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8" i="10" l="1"/>
  <c r="AH10" i="10" s="1"/>
  <c r="Z2" i="11" s="1"/>
  <c r="AH101" i="10"/>
  <c r="AH24" i="10" s="1"/>
  <c r="Z2" i="13" s="1"/>
  <c r="AH97" i="10"/>
  <c r="AH84" i="10" s="1"/>
  <c r="Z6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99" i="10"/>
  <c r="AH14" i="10" s="1"/>
  <c r="Z6" i="11" s="1"/>
  <c r="AH80" i="10" l="1"/>
  <c r="Z2" i="21" s="1"/>
  <c r="M10" i="10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<sst xmlns="http://schemas.openxmlformats.org/spreadsheetml/2006/main" count="1579" uniqueCount="340">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</sst>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130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WA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191400</v>
      </c>
      <c r="C2">
        <f>SUMIFS(SYVbT_all!$D$4:$D$291,SYVbT_all!$A$4:$A$291,About!$B$2,SYVbT_all!$B$4:$B$291,$A2)</f>
        <v>100</v>
      </c>
      <c r="D2">
        <f>SUMIFS(SYVbT_all!$E$4:$E$291,SYVbT_all!$A$4:$A$291,About!$B$2,SYVbT_all!$B$4:$B$291,$A2)</f>
        <v>6618340</v>
      </c>
      <c r="E2">
        <f>SUMIFS(SYVbT_all!$F$4:$F$291,SYVbT_all!$A$4:$A$291,About!$B$2,SYVbT_all!$B$4:$B$291,$A2)</f>
        <v>53781</v>
      </c>
      <c r="F2">
        <f>SUMIFS(SYVbT_all!$G$4:$G$291,SYVbT_all!$A$4:$A$291,About!$B$2,SYVbT_all!$B$4:$B$291,$A2)</f>
        <v>48500</v>
      </c>
      <c r="G2">
        <f>SUMIFS(SYVbT_all!$H$4:$H$291,SYVbT_all!$A$4:$A$291,About!$B$2,SYVbT_all!$B$4:$B$291,$A2)</f>
        <v>100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7</v>
      </c>
      <c r="C3">
        <f>SUMIFS(SYVbT_all!$D$4:$D$291,SYVbT_all!$A$4:$A$291,About!$B$2,SYVbT_all!$B$4:$B$291,$A3)</f>
        <v>2884</v>
      </c>
      <c r="D3">
        <f>SUMIFS(SYVbT_all!$E$4:$E$291,SYVbT_all!$A$4:$A$291,About!$B$2,SYVbT_all!$B$4:$B$291,$A3)</f>
        <v>2270</v>
      </c>
      <c r="E3">
        <f>SUMIFS(SYVbT_all!$F$4:$F$291,SYVbT_all!$A$4:$A$291,About!$B$2,SYVbT_all!$B$4:$B$291,$A3)</f>
        <v>18033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1057</v>
      </c>
      <c r="H3">
        <f>SUMIFS(SYVbT_all!$I$4:$I$291,SYVbT_all!$A$4:$A$291,About!$B$2,SYVbT_all!$B$4:$B$291,$A3)</f>
        <v>4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213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36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2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212820</v>
      </c>
      <c r="E6">
        <f>SUMIFS(SYVbT_all!$F$4:$F$291,SYVbT_all!$A$4:$A$291,About!$B$2,SYVbT_all!$B$4:$B$291,$A6)</f>
        <v>51881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200298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1</v>
      </c>
      <c r="F10">
        <v>1</v>
      </c>
      <c r="G10" t="str">
        <f>IF(E10=F10,"n/a",IF(OR(C10="battery electric vehicle",C10="natural gas vehicle",C10="plugin hybrid vehicle"),"s-curve","linear"))</f>
        <v>n/a</v>
      </c>
      <c r="I10">
        <f>D10</f>
        <v>0.18218700570900001</v>
      </c>
      <c r="J10" s="2">
        <f>$E10</f>
        <v>1</v>
      </c>
      <c r="K10" s="2">
        <f t="shared" ref="K10:AI10" si="1">IF($G10="s-curve",$E10+($F10-$E10)*K$98,TREND($E10:$F10,$E$9:$F$9,K$9))</f>
        <v>1</v>
      </c>
      <c r="L10" s="2">
        <f t="shared" si="1"/>
        <v>1</v>
      </c>
      <c r="M10" s="2">
        <f t="shared" si="1"/>
        <v>1</v>
      </c>
      <c r="N10" s="2">
        <f t="shared" si="1"/>
        <v>1</v>
      </c>
      <c r="O10" s="2">
        <f t="shared" si="1"/>
        <v>1</v>
      </c>
      <c r="P10" s="2">
        <f t="shared" si="1"/>
        <v>1</v>
      </c>
      <c r="Q10" s="2">
        <f t="shared" si="1"/>
        <v>1</v>
      </c>
      <c r="R10" s="2">
        <f t="shared" si="1"/>
        <v>1</v>
      </c>
      <c r="S10" s="2">
        <f t="shared" si="1"/>
        <v>1</v>
      </c>
      <c r="T10" s="2">
        <f t="shared" si="1"/>
        <v>1</v>
      </c>
      <c r="U10" s="2">
        <f t="shared" si="1"/>
        <v>1</v>
      </c>
      <c r="V10" s="2">
        <f t="shared" si="1"/>
        <v>1</v>
      </c>
      <c r="W10" s="2">
        <f t="shared" si="1"/>
        <v>1</v>
      </c>
      <c r="X10" s="2">
        <f t="shared" si="1"/>
        <v>1</v>
      </c>
      <c r="Y10" s="2">
        <f t="shared" si="1"/>
        <v>1</v>
      </c>
      <c r="Z10" s="2">
        <f t="shared" si="1"/>
        <v>1</v>
      </c>
      <c r="AA10" s="2">
        <f t="shared" si="1"/>
        <v>1</v>
      </c>
      <c r="AB10" s="2">
        <f t="shared" si="1"/>
        <v>1</v>
      </c>
      <c r="AC10" s="2">
        <f t="shared" si="1"/>
        <v>1</v>
      </c>
      <c r="AD10" s="2">
        <f t="shared" si="1"/>
        <v>1</v>
      </c>
      <c r="AE10" s="2">
        <f t="shared" si="1"/>
        <v>1</v>
      </c>
      <c r="AF10" s="2">
        <f t="shared" si="1"/>
        <v>1</v>
      </c>
      <c r="AG10" s="2">
        <f t="shared" si="1"/>
        <v>1</v>
      </c>
      <c r="AH10" s="2">
        <f t="shared" si="1"/>
        <v>1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9.4144946773165697E-5</v>
      </c>
      <c r="F11">
        <f>E11</f>
        <v>9.4144946773165697E-5</v>
      </c>
      <c r="G11" t="str">
        <f>IF(E11=F11,"n/a",IF(OR(C11="battery electric vehicle",C11="natural gas vehicle",C11="plugin hybrid vehicle"),"s-curve","linear"))</f>
        <v>n/a</v>
      </c>
      <c r="I11">
        <f>E11</f>
        <v>9.4144946773165697E-5</v>
      </c>
      <c r="J11">
        <f>IF($G11="s-curve",$E11+($F11-$E11)*$I$2/(1+EXP($I$3*(COUNT($I$9:J$9)+$I$4))),TREND($E11:$F11,$E$9:$F$9,J$9))</f>
        <v>9.4144946773165697E-5</v>
      </c>
      <c r="K11">
        <f>IF($G11="s-curve",$E11+($F11-$E11)*$I$2/(1+EXP($I$3*(COUNT($I$9:K$9)+$I$4))),TREND($E11:$F11,$E$9:$F$9,K$9))</f>
        <v>9.4144946773165697E-5</v>
      </c>
      <c r="L11">
        <f>IF($G11="s-curve",$E11+($F11-$E11)*$I$2/(1+EXP($I$3*(COUNT($I$9:L$9)+$I$4))),TREND($E11:$F11,$E$9:$F$9,L$9))</f>
        <v>9.4144946773165697E-5</v>
      </c>
      <c r="M11">
        <f>IF($G11="s-curve",$E11+($F11-$E11)*$I$2/(1+EXP($I$3*(COUNT($I$9:M$9)+$I$4))),TREND($E11:$F11,$E$9:$F$9,M$9))</f>
        <v>9.4144946773165697E-5</v>
      </c>
      <c r="N11">
        <f>IF($G11="s-curve",$E11+($F11-$E11)*$I$2/(1+EXP($I$3*(COUNT($I$9:N$9)+$I$4))),TREND($E11:$F11,$E$9:$F$9,N$9))</f>
        <v>9.4144946773165697E-5</v>
      </c>
      <c r="O11">
        <f>IF($G11="s-curve",$E11+($F11-$E11)*$I$2/(1+EXP($I$3*(COUNT($I$9:O$9)+$I$4))),TREND($E11:$F11,$E$9:$F$9,O$9))</f>
        <v>9.4144946773165697E-5</v>
      </c>
      <c r="P11">
        <f>IF($G11="s-curve",$E11+($F11-$E11)*$I$2/(1+EXP($I$3*(COUNT($I$9:P$9)+$I$4))),TREND($E11:$F11,$E$9:$F$9,P$9))</f>
        <v>9.4144946773165697E-5</v>
      </c>
      <c r="Q11">
        <f>IF($G11="s-curve",$E11+($F11-$E11)*$I$2/(1+EXP($I$3*(COUNT($I$9:Q$9)+$I$4))),TREND($E11:$F11,$E$9:$F$9,Q$9))</f>
        <v>9.4144946773165697E-5</v>
      </c>
      <c r="R11">
        <f>IF($G11="s-curve",$E11+($F11-$E11)*$I$2/(1+EXP($I$3*(COUNT($I$9:R$9)+$I$4))),TREND($E11:$F11,$E$9:$F$9,R$9))</f>
        <v>9.4144946773165697E-5</v>
      </c>
      <c r="S11">
        <f>IF($G11="s-curve",$E11+($F11-$E11)*$I$2/(1+EXP($I$3*(COUNT($I$9:S$9)+$I$4))),TREND($E11:$F11,$E$9:$F$9,S$9))</f>
        <v>9.4144946773165697E-5</v>
      </c>
      <c r="T11">
        <f>IF($G11="s-curve",$E11+($F11-$E11)*$I$2/(1+EXP($I$3*(COUNT($I$9:T$9)+$I$4))),TREND($E11:$F11,$E$9:$F$9,T$9))</f>
        <v>9.4144946773165697E-5</v>
      </c>
      <c r="U11">
        <f>IF($G11="s-curve",$E11+($F11-$E11)*$I$2/(1+EXP($I$3*(COUNT($I$9:U$9)+$I$4))),TREND($E11:$F11,$E$9:$F$9,U$9))</f>
        <v>9.4144946773165697E-5</v>
      </c>
      <c r="V11">
        <f>IF($G11="s-curve",$E11+($F11-$E11)*$I$2/(1+EXP($I$3*(COUNT($I$9:V$9)+$I$4))),TREND($E11:$F11,$E$9:$F$9,V$9))</f>
        <v>9.4144946773165697E-5</v>
      </c>
      <c r="W11">
        <f>IF($G11="s-curve",$E11+($F11-$E11)*$I$2/(1+EXP($I$3*(COUNT($I$9:W$9)+$I$4))),TREND($E11:$F11,$E$9:$F$9,W$9))</f>
        <v>9.4144946773165697E-5</v>
      </c>
      <c r="X11">
        <f>IF($G11="s-curve",$E11+($F11-$E11)*$I$2/(1+EXP($I$3*(COUNT($I$9:X$9)+$I$4))),TREND($E11:$F11,$E$9:$F$9,X$9))</f>
        <v>9.4144946773165697E-5</v>
      </c>
      <c r="Y11">
        <f>IF($G11="s-curve",$E11+($F11-$E11)*$I$2/(1+EXP($I$3*(COUNT($I$9:Y$9)+$I$4))),TREND($E11:$F11,$E$9:$F$9,Y$9))</f>
        <v>9.4144946773165697E-5</v>
      </c>
      <c r="Z11">
        <f>IF($G11="s-curve",$E11+($F11-$E11)*$I$2/(1+EXP($I$3*(COUNT($I$9:Z$9)+$I$4))),TREND($E11:$F11,$E$9:$F$9,Z$9))</f>
        <v>9.4144946773165697E-5</v>
      </c>
      <c r="AA11">
        <f>IF($G11="s-curve",$E11+($F11-$E11)*$I$2/(1+EXP($I$3*(COUNT($I$9:AA$9)+$I$4))),TREND($E11:$F11,$E$9:$F$9,AA$9))</f>
        <v>9.4144946773165697E-5</v>
      </c>
      <c r="AB11">
        <f>IF($G11="s-curve",$E11+($F11-$E11)*$I$2/(1+EXP($I$3*(COUNT($I$9:AB$9)+$I$4))),TREND($E11:$F11,$E$9:$F$9,AB$9))</f>
        <v>9.4144946773165697E-5</v>
      </c>
      <c r="AC11">
        <f>IF($G11="s-curve",$E11+($F11-$E11)*$I$2/(1+EXP($I$3*(COUNT($I$9:AC$9)+$I$4))),TREND($E11:$F11,$E$9:$F$9,AC$9))</f>
        <v>9.4144946773165697E-5</v>
      </c>
      <c r="AD11">
        <f>IF($G11="s-curve",$E11+($F11-$E11)*$I$2/(1+EXP($I$3*(COUNT($I$9:AD$9)+$I$4))),TREND($E11:$F11,$E$9:$F$9,AD$9))</f>
        <v>9.4144946773165697E-5</v>
      </c>
      <c r="AE11">
        <f>IF($G11="s-curve",$E11+($F11-$E11)*$I$2/(1+EXP($I$3*(COUNT($I$9:AE$9)+$I$4))),TREND($E11:$F11,$E$9:$F$9,AE$9))</f>
        <v>9.4144946773165697E-5</v>
      </c>
      <c r="AF11">
        <f>IF($G11="s-curve",$E11+($F11-$E11)*$I$2/(1+EXP($I$3*(COUNT($I$9:AF$9)+$I$4))),TREND($E11:$F11,$E$9:$F$9,AF$9))</f>
        <v>9.4144946773165697E-5</v>
      </c>
      <c r="AG11">
        <f>IF($G11="s-curve",$E11+($F11-$E11)*$I$2/(1+EXP($I$3*(COUNT($I$9:AG$9)+$I$4))),TREND($E11:$F11,$E$9:$F$9,AG$9))</f>
        <v>9.4144946773165697E-5</v>
      </c>
      <c r="AH11">
        <f>IF($G11="s-curve",$E11+($F11-$E11)*$I$2/(1+EXP($I$3*(COUNT($I$9:AH$9)+$I$4))),TREND($E11:$F11,$E$9:$F$9,AH$9))</f>
        <v>9.4144946773165697E-5</v>
      </c>
      <c r="AI11">
        <f>IF($G11="s-curve",$E11+($F11-$E11)*$I$2/(1+EXP($I$3*(COUNT($I$9:AI$9)+$I$4))),TREND($E11:$F11,$E$9:$F$9,AI$9))</f>
        <v>9.4144946773165697E-5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0.88206853659642326</v>
      </c>
      <c r="F12" s="2">
        <f>E12</f>
        <v>0.88206853659642326</v>
      </c>
      <c r="G12" t="str">
        <f>IF(E12=F12,"n/a",IF(OR(C12="battery electric vehicle",C12="natural gas vehicle",C12="plugin hybrid vehicle"),"s-curve","linear"))</f>
        <v>n/a</v>
      </c>
      <c r="I12">
        <f>E12</f>
        <v>0.88206853659642326</v>
      </c>
      <c r="J12">
        <f>IF($G12="s-curve",$E12+($F12-$E12)*$I$2/(1+EXP($I$3*(COUNT($I$9:J$9)+$I$4))),TREND($E12:$F12,$E$9:$F$9,J$9))</f>
        <v>0.88206853659642326</v>
      </c>
      <c r="K12">
        <f>IF($G12="s-curve",$E12+($F12-$E12)*$I$2/(1+EXP($I$3*(COUNT($I$9:K$9)+$I$4))),TREND($E12:$F12,$E$9:$F$9,K$9))</f>
        <v>0.88206853659642326</v>
      </c>
      <c r="L12">
        <f>IF($G12="s-curve",$E12+($F12-$E12)*$I$2/(1+EXP($I$3*(COUNT($I$9:L$9)+$I$4))),TREND($E12:$F12,$E$9:$F$9,L$9))</f>
        <v>0.88206853659642326</v>
      </c>
      <c r="M12">
        <f>IF($G12="s-curve",$E12+($F12-$E12)*$I$2/(1+EXP($I$3*(COUNT($I$9:M$9)+$I$4))),TREND($E12:$F12,$E$9:$F$9,M$9))</f>
        <v>0.88206853659642326</v>
      </c>
      <c r="N12">
        <f>IF($G12="s-curve",$E12+($F12-$E12)*$I$2/(1+EXP($I$3*(COUNT($I$9:N$9)+$I$4))),TREND($E12:$F12,$E$9:$F$9,N$9))</f>
        <v>0.88206853659642326</v>
      </c>
      <c r="O12">
        <f>IF($G12="s-curve",$E12+($F12-$E12)*$I$2/(1+EXP($I$3*(COUNT($I$9:O$9)+$I$4))),TREND($E12:$F12,$E$9:$F$9,O$9))</f>
        <v>0.88206853659642326</v>
      </c>
      <c r="P12">
        <f>IF($G12="s-curve",$E12+($F12-$E12)*$I$2/(1+EXP($I$3*(COUNT($I$9:P$9)+$I$4))),TREND($E12:$F12,$E$9:$F$9,P$9))</f>
        <v>0.88206853659642326</v>
      </c>
      <c r="Q12">
        <f>IF($G12="s-curve",$E12+($F12-$E12)*$I$2/(1+EXP($I$3*(COUNT($I$9:Q$9)+$I$4))),TREND($E12:$F12,$E$9:$F$9,Q$9))</f>
        <v>0.88206853659642326</v>
      </c>
      <c r="R12">
        <f>IF($G12="s-curve",$E12+($F12-$E12)*$I$2/(1+EXP($I$3*(COUNT($I$9:R$9)+$I$4))),TREND($E12:$F12,$E$9:$F$9,R$9))</f>
        <v>0.88206853659642326</v>
      </c>
      <c r="S12">
        <f>IF($G12="s-curve",$E12+($F12-$E12)*$I$2/(1+EXP($I$3*(COUNT($I$9:S$9)+$I$4))),TREND($E12:$F12,$E$9:$F$9,S$9))</f>
        <v>0.88206853659642326</v>
      </c>
      <c r="T12">
        <f>IF($G12="s-curve",$E12+($F12-$E12)*$I$2/(1+EXP($I$3*(COUNT($I$9:T$9)+$I$4))),TREND($E12:$F12,$E$9:$F$9,T$9))</f>
        <v>0.88206853659642326</v>
      </c>
      <c r="U12">
        <f>IF($G12="s-curve",$E12+($F12-$E12)*$I$2/(1+EXP($I$3*(COUNT($I$9:U$9)+$I$4))),TREND($E12:$F12,$E$9:$F$9,U$9))</f>
        <v>0.88206853659642326</v>
      </c>
      <c r="V12">
        <f>IF($G12="s-curve",$E12+($F12-$E12)*$I$2/(1+EXP($I$3*(COUNT($I$9:V$9)+$I$4))),TREND($E12:$F12,$E$9:$F$9,V$9))</f>
        <v>0.88206853659642326</v>
      </c>
      <c r="W12">
        <f>IF($G12="s-curve",$E12+($F12-$E12)*$I$2/(1+EXP($I$3*(COUNT($I$9:W$9)+$I$4))),TREND($E12:$F12,$E$9:$F$9,W$9))</f>
        <v>0.88206853659642326</v>
      </c>
      <c r="X12">
        <f>IF($G12="s-curve",$E12+($F12-$E12)*$I$2/(1+EXP($I$3*(COUNT($I$9:X$9)+$I$4))),TREND($E12:$F12,$E$9:$F$9,X$9))</f>
        <v>0.88206853659642326</v>
      </c>
      <c r="Y12">
        <f>IF($G12="s-curve",$E12+($F12-$E12)*$I$2/(1+EXP($I$3*(COUNT($I$9:Y$9)+$I$4))),TREND($E12:$F12,$E$9:$F$9,Y$9))</f>
        <v>0.88206853659642326</v>
      </c>
      <c r="Z12">
        <f>IF($G12="s-curve",$E12+($F12-$E12)*$I$2/(1+EXP($I$3*(COUNT($I$9:Z$9)+$I$4))),TREND($E12:$F12,$E$9:$F$9,Z$9))</f>
        <v>0.88206853659642326</v>
      </c>
      <c r="AA12">
        <f>IF($G12="s-curve",$E12+($F12-$E12)*$I$2/(1+EXP($I$3*(COUNT($I$9:AA$9)+$I$4))),TREND($E12:$F12,$E$9:$F$9,AA$9))</f>
        <v>0.88206853659642326</v>
      </c>
      <c r="AB12">
        <f>IF($G12="s-curve",$E12+($F12-$E12)*$I$2/(1+EXP($I$3*(COUNT($I$9:AB$9)+$I$4))),TREND($E12:$F12,$E$9:$F$9,AB$9))</f>
        <v>0.88206853659642326</v>
      </c>
      <c r="AC12">
        <f>IF($G12="s-curve",$E12+($F12-$E12)*$I$2/(1+EXP($I$3*(COUNT($I$9:AC$9)+$I$4))),TREND($E12:$F12,$E$9:$F$9,AC$9))</f>
        <v>0.88206853659642326</v>
      </c>
      <c r="AD12">
        <f>IF($G12="s-curve",$E12+($F12-$E12)*$I$2/(1+EXP($I$3*(COUNT($I$9:AD$9)+$I$4))),TREND($E12:$F12,$E$9:$F$9,AD$9))</f>
        <v>0.88206853659642326</v>
      </c>
      <c r="AE12">
        <f>IF($G12="s-curve",$E12+($F12-$E12)*$I$2/(1+EXP($I$3*(COUNT($I$9:AE$9)+$I$4))),TREND($E12:$F12,$E$9:$F$9,AE$9))</f>
        <v>0.88206853659642326</v>
      </c>
      <c r="AF12">
        <f>IF($G12="s-curve",$E12+($F12-$E12)*$I$2/(1+EXP($I$3*(COUNT($I$9:AF$9)+$I$4))),TREND($E12:$F12,$E$9:$F$9,AF$9))</f>
        <v>0.88206853659642326</v>
      </c>
      <c r="AG12">
        <f>IF($G12="s-curve",$E12+($F12-$E12)*$I$2/(1+EXP($I$3*(COUNT($I$9:AG$9)+$I$4))),TREND($E12:$F12,$E$9:$F$9,AG$9))</f>
        <v>0.88206853659642326</v>
      </c>
      <c r="AH12">
        <f>IF($G12="s-curve",$E12+($F12-$E12)*$I$2/(1+EXP($I$3*(COUNT($I$9:AH$9)+$I$4))),TREND($E12:$F12,$E$9:$F$9,AH$9))</f>
        <v>0.88206853659642326</v>
      </c>
      <c r="AI12">
        <f>IF($G12="s-curve",$E12+($F12-$E12)*$I$2/(1+EXP($I$3*(COUNT($I$9:AI$9)+$I$4))),TREND($E12:$F12,$E$9:$F$9,AI$9))</f>
        <v>0.88206853659642326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5.9926729438674088E-2</v>
      </c>
      <c r="F13">
        <f>E13</f>
        <v>5.9926729438674088E-2</v>
      </c>
      <c r="G13" t="str">
        <f>IF(E13=F13,"n/a",IF(OR(C13="battery electric vehicle",C13="natural gas vehicle",C13="plugin hybrid vehicle"),"s-curve","linear"))</f>
        <v>n/a</v>
      </c>
      <c r="I13">
        <f>E13</f>
        <v>5.9926729438674088E-2</v>
      </c>
      <c r="J13">
        <f>IF($G13="s-curve",$E13+($F13-$E13)*$I$2/(1+EXP($I$3*(COUNT($I$9:J$9)+$I$4))),TREND($E13:$F13,$E$9:$F$9,J$9))</f>
        <v>5.9926729438674088E-2</v>
      </c>
      <c r="K13">
        <f>IF($G13="s-curve",$E13+($F13-$E13)*$I$2/(1+EXP($I$3*(COUNT($I$9:K$9)+$I$4))),TREND($E13:$F13,$E$9:$F$9,K$9))</f>
        <v>5.9926729438674088E-2</v>
      </c>
      <c r="L13">
        <f>IF($G13="s-curve",$E13+($F13-$E13)*$I$2/(1+EXP($I$3*(COUNT($I$9:L$9)+$I$4))),TREND($E13:$F13,$E$9:$F$9,L$9))</f>
        <v>5.9926729438674088E-2</v>
      </c>
      <c r="M13">
        <f>IF($G13="s-curve",$E13+($F13-$E13)*$I$2/(1+EXP($I$3*(COUNT($I$9:M$9)+$I$4))),TREND($E13:$F13,$E$9:$F$9,M$9))</f>
        <v>5.9926729438674088E-2</v>
      </c>
      <c r="N13">
        <f>IF($G13="s-curve",$E13+($F13-$E13)*$I$2/(1+EXP($I$3*(COUNT($I$9:N$9)+$I$4))),TREND($E13:$F13,$E$9:$F$9,N$9))</f>
        <v>5.9926729438674088E-2</v>
      </c>
      <c r="O13">
        <f>IF($G13="s-curve",$E13+($F13-$E13)*$I$2/(1+EXP($I$3*(COUNT($I$9:O$9)+$I$4))),TREND($E13:$F13,$E$9:$F$9,O$9))</f>
        <v>5.9926729438674088E-2</v>
      </c>
      <c r="P13">
        <f>IF($G13="s-curve",$E13+($F13-$E13)*$I$2/(1+EXP($I$3*(COUNT($I$9:P$9)+$I$4))),TREND($E13:$F13,$E$9:$F$9,P$9))</f>
        <v>5.9926729438674088E-2</v>
      </c>
      <c r="Q13">
        <f>IF($G13="s-curve",$E13+($F13-$E13)*$I$2/(1+EXP($I$3*(COUNT($I$9:Q$9)+$I$4))),TREND($E13:$F13,$E$9:$F$9,Q$9))</f>
        <v>5.9926729438674088E-2</v>
      </c>
      <c r="R13">
        <f>IF($G13="s-curve",$E13+($F13-$E13)*$I$2/(1+EXP($I$3*(COUNT($I$9:R$9)+$I$4))),TREND($E13:$F13,$E$9:$F$9,R$9))</f>
        <v>5.9926729438674088E-2</v>
      </c>
      <c r="S13">
        <f>IF($G13="s-curve",$E13+($F13-$E13)*$I$2/(1+EXP($I$3*(COUNT($I$9:S$9)+$I$4))),TREND($E13:$F13,$E$9:$F$9,S$9))</f>
        <v>5.9926729438674088E-2</v>
      </c>
      <c r="T13">
        <f>IF($G13="s-curve",$E13+($F13-$E13)*$I$2/(1+EXP($I$3*(COUNT($I$9:T$9)+$I$4))),TREND($E13:$F13,$E$9:$F$9,T$9))</f>
        <v>5.9926729438674088E-2</v>
      </c>
      <c r="U13">
        <f>IF($G13="s-curve",$E13+($F13-$E13)*$I$2/(1+EXP($I$3*(COUNT($I$9:U$9)+$I$4))),TREND($E13:$F13,$E$9:$F$9,U$9))</f>
        <v>5.9926729438674088E-2</v>
      </c>
      <c r="V13">
        <f>IF($G13="s-curve",$E13+($F13-$E13)*$I$2/(1+EXP($I$3*(COUNT($I$9:V$9)+$I$4))),TREND($E13:$F13,$E$9:$F$9,V$9))</f>
        <v>5.9926729438674088E-2</v>
      </c>
      <c r="W13">
        <f>IF($G13="s-curve",$E13+($F13-$E13)*$I$2/(1+EXP($I$3*(COUNT($I$9:W$9)+$I$4))),TREND($E13:$F13,$E$9:$F$9,W$9))</f>
        <v>5.9926729438674088E-2</v>
      </c>
      <c r="X13">
        <f>IF($G13="s-curve",$E13+($F13-$E13)*$I$2/(1+EXP($I$3*(COUNT($I$9:X$9)+$I$4))),TREND($E13:$F13,$E$9:$F$9,X$9))</f>
        <v>5.9926729438674088E-2</v>
      </c>
      <c r="Y13">
        <f>IF($G13="s-curve",$E13+($F13-$E13)*$I$2/(1+EXP($I$3*(COUNT($I$9:Y$9)+$I$4))),TREND($E13:$F13,$E$9:$F$9,Y$9))</f>
        <v>5.9926729438674088E-2</v>
      </c>
      <c r="Z13">
        <f>IF($G13="s-curve",$E13+($F13-$E13)*$I$2/(1+EXP($I$3*(COUNT($I$9:Z$9)+$I$4))),TREND($E13:$F13,$E$9:$F$9,Z$9))</f>
        <v>5.9926729438674088E-2</v>
      </c>
      <c r="AA13">
        <f>IF($G13="s-curve",$E13+($F13-$E13)*$I$2/(1+EXP($I$3*(COUNT($I$9:AA$9)+$I$4))),TREND($E13:$F13,$E$9:$F$9,AA$9))</f>
        <v>5.9926729438674088E-2</v>
      </c>
      <c r="AB13">
        <f>IF($G13="s-curve",$E13+($F13-$E13)*$I$2/(1+EXP($I$3*(COUNT($I$9:AB$9)+$I$4))),TREND($E13:$F13,$E$9:$F$9,AB$9))</f>
        <v>5.9926729438674088E-2</v>
      </c>
      <c r="AC13">
        <f>IF($G13="s-curve",$E13+($F13-$E13)*$I$2/(1+EXP($I$3*(COUNT($I$9:AC$9)+$I$4))),TREND($E13:$F13,$E$9:$F$9,AC$9))</f>
        <v>5.9926729438674088E-2</v>
      </c>
      <c r="AD13">
        <f>IF($G13="s-curve",$E13+($F13-$E13)*$I$2/(1+EXP($I$3*(COUNT($I$9:AD$9)+$I$4))),TREND($E13:$F13,$E$9:$F$9,AD$9))</f>
        <v>5.9926729438674088E-2</v>
      </c>
      <c r="AE13">
        <f>IF($G13="s-curve",$E13+($F13-$E13)*$I$2/(1+EXP($I$3*(COUNT($I$9:AE$9)+$I$4))),TREND($E13:$F13,$E$9:$F$9,AE$9))</f>
        <v>5.9926729438674088E-2</v>
      </c>
      <c r="AF13">
        <f>IF($G13="s-curve",$E13+($F13-$E13)*$I$2/(1+EXP($I$3*(COUNT($I$9:AF$9)+$I$4))),TREND($E13:$F13,$E$9:$F$9,AF$9))</f>
        <v>5.9926729438674088E-2</v>
      </c>
      <c r="AG13">
        <f>IF($G13="s-curve",$E13+($F13-$E13)*$I$2/(1+EXP($I$3*(COUNT($I$9:AG$9)+$I$4))),TREND($E13:$F13,$E$9:$F$9,AG$9))</f>
        <v>5.9926729438674088E-2</v>
      </c>
      <c r="AH13">
        <f>IF($G13="s-curve",$E13+($F13-$E13)*$I$2/(1+EXP($I$3*(COUNT($I$9:AH$9)+$I$4))),TREND($E13:$F13,$E$9:$F$9,AH$9))</f>
        <v>5.9926729438674088E-2</v>
      </c>
      <c r="AI13">
        <f>IF($G13="s-curve",$E13+($F13-$E13)*$I$2/(1+EXP($I$3*(COUNT($I$9:AI$9)+$I$4))),TREND($E13:$F13,$E$9:$F$9,AI$9))</f>
        <v>5.9926729438674088E-2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5.114844737603641E-2</v>
      </c>
      <c r="F14" s="2">
        <f>E14/E10*F10</f>
        <v>5.114844737603641E-2</v>
      </c>
      <c r="G14" t="str">
        <f>IF(E14=F14,"n/a",IF(OR(C14="battery electric vehicle",C14="natural gas vehicle",C14="plugin hybrid vehicle",C14="hydrogen vehicle"),"s-curve","linear"))</f>
        <v>n/a</v>
      </c>
      <c r="I14">
        <f>D14</f>
        <v>1.6603971957400002E-2</v>
      </c>
      <c r="J14" s="2">
        <f>$E14</f>
        <v>5.114844737603641E-2</v>
      </c>
      <c r="K14" s="2">
        <f t="shared" ref="K14:AI14" si="2">IF($G14="s-curve",$E14+($F14-$E14)*K$99,TREND($E14:$F14,$E$9:$F$9,K$9))</f>
        <v>5.114844737603641E-2</v>
      </c>
      <c r="L14" s="2">
        <f t="shared" si="2"/>
        <v>5.114844737603641E-2</v>
      </c>
      <c r="M14" s="2">
        <f t="shared" si="2"/>
        <v>5.114844737603641E-2</v>
      </c>
      <c r="N14" s="2">
        <f t="shared" si="2"/>
        <v>5.114844737603641E-2</v>
      </c>
      <c r="O14" s="2">
        <f t="shared" si="2"/>
        <v>5.114844737603641E-2</v>
      </c>
      <c r="P14" s="2">
        <f t="shared" si="2"/>
        <v>5.114844737603641E-2</v>
      </c>
      <c r="Q14" s="2">
        <f t="shared" si="2"/>
        <v>5.114844737603641E-2</v>
      </c>
      <c r="R14" s="2">
        <f t="shared" si="2"/>
        <v>5.114844737603641E-2</v>
      </c>
      <c r="S14" s="2">
        <f t="shared" si="2"/>
        <v>5.114844737603641E-2</v>
      </c>
      <c r="T14" s="2">
        <f t="shared" si="2"/>
        <v>5.114844737603641E-2</v>
      </c>
      <c r="U14" s="2">
        <f t="shared" si="2"/>
        <v>5.114844737603641E-2</v>
      </c>
      <c r="V14" s="2">
        <f t="shared" si="2"/>
        <v>5.114844737603641E-2</v>
      </c>
      <c r="W14" s="2">
        <f t="shared" si="2"/>
        <v>5.114844737603641E-2</v>
      </c>
      <c r="X14" s="2">
        <f t="shared" si="2"/>
        <v>5.114844737603641E-2</v>
      </c>
      <c r="Y14" s="2">
        <f t="shared" si="2"/>
        <v>5.114844737603641E-2</v>
      </c>
      <c r="Z14" s="2">
        <f t="shared" si="2"/>
        <v>5.114844737603641E-2</v>
      </c>
      <c r="AA14" s="2">
        <f t="shared" si="2"/>
        <v>5.114844737603641E-2</v>
      </c>
      <c r="AB14" s="2">
        <f t="shared" si="2"/>
        <v>5.114844737603641E-2</v>
      </c>
      <c r="AC14" s="2">
        <f t="shared" si="2"/>
        <v>5.114844737603641E-2</v>
      </c>
      <c r="AD14" s="2">
        <f t="shared" si="2"/>
        <v>5.114844737603641E-2</v>
      </c>
      <c r="AE14" s="2">
        <f t="shared" si="2"/>
        <v>5.114844737603641E-2</v>
      </c>
      <c r="AF14" s="2">
        <f t="shared" si="2"/>
        <v>5.114844737603641E-2</v>
      </c>
      <c r="AG14" s="2">
        <f t="shared" si="2"/>
        <v>5.114844737603641E-2</v>
      </c>
      <c r="AH14" s="2">
        <f t="shared" si="2"/>
        <v>5.114844737603641E-2</v>
      </c>
      <c r="AI14" s="2">
        <f t="shared" si="2"/>
        <v>5.114844737603641E-2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7.9004456909400516E-4</v>
      </c>
      <c r="F16">
        <f>E16</f>
        <v>7.9004456909400516E-4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7.9004456909400516E-4</v>
      </c>
      <c r="J16">
        <f>IF($G16="s-curve",$E16+($F16-$E16)*$I$2/(1+EXP($I$3*(COUNT($I$9:J$9)+$I$4))),TREND($E16:$F16,$E$9:$F$9,J$9))</f>
        <v>7.9004456909400516E-4</v>
      </c>
      <c r="K16">
        <f>IF($G16="s-curve",$E16+($F16-$E16)*$I$2/(1+EXP($I$3*(COUNT($I$9:K$9)+$I$4))),TREND($E16:$F16,$E$9:$F$9,K$9))</f>
        <v>7.9004456909400516E-4</v>
      </c>
      <c r="L16">
        <f>IF($G16="s-curve",$E16+($F16-$E16)*$I$2/(1+EXP($I$3*(COUNT($I$9:L$9)+$I$4))),TREND($E16:$F16,$E$9:$F$9,L$9))</f>
        <v>7.9004456909400516E-4</v>
      </c>
      <c r="M16">
        <f>IF($G16="s-curve",$E16+($F16-$E16)*$I$2/(1+EXP($I$3*(COUNT($I$9:M$9)+$I$4))),TREND($E16:$F16,$E$9:$F$9,M$9))</f>
        <v>7.9004456909400516E-4</v>
      </c>
      <c r="N16">
        <f>IF($G16="s-curve",$E16+($F16-$E16)*$I$2/(1+EXP($I$3*(COUNT($I$9:N$9)+$I$4))),TREND($E16:$F16,$E$9:$F$9,N$9))</f>
        <v>7.9004456909400516E-4</v>
      </c>
      <c r="O16">
        <f>IF($G16="s-curve",$E16+($F16-$E16)*$I$2/(1+EXP($I$3*(COUNT($I$9:O$9)+$I$4))),TREND($E16:$F16,$E$9:$F$9,O$9))</f>
        <v>7.9004456909400516E-4</v>
      </c>
      <c r="P16">
        <f>IF($G16="s-curve",$E16+($F16-$E16)*$I$2/(1+EXP($I$3*(COUNT($I$9:P$9)+$I$4))),TREND($E16:$F16,$E$9:$F$9,P$9))</f>
        <v>7.9004456909400516E-4</v>
      </c>
      <c r="Q16">
        <f>IF($G16="s-curve",$E16+($F16-$E16)*$I$2/(1+EXP($I$3*(COUNT($I$9:Q$9)+$I$4))),TREND($E16:$F16,$E$9:$F$9,Q$9))</f>
        <v>7.9004456909400516E-4</v>
      </c>
      <c r="R16">
        <f>IF($G16="s-curve",$E16+($F16-$E16)*$I$2/(1+EXP($I$3*(COUNT($I$9:R$9)+$I$4))),TREND($E16:$F16,$E$9:$F$9,R$9))</f>
        <v>7.9004456909400516E-4</v>
      </c>
      <c r="S16">
        <f>IF($G16="s-curve",$E16+($F16-$E16)*$I$2/(1+EXP($I$3*(COUNT($I$9:S$9)+$I$4))),TREND($E16:$F16,$E$9:$F$9,S$9))</f>
        <v>7.9004456909400516E-4</v>
      </c>
      <c r="T16">
        <f>IF($G16="s-curve",$E16+($F16-$E16)*$I$2/(1+EXP($I$3*(COUNT($I$9:T$9)+$I$4))),TREND($E16:$F16,$E$9:$F$9,T$9))</f>
        <v>7.9004456909400516E-4</v>
      </c>
      <c r="U16">
        <f>IF($G16="s-curve",$E16+($F16-$E16)*$I$2/(1+EXP($I$3*(COUNT($I$9:U$9)+$I$4))),TREND($E16:$F16,$E$9:$F$9,U$9))</f>
        <v>7.9004456909400516E-4</v>
      </c>
      <c r="V16">
        <f>IF($G16="s-curve",$E16+($F16-$E16)*$I$2/(1+EXP($I$3*(COUNT($I$9:V$9)+$I$4))),TREND($E16:$F16,$E$9:$F$9,V$9))</f>
        <v>7.9004456909400516E-4</v>
      </c>
      <c r="W16">
        <f>IF($G16="s-curve",$E16+($F16-$E16)*$I$2/(1+EXP($I$3*(COUNT($I$9:W$9)+$I$4))),TREND($E16:$F16,$E$9:$F$9,W$9))</f>
        <v>7.9004456909400516E-4</v>
      </c>
      <c r="X16">
        <f>IF($G16="s-curve",$E16+($F16-$E16)*$I$2/(1+EXP($I$3*(COUNT($I$9:X$9)+$I$4))),TREND($E16:$F16,$E$9:$F$9,X$9))</f>
        <v>7.9004456909400516E-4</v>
      </c>
      <c r="Y16">
        <f>IF($G16="s-curve",$E16+($F16-$E16)*$I$2/(1+EXP($I$3*(COUNT($I$9:Y$9)+$I$4))),TREND($E16:$F16,$E$9:$F$9,Y$9))</f>
        <v>7.9004456909400516E-4</v>
      </c>
      <c r="Z16">
        <f>IF($G16="s-curve",$E16+($F16-$E16)*$I$2/(1+EXP($I$3*(COUNT($I$9:Z$9)+$I$4))),TREND($E16:$F16,$E$9:$F$9,Z$9))</f>
        <v>7.9004456909400516E-4</v>
      </c>
      <c r="AA16">
        <f>IF($G16="s-curve",$E16+($F16-$E16)*$I$2/(1+EXP($I$3*(COUNT($I$9:AA$9)+$I$4))),TREND($E16:$F16,$E$9:$F$9,AA$9))</f>
        <v>7.9004456909400516E-4</v>
      </c>
      <c r="AB16">
        <f>IF($G16="s-curve",$E16+($F16-$E16)*$I$2/(1+EXP($I$3*(COUNT($I$9:AB$9)+$I$4))),TREND($E16:$F16,$E$9:$F$9,AB$9))</f>
        <v>7.9004456909400516E-4</v>
      </c>
      <c r="AC16">
        <f>IF($G16="s-curve",$E16+($F16-$E16)*$I$2/(1+EXP($I$3*(COUNT($I$9:AC$9)+$I$4))),TREND($E16:$F16,$E$9:$F$9,AC$9))</f>
        <v>7.9004456909400516E-4</v>
      </c>
      <c r="AD16">
        <f>IF($G16="s-curve",$E16+($F16-$E16)*$I$2/(1+EXP($I$3*(COUNT($I$9:AD$9)+$I$4))),TREND($E16:$F16,$E$9:$F$9,AD$9))</f>
        <v>7.9004456909400516E-4</v>
      </c>
      <c r="AE16">
        <f>IF($G16="s-curve",$E16+($F16-$E16)*$I$2/(1+EXP($I$3*(COUNT($I$9:AE$9)+$I$4))),TREND($E16:$F16,$E$9:$F$9,AE$9))</f>
        <v>7.9004456909400516E-4</v>
      </c>
      <c r="AF16">
        <f>IF($G16="s-curve",$E16+($F16-$E16)*$I$2/(1+EXP($I$3*(COUNT($I$9:AF$9)+$I$4))),TREND($E16:$F16,$E$9:$F$9,AF$9))</f>
        <v>7.9004456909400516E-4</v>
      </c>
      <c r="AG16">
        <f>IF($G16="s-curve",$E16+($F16-$E16)*$I$2/(1+EXP($I$3*(COUNT($I$9:AG$9)+$I$4))),TREND($E16:$F16,$E$9:$F$9,AG$9))</f>
        <v>7.9004456909400516E-4</v>
      </c>
      <c r="AH16">
        <f>IF($G16="s-curve",$E16+($F16-$E16)*$I$2/(1+EXP($I$3*(COUNT($I$9:AH$9)+$I$4))),TREND($E16:$F16,$E$9:$F$9,AH$9))</f>
        <v>7.9004456909400516E-4</v>
      </c>
      <c r="AI16">
        <f>IF($G16="s-curve",$E16+($F16-$E16)*$I$2/(1+EXP($I$3*(COUNT($I$9:AI$9)+$I$4))),TREND($E16:$F16,$E$9:$F$9,AI$9))</f>
        <v>7.9004456909400516E-4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0.94736842105263153</v>
      </c>
      <c r="F52">
        <f>E52</f>
        <v>0.94736842105263153</v>
      </c>
      <c r="G52" t="s">
        <v>329</v>
      </c>
      <c r="I52">
        <f t="shared" si="10"/>
        <v>0.94736842105263153</v>
      </c>
      <c r="J52">
        <f>IF($G52="s-curve",$E52+($F52-$E52)*$I$2/(1+EXP($I$3*(COUNT($I$9:J$9)+$I$4))),TREND($E52:$F52,$E$9:$F$9,J$9))</f>
        <v>0.94736842105263153</v>
      </c>
      <c r="K52">
        <f>IF($G52="s-curve",$E52+($F52-$E52)*$I$2/(1+EXP($I$3*(COUNT($I$9:K$9)+$I$4))),TREND($E52:$F52,$E$9:$F$9,K$9))</f>
        <v>0.94736842105263153</v>
      </c>
      <c r="L52">
        <f>IF($G52="s-curve",$E52+($F52-$E52)*$I$2/(1+EXP($I$3*(COUNT($I$9:L$9)+$I$4))),TREND($E52:$F52,$E$9:$F$9,L$9))</f>
        <v>0.94736842105263153</v>
      </c>
      <c r="M52">
        <f>IF($G52="s-curve",$E52+($F52-$E52)*$I$2/(1+EXP($I$3*(COUNT($I$9:M$9)+$I$4))),TREND($E52:$F52,$E$9:$F$9,M$9))</f>
        <v>0.94736842105263153</v>
      </c>
      <c r="N52">
        <f>IF($G52="s-curve",$E52+($F52-$E52)*$I$2/(1+EXP($I$3*(COUNT($I$9:N$9)+$I$4))),TREND($E52:$F52,$E$9:$F$9,N$9))</f>
        <v>0.94736842105263153</v>
      </c>
      <c r="O52">
        <f>IF($G52="s-curve",$E52+($F52-$E52)*$I$2/(1+EXP($I$3*(COUNT($I$9:O$9)+$I$4))),TREND($E52:$F52,$E$9:$F$9,O$9))</f>
        <v>0.94736842105263153</v>
      </c>
      <c r="P52">
        <f>IF($G52="s-curve",$E52+($F52-$E52)*$I$2/(1+EXP($I$3*(COUNT($I$9:P$9)+$I$4))),TREND($E52:$F52,$E$9:$F$9,P$9))</f>
        <v>0.94736842105263153</v>
      </c>
      <c r="Q52">
        <f>IF($G52="s-curve",$E52+($F52-$E52)*$I$2/(1+EXP($I$3*(COUNT($I$9:Q$9)+$I$4))),TREND($E52:$F52,$E$9:$F$9,Q$9))</f>
        <v>0.94736842105263153</v>
      </c>
      <c r="R52">
        <f>IF($G52="s-curve",$E52+($F52-$E52)*$I$2/(1+EXP($I$3*(COUNT($I$9:R$9)+$I$4))),TREND($E52:$F52,$E$9:$F$9,R$9))</f>
        <v>0.94736842105263153</v>
      </c>
      <c r="S52">
        <f>IF($G52="s-curve",$E52+($F52-$E52)*$I$2/(1+EXP($I$3*(COUNT($I$9:S$9)+$I$4))),TREND($E52:$F52,$E$9:$F$9,S$9))</f>
        <v>0.94736842105263153</v>
      </c>
      <c r="T52">
        <f>IF($G52="s-curve",$E52+($F52-$E52)*$I$2/(1+EXP($I$3*(COUNT($I$9:T$9)+$I$4))),TREND($E52:$F52,$E$9:$F$9,T$9))</f>
        <v>0.94736842105263153</v>
      </c>
      <c r="U52">
        <f>IF($G52="s-curve",$E52+($F52-$E52)*$I$2/(1+EXP($I$3*(COUNT($I$9:U$9)+$I$4))),TREND($E52:$F52,$E$9:$F$9,U$9))</f>
        <v>0.94736842105263153</v>
      </c>
      <c r="V52">
        <f>IF($G52="s-curve",$E52+($F52-$E52)*$I$2/(1+EXP($I$3*(COUNT($I$9:V$9)+$I$4))),TREND($E52:$F52,$E$9:$F$9,V$9))</f>
        <v>0.94736842105263153</v>
      </c>
      <c r="W52">
        <f>IF($G52="s-curve",$E52+($F52-$E52)*$I$2/(1+EXP($I$3*(COUNT($I$9:W$9)+$I$4))),TREND($E52:$F52,$E$9:$F$9,W$9))</f>
        <v>0.94736842105263153</v>
      </c>
      <c r="X52">
        <f>IF($G52="s-curve",$E52+($F52-$E52)*$I$2/(1+EXP($I$3*(COUNT($I$9:X$9)+$I$4))),TREND($E52:$F52,$E$9:$F$9,X$9))</f>
        <v>0.94736842105263153</v>
      </c>
      <c r="Y52">
        <f>IF($G52="s-curve",$E52+($F52-$E52)*$I$2/(1+EXP($I$3*(COUNT($I$9:Y$9)+$I$4))),TREND($E52:$F52,$E$9:$F$9,Y$9))</f>
        <v>0.94736842105263153</v>
      </c>
      <c r="Z52">
        <f>IF($G52="s-curve",$E52+($F52-$E52)*$I$2/(1+EXP($I$3*(COUNT($I$9:Z$9)+$I$4))),TREND($E52:$F52,$E$9:$F$9,Z$9))</f>
        <v>0.94736842105263153</v>
      </c>
      <c r="AA52">
        <f>IF($G52="s-curve",$E52+($F52-$E52)*$I$2/(1+EXP($I$3*(COUNT($I$9:AA$9)+$I$4))),TREND($E52:$F52,$E$9:$F$9,AA$9))</f>
        <v>0.94736842105263153</v>
      </c>
      <c r="AB52">
        <f>IF($G52="s-curve",$E52+($F52-$E52)*$I$2/(1+EXP($I$3*(COUNT($I$9:AB$9)+$I$4))),TREND($E52:$F52,$E$9:$F$9,AB$9))</f>
        <v>0.94736842105263153</v>
      </c>
      <c r="AC52">
        <f>IF($G52="s-curve",$E52+($F52-$E52)*$I$2/(1+EXP($I$3*(COUNT($I$9:AC$9)+$I$4))),TREND($E52:$F52,$E$9:$F$9,AC$9))</f>
        <v>0.94736842105263153</v>
      </c>
      <c r="AD52">
        <f>IF($G52="s-curve",$E52+($F52-$E52)*$I$2/(1+EXP($I$3*(COUNT($I$9:AD$9)+$I$4))),TREND($E52:$F52,$E$9:$F$9,AD$9))</f>
        <v>0.94736842105263153</v>
      </c>
      <c r="AE52">
        <f>IF($G52="s-curve",$E52+($F52-$E52)*$I$2/(1+EXP($I$3*(COUNT($I$9:AE$9)+$I$4))),TREND($E52:$F52,$E$9:$F$9,AE$9))</f>
        <v>0.94736842105263153</v>
      </c>
      <c r="AF52">
        <f>IF($G52="s-curve",$E52+($F52-$E52)*$I$2/(1+EXP($I$3*(COUNT($I$9:AF$9)+$I$4))),TREND($E52:$F52,$E$9:$F$9,AF$9))</f>
        <v>0.94736842105263153</v>
      </c>
      <c r="AG52">
        <f>IF($G52="s-curve",$E52+($F52-$E52)*$I$2/(1+EXP($I$3*(COUNT($I$9:AG$9)+$I$4))),TREND($E52:$F52,$E$9:$F$9,AG$9))</f>
        <v>0.94736842105263153</v>
      </c>
      <c r="AH52">
        <f>IF($G52="s-curve",$E52+($F52-$E52)*$I$2/(1+EXP($I$3*(COUNT($I$9:AH$9)+$I$4))),TREND($E52:$F52,$E$9:$F$9,AH$9))</f>
        <v>0.94736842105263153</v>
      </c>
      <c r="AI52">
        <f>IF($G52="s-curve",$E52+($F52-$E52)*$I$2/(1+EXP($I$3*(COUNT($I$9:AI$9)+$I$4))),TREND($E52:$F52,$E$9:$F$9,AI$9))</f>
        <v>0.94736842105263153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5.2631578947368474E-2</v>
      </c>
      <c r="F55">
        <f>E55</f>
        <v>5.2631578947368474E-2</v>
      </c>
      <c r="G55" t="str">
        <f>IF(E55=F55,"n/a",IF(OR(C55="battery electric vehicle",C55="natural gas vehicle",C55="plugin hybrid vehicle"),"s-curve","linear"))</f>
        <v>n/a</v>
      </c>
      <c r="I55">
        <f t="shared" si="10"/>
        <v>5.2631578947368474E-2</v>
      </c>
      <c r="J55">
        <f>IF($G55="s-curve",$E55+($F55-$E55)*$I$2/(1+EXP($I$3*(COUNT($I$9:J$9)+$I$4))),TREND($E55:$F55,$E$9:$F$9,J$9))</f>
        <v>5.2631578947368474E-2</v>
      </c>
      <c r="K55">
        <f>IF($G55="s-curve",$E55+($F55-$E55)*$I$2/(1+EXP($I$3*(COUNT($I$9:K$9)+$I$4))),TREND($E55:$F55,$E$9:$F$9,K$9))</f>
        <v>5.2631578947368474E-2</v>
      </c>
      <c r="L55">
        <f>IF($G55="s-curve",$E55+($F55-$E55)*$I$2/(1+EXP($I$3*(COUNT($I$9:L$9)+$I$4))),TREND($E55:$F55,$E$9:$F$9,L$9))</f>
        <v>5.2631578947368474E-2</v>
      </c>
      <c r="M55">
        <f>IF($G55="s-curve",$E55+($F55-$E55)*$I$2/(1+EXP($I$3*(COUNT($I$9:M$9)+$I$4))),TREND($E55:$F55,$E$9:$F$9,M$9))</f>
        <v>5.2631578947368474E-2</v>
      </c>
      <c r="N55">
        <f>IF($G55="s-curve",$E55+($F55-$E55)*$I$2/(1+EXP($I$3*(COUNT($I$9:N$9)+$I$4))),TREND($E55:$F55,$E$9:$F$9,N$9))</f>
        <v>5.2631578947368474E-2</v>
      </c>
      <c r="O55">
        <f>IF($G55="s-curve",$E55+($F55-$E55)*$I$2/(1+EXP($I$3*(COUNT($I$9:O$9)+$I$4))),TREND($E55:$F55,$E$9:$F$9,O$9))</f>
        <v>5.2631578947368474E-2</v>
      </c>
      <c r="P55">
        <f>IF($G55="s-curve",$E55+($F55-$E55)*$I$2/(1+EXP($I$3*(COUNT($I$9:P$9)+$I$4))),TREND($E55:$F55,$E$9:$F$9,P$9))</f>
        <v>5.2631578947368474E-2</v>
      </c>
      <c r="Q55">
        <f>IF($G55="s-curve",$E55+($F55-$E55)*$I$2/(1+EXP($I$3*(COUNT($I$9:Q$9)+$I$4))),TREND($E55:$F55,$E$9:$F$9,Q$9))</f>
        <v>5.2631578947368474E-2</v>
      </c>
      <c r="R55">
        <f>IF($G55="s-curve",$E55+($F55-$E55)*$I$2/(1+EXP($I$3*(COUNT($I$9:R$9)+$I$4))),TREND($E55:$F55,$E$9:$F$9,R$9))</f>
        <v>5.2631578947368474E-2</v>
      </c>
      <c r="S55">
        <f>IF($G55="s-curve",$E55+($F55-$E55)*$I$2/(1+EXP($I$3*(COUNT($I$9:S$9)+$I$4))),TREND($E55:$F55,$E$9:$F$9,S$9))</f>
        <v>5.2631578947368474E-2</v>
      </c>
      <c r="T55">
        <f>IF($G55="s-curve",$E55+($F55-$E55)*$I$2/(1+EXP($I$3*(COUNT($I$9:T$9)+$I$4))),TREND($E55:$F55,$E$9:$F$9,T$9))</f>
        <v>5.2631578947368474E-2</v>
      </c>
      <c r="U55">
        <f>IF($G55="s-curve",$E55+($F55-$E55)*$I$2/(1+EXP($I$3*(COUNT($I$9:U$9)+$I$4))),TREND($E55:$F55,$E$9:$F$9,U$9))</f>
        <v>5.2631578947368474E-2</v>
      </c>
      <c r="V55">
        <f>IF($G55="s-curve",$E55+($F55-$E55)*$I$2/(1+EXP($I$3*(COUNT($I$9:V$9)+$I$4))),TREND($E55:$F55,$E$9:$F$9,V$9))</f>
        <v>5.2631578947368474E-2</v>
      </c>
      <c r="W55">
        <f>IF($G55="s-curve",$E55+($F55-$E55)*$I$2/(1+EXP($I$3*(COUNT($I$9:W$9)+$I$4))),TREND($E55:$F55,$E$9:$F$9,W$9))</f>
        <v>5.2631578947368474E-2</v>
      </c>
      <c r="X55">
        <f>IF($G55="s-curve",$E55+($F55-$E55)*$I$2/(1+EXP($I$3*(COUNT($I$9:X$9)+$I$4))),TREND($E55:$F55,$E$9:$F$9,X$9))</f>
        <v>5.2631578947368474E-2</v>
      </c>
      <c r="Y55">
        <f>IF($G55="s-curve",$E55+($F55-$E55)*$I$2/(1+EXP($I$3*(COUNT($I$9:Y$9)+$I$4))),TREND($E55:$F55,$E$9:$F$9,Y$9))</f>
        <v>5.2631578947368474E-2</v>
      </c>
      <c r="Z55">
        <f>IF($G55="s-curve",$E55+($F55-$E55)*$I$2/(1+EXP($I$3*(COUNT($I$9:Z$9)+$I$4))),TREND($E55:$F55,$E$9:$F$9,Z$9))</f>
        <v>5.2631578947368474E-2</v>
      </c>
      <c r="AA55">
        <f>IF($G55="s-curve",$E55+($F55-$E55)*$I$2/(1+EXP($I$3*(COUNT($I$9:AA$9)+$I$4))),TREND($E55:$F55,$E$9:$F$9,AA$9))</f>
        <v>5.2631578947368474E-2</v>
      </c>
      <c r="AB55">
        <f>IF($G55="s-curve",$E55+($F55-$E55)*$I$2/(1+EXP($I$3*(COUNT($I$9:AB$9)+$I$4))),TREND($E55:$F55,$E$9:$F$9,AB$9))</f>
        <v>5.2631578947368474E-2</v>
      </c>
      <c r="AC55">
        <f>IF($G55="s-curve",$E55+($F55-$E55)*$I$2/(1+EXP($I$3*(COUNT($I$9:AC$9)+$I$4))),TREND($E55:$F55,$E$9:$F$9,AC$9))</f>
        <v>5.2631578947368474E-2</v>
      </c>
      <c r="AD55">
        <f>IF($G55="s-curve",$E55+($F55-$E55)*$I$2/(1+EXP($I$3*(COUNT($I$9:AD$9)+$I$4))),TREND($E55:$F55,$E$9:$F$9,AD$9))</f>
        <v>5.2631578947368474E-2</v>
      </c>
      <c r="AE55">
        <f>IF($G55="s-curve",$E55+($F55-$E55)*$I$2/(1+EXP($I$3*(COUNT($I$9:AE$9)+$I$4))),TREND($E55:$F55,$E$9:$F$9,AE$9))</f>
        <v>5.2631578947368474E-2</v>
      </c>
      <c r="AF55">
        <f>IF($G55="s-curve",$E55+($F55-$E55)*$I$2/(1+EXP($I$3*(COUNT($I$9:AF$9)+$I$4))),TREND($E55:$F55,$E$9:$F$9,AF$9))</f>
        <v>5.2631578947368474E-2</v>
      </c>
      <c r="AG55">
        <f>IF($G55="s-curve",$E55+($F55-$E55)*$I$2/(1+EXP($I$3*(COUNT($I$9:AG$9)+$I$4))),TREND($E55:$F55,$E$9:$F$9,AG$9))</f>
        <v>5.2631578947368474E-2</v>
      </c>
      <c r="AH55">
        <f>IF($G55="s-curve",$E55+($F55-$E55)*$I$2/(1+EXP($I$3*(COUNT($I$9:AH$9)+$I$4))),TREND($E55:$F55,$E$9:$F$9,AH$9))</f>
        <v>5.2631578947368474E-2</v>
      </c>
      <c r="AI55">
        <f>IF($G55="s-curve",$E55+($F55-$E55)*$I$2/(1+EXP($I$3*(COUNT($I$9:AI$9)+$I$4))),TREND($E55:$F55,$E$9:$F$9,AI$9))</f>
        <v>5.2631578947368474E-2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1</v>
      </c>
      <c r="F80">
        <f t="shared" si="12"/>
        <v>1</v>
      </c>
      <c r="G80" t="str">
        <f>IF(E80=F80,"n/a",IF(OR(C80="battery electric vehicle",C80="natural gas vehicle",C80="plugin hybrid vehicle"),"s-curve","linear"))</f>
        <v>n/a</v>
      </c>
      <c r="I80">
        <f t="shared" si="11"/>
        <v>1</v>
      </c>
      <c r="J80" s="2">
        <f>$E80</f>
        <v>1</v>
      </c>
      <c r="K80" s="2">
        <f t="shared" ref="K80:AI80" si="13">IF($G80="s-curve",$E80+($F80-$E80)*K$98,TREND($E80:$F80,$E$9:$F$9,K$9))</f>
        <v>1</v>
      </c>
      <c r="L80" s="2">
        <f t="shared" si="13"/>
        <v>1</v>
      </c>
      <c r="M80" s="2">
        <f t="shared" si="13"/>
        <v>1</v>
      </c>
      <c r="N80" s="2">
        <f t="shared" si="13"/>
        <v>1</v>
      </c>
      <c r="O80" s="2">
        <f t="shared" si="13"/>
        <v>1</v>
      </c>
      <c r="P80" s="2">
        <f t="shared" si="13"/>
        <v>1</v>
      </c>
      <c r="Q80" s="2">
        <f t="shared" si="13"/>
        <v>1</v>
      </c>
      <c r="R80" s="2">
        <f t="shared" si="13"/>
        <v>1</v>
      </c>
      <c r="S80" s="2">
        <f t="shared" si="13"/>
        <v>1</v>
      </c>
      <c r="T80" s="2">
        <f t="shared" si="13"/>
        <v>1</v>
      </c>
      <c r="U80" s="2">
        <f t="shared" si="13"/>
        <v>1</v>
      </c>
      <c r="V80" s="2">
        <f t="shared" si="13"/>
        <v>1</v>
      </c>
      <c r="W80" s="2">
        <f t="shared" si="13"/>
        <v>1</v>
      </c>
      <c r="X80" s="2">
        <f t="shared" si="13"/>
        <v>1</v>
      </c>
      <c r="Y80" s="2">
        <f t="shared" si="13"/>
        <v>1</v>
      </c>
      <c r="Z80" s="2">
        <f t="shared" si="13"/>
        <v>1</v>
      </c>
      <c r="AA80" s="2">
        <f t="shared" si="13"/>
        <v>1</v>
      </c>
      <c r="AB80" s="2">
        <f t="shared" si="13"/>
        <v>1</v>
      </c>
      <c r="AC80" s="2">
        <f t="shared" si="13"/>
        <v>1</v>
      </c>
      <c r="AD80" s="2">
        <f t="shared" si="13"/>
        <v>1</v>
      </c>
      <c r="AE80" s="2">
        <f t="shared" si="13"/>
        <v>1</v>
      </c>
      <c r="AF80" s="2">
        <f t="shared" si="13"/>
        <v>1</v>
      </c>
      <c r="AG80" s="2">
        <f t="shared" si="13"/>
        <v>1</v>
      </c>
      <c r="AH80" s="2">
        <f t="shared" si="13"/>
        <v>1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9.4144946773165697E-5</v>
      </c>
      <c r="F81">
        <f t="shared" si="12"/>
        <v>9.4144946773165697E-5</v>
      </c>
      <c r="G81" t="str">
        <f>IF(E81=F81,"n/a",IF(OR(C81="battery electric vehicle",C81="natural gas vehicle",C81="plugin hybrid vehicle"),"s-curve","linear"))</f>
        <v>n/a</v>
      </c>
      <c r="I81">
        <f t="shared" si="11"/>
        <v>9.4144946773165697E-5</v>
      </c>
      <c r="J81">
        <f>IF($G81="s-curve",$E81+($F81-$E81)*$I$2/(1+EXP($I$3*(COUNT($I$9:J$9)+$I$4))),TREND($E81:$F81,$E$9:$F$9,J$9))</f>
        <v>9.4144946773165697E-5</v>
      </c>
      <c r="K81">
        <f>IF($G81="s-curve",$E81+($F81-$E81)*$I$2/(1+EXP($I$3*(COUNT($I$9:K$9)+$I$4))),TREND($E81:$F81,$E$9:$F$9,K$9))</f>
        <v>9.4144946773165697E-5</v>
      </c>
      <c r="L81">
        <f>IF($G81="s-curve",$E81+($F81-$E81)*$I$2/(1+EXP($I$3*(COUNT($I$9:L$9)+$I$4))),TREND($E81:$F81,$E$9:$F$9,L$9))</f>
        <v>9.4144946773165697E-5</v>
      </c>
      <c r="M81">
        <f>IF($G81="s-curve",$E81+($F81-$E81)*$I$2/(1+EXP($I$3*(COUNT($I$9:M$9)+$I$4))),TREND($E81:$F81,$E$9:$F$9,M$9))</f>
        <v>9.4144946773165697E-5</v>
      </c>
      <c r="N81">
        <f>IF($G81="s-curve",$E81+($F81-$E81)*$I$2/(1+EXP($I$3*(COUNT($I$9:N$9)+$I$4))),TREND($E81:$F81,$E$9:$F$9,N$9))</f>
        <v>9.4144946773165697E-5</v>
      </c>
      <c r="O81">
        <f>IF($G81="s-curve",$E81+($F81-$E81)*$I$2/(1+EXP($I$3*(COUNT($I$9:O$9)+$I$4))),TREND($E81:$F81,$E$9:$F$9,O$9))</f>
        <v>9.4144946773165697E-5</v>
      </c>
      <c r="P81">
        <f>IF($G81="s-curve",$E81+($F81-$E81)*$I$2/(1+EXP($I$3*(COUNT($I$9:P$9)+$I$4))),TREND($E81:$F81,$E$9:$F$9,P$9))</f>
        <v>9.4144946773165697E-5</v>
      </c>
      <c r="Q81">
        <f>IF($G81="s-curve",$E81+($F81-$E81)*$I$2/(1+EXP($I$3*(COUNT($I$9:Q$9)+$I$4))),TREND($E81:$F81,$E$9:$F$9,Q$9))</f>
        <v>9.4144946773165697E-5</v>
      </c>
      <c r="R81">
        <f>IF($G81="s-curve",$E81+($F81-$E81)*$I$2/(1+EXP($I$3*(COUNT($I$9:R$9)+$I$4))),TREND($E81:$F81,$E$9:$F$9,R$9))</f>
        <v>9.4144946773165697E-5</v>
      </c>
      <c r="S81">
        <f>IF($G81="s-curve",$E81+($F81-$E81)*$I$2/(1+EXP($I$3*(COUNT($I$9:S$9)+$I$4))),TREND($E81:$F81,$E$9:$F$9,S$9))</f>
        <v>9.4144946773165697E-5</v>
      </c>
      <c r="T81">
        <f>IF($G81="s-curve",$E81+($F81-$E81)*$I$2/(1+EXP($I$3*(COUNT($I$9:T$9)+$I$4))),TREND($E81:$F81,$E$9:$F$9,T$9))</f>
        <v>9.4144946773165697E-5</v>
      </c>
      <c r="U81">
        <f>IF($G81="s-curve",$E81+($F81-$E81)*$I$2/(1+EXP($I$3*(COUNT($I$9:U$9)+$I$4))),TREND($E81:$F81,$E$9:$F$9,U$9))</f>
        <v>9.4144946773165697E-5</v>
      </c>
      <c r="V81">
        <f>IF($G81="s-curve",$E81+($F81-$E81)*$I$2/(1+EXP($I$3*(COUNT($I$9:V$9)+$I$4))),TREND($E81:$F81,$E$9:$F$9,V$9))</f>
        <v>9.4144946773165697E-5</v>
      </c>
      <c r="W81">
        <f>IF($G81="s-curve",$E81+($F81-$E81)*$I$2/(1+EXP($I$3*(COUNT($I$9:W$9)+$I$4))),TREND($E81:$F81,$E$9:$F$9,W$9))</f>
        <v>9.4144946773165697E-5</v>
      </c>
      <c r="X81">
        <f>IF($G81="s-curve",$E81+($F81-$E81)*$I$2/(1+EXP($I$3*(COUNT($I$9:X$9)+$I$4))),TREND($E81:$F81,$E$9:$F$9,X$9))</f>
        <v>9.4144946773165697E-5</v>
      </c>
      <c r="Y81">
        <f>IF($G81="s-curve",$E81+($F81-$E81)*$I$2/(1+EXP($I$3*(COUNT($I$9:Y$9)+$I$4))),TREND($E81:$F81,$E$9:$F$9,Y$9))</f>
        <v>9.4144946773165697E-5</v>
      </c>
      <c r="Z81">
        <f>IF($G81="s-curve",$E81+($F81-$E81)*$I$2/(1+EXP($I$3*(COUNT($I$9:Z$9)+$I$4))),TREND($E81:$F81,$E$9:$F$9,Z$9))</f>
        <v>9.4144946773165697E-5</v>
      </c>
      <c r="AA81">
        <f>IF($G81="s-curve",$E81+($F81-$E81)*$I$2/(1+EXP($I$3*(COUNT($I$9:AA$9)+$I$4))),TREND($E81:$F81,$E$9:$F$9,AA$9))</f>
        <v>9.4144946773165697E-5</v>
      </c>
      <c r="AB81">
        <f>IF($G81="s-curve",$E81+($F81-$E81)*$I$2/(1+EXP($I$3*(COUNT($I$9:AB$9)+$I$4))),TREND($E81:$F81,$E$9:$F$9,AB$9))</f>
        <v>9.4144946773165697E-5</v>
      </c>
      <c r="AC81">
        <f>IF($G81="s-curve",$E81+($F81-$E81)*$I$2/(1+EXP($I$3*(COUNT($I$9:AC$9)+$I$4))),TREND($E81:$F81,$E$9:$F$9,AC$9))</f>
        <v>9.4144946773165697E-5</v>
      </c>
      <c r="AD81">
        <f>IF($G81="s-curve",$E81+($F81-$E81)*$I$2/(1+EXP($I$3*(COUNT($I$9:AD$9)+$I$4))),TREND($E81:$F81,$E$9:$F$9,AD$9))</f>
        <v>9.4144946773165697E-5</v>
      </c>
      <c r="AE81">
        <f>IF($G81="s-curve",$E81+($F81-$E81)*$I$2/(1+EXP($I$3*(COUNT($I$9:AE$9)+$I$4))),TREND($E81:$F81,$E$9:$F$9,AE$9))</f>
        <v>9.4144946773165697E-5</v>
      </c>
      <c r="AF81">
        <f>IF($G81="s-curve",$E81+($F81-$E81)*$I$2/(1+EXP($I$3*(COUNT($I$9:AF$9)+$I$4))),TREND($E81:$F81,$E$9:$F$9,AF$9))</f>
        <v>9.4144946773165697E-5</v>
      </c>
      <c r="AG81">
        <f>IF($G81="s-curve",$E81+($F81-$E81)*$I$2/(1+EXP($I$3*(COUNT($I$9:AG$9)+$I$4))),TREND($E81:$F81,$E$9:$F$9,AG$9))</f>
        <v>9.4144946773165697E-5</v>
      </c>
      <c r="AH81">
        <f>IF($G81="s-curve",$E81+($F81-$E81)*$I$2/(1+EXP($I$3*(COUNT($I$9:AH$9)+$I$4))),TREND($E81:$F81,$E$9:$F$9,AH$9))</f>
        <v>9.4144946773165697E-5</v>
      </c>
      <c r="AI81">
        <f>IF($G81="s-curve",$E81+($F81-$E81)*$I$2/(1+EXP($I$3*(COUNT($I$9:AI$9)+$I$4))),TREND($E81:$F81,$E$9:$F$9,AI$9))</f>
        <v>9.4144946773165697E-5</v>
      </c>
    </row>
    <row r="82" spans="1:35" x14ac:dyDescent="0.45">
      <c r="C82" t="s">
        <v>294</v>
      </c>
      <c r="D82">
        <f t="shared" si="12"/>
        <v>1</v>
      </c>
      <c r="E82">
        <f t="shared" si="12"/>
        <v>0.88206853659642326</v>
      </c>
      <c r="F82">
        <f t="shared" si="12"/>
        <v>0.88206853659642326</v>
      </c>
      <c r="G82" t="str">
        <f>IF(E82=F82,"n/a",IF(OR(C82="battery electric vehicle",C82="natural gas vehicle",C82="plugin hybrid vehicle"),"s-curve","linear"))</f>
        <v>n/a</v>
      </c>
      <c r="I82">
        <f t="shared" si="11"/>
        <v>0.88206853659642326</v>
      </c>
      <c r="J82">
        <f>IF($G82="s-curve",$E82+($F82-$E82)*$I$2/(1+EXP($I$3*(COUNT($I$9:J$9)+$I$4))),TREND($E82:$F82,$E$9:$F$9,J$9))</f>
        <v>0.88206853659642326</v>
      </c>
      <c r="K82">
        <f>IF($G82="s-curve",$E82+($F82-$E82)*$I$2/(1+EXP($I$3*(COUNT($I$9:K$9)+$I$4))),TREND($E82:$F82,$E$9:$F$9,K$9))</f>
        <v>0.88206853659642326</v>
      </c>
      <c r="L82">
        <f>IF($G82="s-curve",$E82+($F82-$E82)*$I$2/(1+EXP($I$3*(COUNT($I$9:L$9)+$I$4))),TREND($E82:$F82,$E$9:$F$9,L$9))</f>
        <v>0.88206853659642326</v>
      </c>
      <c r="M82">
        <f>IF($G82="s-curve",$E82+($F82-$E82)*$I$2/(1+EXP($I$3*(COUNT($I$9:M$9)+$I$4))),TREND($E82:$F82,$E$9:$F$9,M$9))</f>
        <v>0.88206853659642326</v>
      </c>
      <c r="N82">
        <f>IF($G82="s-curve",$E82+($F82-$E82)*$I$2/(1+EXP($I$3*(COUNT($I$9:N$9)+$I$4))),TREND($E82:$F82,$E$9:$F$9,N$9))</f>
        <v>0.88206853659642326</v>
      </c>
      <c r="O82">
        <f>IF($G82="s-curve",$E82+($F82-$E82)*$I$2/(1+EXP($I$3*(COUNT($I$9:O$9)+$I$4))),TREND($E82:$F82,$E$9:$F$9,O$9))</f>
        <v>0.88206853659642326</v>
      </c>
      <c r="P82">
        <f>IF($G82="s-curve",$E82+($F82-$E82)*$I$2/(1+EXP($I$3*(COUNT($I$9:P$9)+$I$4))),TREND($E82:$F82,$E$9:$F$9,P$9))</f>
        <v>0.88206853659642326</v>
      </c>
      <c r="Q82">
        <f>IF($G82="s-curve",$E82+($F82-$E82)*$I$2/(1+EXP($I$3*(COUNT($I$9:Q$9)+$I$4))),TREND($E82:$F82,$E$9:$F$9,Q$9))</f>
        <v>0.88206853659642326</v>
      </c>
      <c r="R82">
        <f>IF($G82="s-curve",$E82+($F82-$E82)*$I$2/(1+EXP($I$3*(COUNT($I$9:R$9)+$I$4))),TREND($E82:$F82,$E$9:$F$9,R$9))</f>
        <v>0.88206853659642326</v>
      </c>
      <c r="S82">
        <f>IF($G82="s-curve",$E82+($F82-$E82)*$I$2/(1+EXP($I$3*(COUNT($I$9:S$9)+$I$4))),TREND($E82:$F82,$E$9:$F$9,S$9))</f>
        <v>0.88206853659642326</v>
      </c>
      <c r="T82">
        <f>IF($G82="s-curve",$E82+($F82-$E82)*$I$2/(1+EXP($I$3*(COUNT($I$9:T$9)+$I$4))),TREND($E82:$F82,$E$9:$F$9,T$9))</f>
        <v>0.88206853659642326</v>
      </c>
      <c r="U82">
        <f>IF($G82="s-curve",$E82+($F82-$E82)*$I$2/(1+EXP($I$3*(COUNT($I$9:U$9)+$I$4))),TREND($E82:$F82,$E$9:$F$9,U$9))</f>
        <v>0.88206853659642326</v>
      </c>
      <c r="V82">
        <f>IF($G82="s-curve",$E82+($F82-$E82)*$I$2/(1+EXP($I$3*(COUNT($I$9:V$9)+$I$4))),TREND($E82:$F82,$E$9:$F$9,V$9))</f>
        <v>0.88206853659642326</v>
      </c>
      <c r="W82">
        <f>IF($G82="s-curve",$E82+($F82-$E82)*$I$2/(1+EXP($I$3*(COUNT($I$9:W$9)+$I$4))),TREND($E82:$F82,$E$9:$F$9,W$9))</f>
        <v>0.88206853659642326</v>
      </c>
      <c r="X82">
        <f>IF($G82="s-curve",$E82+($F82-$E82)*$I$2/(1+EXP($I$3*(COUNT($I$9:X$9)+$I$4))),TREND($E82:$F82,$E$9:$F$9,X$9))</f>
        <v>0.88206853659642326</v>
      </c>
      <c r="Y82">
        <f>IF($G82="s-curve",$E82+($F82-$E82)*$I$2/(1+EXP($I$3*(COUNT($I$9:Y$9)+$I$4))),TREND($E82:$F82,$E$9:$F$9,Y$9))</f>
        <v>0.88206853659642326</v>
      </c>
      <c r="Z82">
        <f>IF($G82="s-curve",$E82+($F82-$E82)*$I$2/(1+EXP($I$3*(COUNT($I$9:Z$9)+$I$4))),TREND($E82:$F82,$E$9:$F$9,Z$9))</f>
        <v>0.88206853659642326</v>
      </c>
      <c r="AA82">
        <f>IF($G82="s-curve",$E82+($F82-$E82)*$I$2/(1+EXP($I$3*(COUNT($I$9:AA$9)+$I$4))),TREND($E82:$F82,$E$9:$F$9,AA$9))</f>
        <v>0.88206853659642326</v>
      </c>
      <c r="AB82">
        <f>IF($G82="s-curve",$E82+($F82-$E82)*$I$2/(1+EXP($I$3*(COUNT($I$9:AB$9)+$I$4))),TREND($E82:$F82,$E$9:$F$9,AB$9))</f>
        <v>0.88206853659642326</v>
      </c>
      <c r="AC82">
        <f>IF($G82="s-curve",$E82+($F82-$E82)*$I$2/(1+EXP($I$3*(COUNT($I$9:AC$9)+$I$4))),TREND($E82:$F82,$E$9:$F$9,AC$9))</f>
        <v>0.88206853659642326</v>
      </c>
      <c r="AD82">
        <f>IF($G82="s-curve",$E82+($F82-$E82)*$I$2/(1+EXP($I$3*(COUNT($I$9:AD$9)+$I$4))),TREND($E82:$F82,$E$9:$F$9,AD$9))</f>
        <v>0.88206853659642326</v>
      </c>
      <c r="AE82">
        <f>IF($G82="s-curve",$E82+($F82-$E82)*$I$2/(1+EXP($I$3*(COUNT($I$9:AE$9)+$I$4))),TREND($E82:$F82,$E$9:$F$9,AE$9))</f>
        <v>0.88206853659642326</v>
      </c>
      <c r="AF82">
        <f>IF($G82="s-curve",$E82+($F82-$E82)*$I$2/(1+EXP($I$3*(COUNT($I$9:AF$9)+$I$4))),TREND($E82:$F82,$E$9:$F$9,AF$9))</f>
        <v>0.88206853659642326</v>
      </c>
      <c r="AG82">
        <f>IF($G82="s-curve",$E82+($F82-$E82)*$I$2/(1+EXP($I$3*(COUNT($I$9:AG$9)+$I$4))),TREND($E82:$F82,$E$9:$F$9,AG$9))</f>
        <v>0.88206853659642326</v>
      </c>
      <c r="AH82">
        <f>IF($G82="s-curve",$E82+($F82-$E82)*$I$2/(1+EXP($I$3*(COUNT($I$9:AH$9)+$I$4))),TREND($E82:$F82,$E$9:$F$9,AH$9))</f>
        <v>0.88206853659642326</v>
      </c>
      <c r="AI82">
        <f>IF($G82="s-curve",$E82+($F82-$E82)*$I$2/(1+EXP($I$3*(COUNT($I$9:AI$9)+$I$4))),TREND($E82:$F82,$E$9:$F$9,AI$9))</f>
        <v>0.88206853659642326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5.9926729438674088E-2</v>
      </c>
      <c r="F83">
        <f t="shared" si="12"/>
        <v>5.9926729438674088E-2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5.9926729438674088E-2</v>
      </c>
      <c r="J83">
        <f>IF($G83="s-curve",$E83+($F83-$E83)*$I$2/(1+EXP($I$3*(COUNT($I$9:J$9)+$I$4))),TREND($E83:$F83,$E$9:$F$9,J$9))</f>
        <v>5.9926729438674088E-2</v>
      </c>
      <c r="K83">
        <f>IF($G83="s-curve",$E83+($F83-$E83)*$I$2/(1+EXP($I$3*(COUNT($I$9:K$9)+$I$4))),TREND($E83:$F83,$E$9:$F$9,K$9))</f>
        <v>5.9926729438674088E-2</v>
      </c>
      <c r="L83">
        <f>IF($G83="s-curve",$E83+($F83-$E83)*$I$2/(1+EXP($I$3*(COUNT($I$9:L$9)+$I$4))),TREND($E83:$F83,$E$9:$F$9,L$9))</f>
        <v>5.9926729438674088E-2</v>
      </c>
      <c r="M83">
        <f>IF($G83="s-curve",$E83+($F83-$E83)*$I$2/(1+EXP($I$3*(COUNT($I$9:M$9)+$I$4))),TREND($E83:$F83,$E$9:$F$9,M$9))</f>
        <v>5.9926729438674088E-2</v>
      </c>
      <c r="N83">
        <f>IF($G83="s-curve",$E83+($F83-$E83)*$I$2/(1+EXP($I$3*(COUNT($I$9:N$9)+$I$4))),TREND($E83:$F83,$E$9:$F$9,N$9))</f>
        <v>5.9926729438674088E-2</v>
      </c>
      <c r="O83">
        <f>IF($G83="s-curve",$E83+($F83-$E83)*$I$2/(1+EXP($I$3*(COUNT($I$9:O$9)+$I$4))),TREND($E83:$F83,$E$9:$F$9,O$9))</f>
        <v>5.9926729438674088E-2</v>
      </c>
      <c r="P83">
        <f>IF($G83="s-curve",$E83+($F83-$E83)*$I$2/(1+EXP($I$3*(COUNT($I$9:P$9)+$I$4))),TREND($E83:$F83,$E$9:$F$9,P$9))</f>
        <v>5.9926729438674088E-2</v>
      </c>
      <c r="Q83">
        <f>IF($G83="s-curve",$E83+($F83-$E83)*$I$2/(1+EXP($I$3*(COUNT($I$9:Q$9)+$I$4))),TREND($E83:$F83,$E$9:$F$9,Q$9))</f>
        <v>5.9926729438674088E-2</v>
      </c>
      <c r="R83">
        <f>IF($G83="s-curve",$E83+($F83-$E83)*$I$2/(1+EXP($I$3*(COUNT($I$9:R$9)+$I$4))),TREND($E83:$F83,$E$9:$F$9,R$9))</f>
        <v>5.9926729438674088E-2</v>
      </c>
      <c r="S83">
        <f>IF($G83="s-curve",$E83+($F83-$E83)*$I$2/(1+EXP($I$3*(COUNT($I$9:S$9)+$I$4))),TREND($E83:$F83,$E$9:$F$9,S$9))</f>
        <v>5.9926729438674088E-2</v>
      </c>
      <c r="T83">
        <f>IF($G83="s-curve",$E83+($F83-$E83)*$I$2/(1+EXP($I$3*(COUNT($I$9:T$9)+$I$4))),TREND($E83:$F83,$E$9:$F$9,T$9))</f>
        <v>5.9926729438674088E-2</v>
      </c>
      <c r="U83">
        <f>IF($G83="s-curve",$E83+($F83-$E83)*$I$2/(1+EXP($I$3*(COUNT($I$9:U$9)+$I$4))),TREND($E83:$F83,$E$9:$F$9,U$9))</f>
        <v>5.9926729438674088E-2</v>
      </c>
      <c r="V83">
        <f>IF($G83="s-curve",$E83+($F83-$E83)*$I$2/(1+EXP($I$3*(COUNT($I$9:V$9)+$I$4))),TREND($E83:$F83,$E$9:$F$9,V$9))</f>
        <v>5.9926729438674088E-2</v>
      </c>
      <c r="W83">
        <f>IF($G83="s-curve",$E83+($F83-$E83)*$I$2/(1+EXP($I$3*(COUNT($I$9:W$9)+$I$4))),TREND($E83:$F83,$E$9:$F$9,W$9))</f>
        <v>5.9926729438674088E-2</v>
      </c>
      <c r="X83">
        <f>IF($G83="s-curve",$E83+($F83-$E83)*$I$2/(1+EXP($I$3*(COUNT($I$9:X$9)+$I$4))),TREND($E83:$F83,$E$9:$F$9,X$9))</f>
        <v>5.9926729438674088E-2</v>
      </c>
      <c r="Y83">
        <f>IF($G83="s-curve",$E83+($F83-$E83)*$I$2/(1+EXP($I$3*(COUNT($I$9:Y$9)+$I$4))),TREND($E83:$F83,$E$9:$F$9,Y$9))</f>
        <v>5.9926729438674088E-2</v>
      </c>
      <c r="Z83">
        <f>IF($G83="s-curve",$E83+($F83-$E83)*$I$2/(1+EXP($I$3*(COUNT($I$9:Z$9)+$I$4))),TREND($E83:$F83,$E$9:$F$9,Z$9))</f>
        <v>5.9926729438674088E-2</v>
      </c>
      <c r="AA83">
        <f>IF($G83="s-curve",$E83+($F83-$E83)*$I$2/(1+EXP($I$3*(COUNT($I$9:AA$9)+$I$4))),TREND($E83:$F83,$E$9:$F$9,AA$9))</f>
        <v>5.9926729438674088E-2</v>
      </c>
      <c r="AB83">
        <f>IF($G83="s-curve",$E83+($F83-$E83)*$I$2/(1+EXP($I$3*(COUNT($I$9:AB$9)+$I$4))),TREND($E83:$F83,$E$9:$F$9,AB$9))</f>
        <v>5.9926729438674088E-2</v>
      </c>
      <c r="AC83">
        <f>IF($G83="s-curve",$E83+($F83-$E83)*$I$2/(1+EXP($I$3*(COUNT($I$9:AC$9)+$I$4))),TREND($E83:$F83,$E$9:$F$9,AC$9))</f>
        <v>5.9926729438674088E-2</v>
      </c>
      <c r="AD83">
        <f>IF($G83="s-curve",$E83+($F83-$E83)*$I$2/(1+EXP($I$3*(COUNT($I$9:AD$9)+$I$4))),TREND($E83:$F83,$E$9:$F$9,AD$9))</f>
        <v>5.9926729438674088E-2</v>
      </c>
      <c r="AE83">
        <f>IF($G83="s-curve",$E83+($F83-$E83)*$I$2/(1+EXP($I$3*(COUNT($I$9:AE$9)+$I$4))),TREND($E83:$F83,$E$9:$F$9,AE$9))</f>
        <v>5.9926729438674088E-2</v>
      </c>
      <c r="AF83">
        <f>IF($G83="s-curve",$E83+($F83-$E83)*$I$2/(1+EXP($I$3*(COUNT($I$9:AF$9)+$I$4))),TREND($E83:$F83,$E$9:$F$9,AF$9))</f>
        <v>5.9926729438674088E-2</v>
      </c>
      <c r="AG83">
        <f>IF($G83="s-curve",$E83+($F83-$E83)*$I$2/(1+EXP($I$3*(COUNT($I$9:AG$9)+$I$4))),TREND($E83:$F83,$E$9:$F$9,AG$9))</f>
        <v>5.9926729438674088E-2</v>
      </c>
      <c r="AH83">
        <f>IF($G83="s-curve",$E83+($F83-$E83)*$I$2/(1+EXP($I$3*(COUNT($I$9:AH$9)+$I$4))),TREND($E83:$F83,$E$9:$F$9,AH$9))</f>
        <v>5.9926729438674088E-2</v>
      </c>
      <c r="AI83">
        <f>IF($G83="s-curve",$E83+($F83-$E83)*$I$2/(1+EXP($I$3*(COUNT($I$9:AI$9)+$I$4))),TREND($E83:$F83,$E$9:$F$9,AI$9))</f>
        <v>5.9926729438674088E-2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5.114844737603641E-2</v>
      </c>
      <c r="F84">
        <f t="shared" si="12"/>
        <v>5.114844737603641E-2</v>
      </c>
      <c r="G84" t="str">
        <f>IF(E84=F84,"n/a",IF(OR(C84="battery electric vehicle",C84="natural gas vehicle",C84="plugin hybrid vehicle"),"s-curve","linear"))</f>
        <v>n/a</v>
      </c>
      <c r="I84">
        <f t="shared" si="11"/>
        <v>5.114844737603641E-2</v>
      </c>
      <c r="J84" s="2">
        <f>$E84</f>
        <v>5.114844737603641E-2</v>
      </c>
      <c r="K84" s="2">
        <f t="shared" ref="K84:AI84" si="14">IF($G84="s-curve",$E84+($F84-$E84)*K$97,TREND($E84:$F84,$E$9:$F$9,K$9))</f>
        <v>5.114844737603641E-2</v>
      </c>
      <c r="L84" s="2">
        <f t="shared" si="14"/>
        <v>5.114844737603641E-2</v>
      </c>
      <c r="M84" s="2">
        <f t="shared" si="14"/>
        <v>5.114844737603641E-2</v>
      </c>
      <c r="N84" s="2">
        <f t="shared" si="14"/>
        <v>5.114844737603641E-2</v>
      </c>
      <c r="O84" s="2">
        <f t="shared" si="14"/>
        <v>5.114844737603641E-2</v>
      </c>
      <c r="P84" s="2">
        <f t="shared" si="14"/>
        <v>5.114844737603641E-2</v>
      </c>
      <c r="Q84" s="2">
        <f t="shared" si="14"/>
        <v>5.114844737603641E-2</v>
      </c>
      <c r="R84" s="2">
        <f t="shared" si="14"/>
        <v>5.114844737603641E-2</v>
      </c>
      <c r="S84" s="2">
        <f t="shared" si="14"/>
        <v>5.114844737603641E-2</v>
      </c>
      <c r="T84" s="2">
        <f t="shared" si="14"/>
        <v>5.114844737603641E-2</v>
      </c>
      <c r="U84" s="2">
        <f t="shared" si="14"/>
        <v>5.114844737603641E-2</v>
      </c>
      <c r="V84" s="2">
        <f t="shared" si="14"/>
        <v>5.114844737603641E-2</v>
      </c>
      <c r="W84" s="2">
        <f t="shared" si="14"/>
        <v>5.114844737603641E-2</v>
      </c>
      <c r="X84" s="2">
        <f t="shared" si="14"/>
        <v>5.114844737603641E-2</v>
      </c>
      <c r="Y84" s="2">
        <f t="shared" si="14"/>
        <v>5.114844737603641E-2</v>
      </c>
      <c r="Z84" s="2">
        <f t="shared" si="14"/>
        <v>5.114844737603641E-2</v>
      </c>
      <c r="AA84" s="2">
        <f t="shared" si="14"/>
        <v>5.114844737603641E-2</v>
      </c>
      <c r="AB84" s="2">
        <f t="shared" si="14"/>
        <v>5.114844737603641E-2</v>
      </c>
      <c r="AC84" s="2">
        <f t="shared" si="14"/>
        <v>5.114844737603641E-2</v>
      </c>
      <c r="AD84" s="2">
        <f t="shared" si="14"/>
        <v>5.114844737603641E-2</v>
      </c>
      <c r="AE84" s="2">
        <f t="shared" si="14"/>
        <v>5.114844737603641E-2</v>
      </c>
      <c r="AF84" s="2">
        <f t="shared" si="14"/>
        <v>5.114844737603641E-2</v>
      </c>
      <c r="AG84" s="2">
        <f t="shared" si="14"/>
        <v>5.114844737603641E-2</v>
      </c>
      <c r="AH84" s="2">
        <f t="shared" si="14"/>
        <v>5.114844737603641E-2</v>
      </c>
      <c r="AI84" s="2">
        <f t="shared" si="14"/>
        <v>5.114844737603641E-2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7.9004456909400516E-4</v>
      </c>
      <c r="F86">
        <f t="shared" si="12"/>
        <v>7.9004456909400516E-4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7.9004456909400516E-4</v>
      </c>
      <c r="J86">
        <f>IF($G86="s-curve",$E86+($F86-$E86)*$I$2/(1+EXP($I$3*(COUNT($I$9:J$9)+$I$4))),TREND($E86:$F86,$E$9:$F$9,J$9))</f>
        <v>7.9004456909400516E-4</v>
      </c>
      <c r="K86">
        <f>IF($G86="s-curve",$E86+($F86-$E86)*$I$2/(1+EXP($I$3*(COUNT($I$9:K$9)+$I$4))),TREND($E86:$F86,$E$9:$F$9,K$9))</f>
        <v>7.9004456909400516E-4</v>
      </c>
      <c r="L86">
        <f>IF($G86="s-curve",$E86+($F86-$E86)*$I$2/(1+EXP($I$3*(COUNT($I$9:L$9)+$I$4))),TREND($E86:$F86,$E$9:$F$9,L$9))</f>
        <v>7.9004456909400516E-4</v>
      </c>
      <c r="M86">
        <f>IF($G86="s-curve",$E86+($F86-$E86)*$I$2/(1+EXP($I$3*(COUNT($I$9:M$9)+$I$4))),TREND($E86:$F86,$E$9:$F$9,M$9))</f>
        <v>7.9004456909400516E-4</v>
      </c>
      <c r="N86">
        <f>IF($G86="s-curve",$E86+($F86-$E86)*$I$2/(1+EXP($I$3*(COUNT($I$9:N$9)+$I$4))),TREND($E86:$F86,$E$9:$F$9,N$9))</f>
        <v>7.9004456909400516E-4</v>
      </c>
      <c r="O86">
        <f>IF($G86="s-curve",$E86+($F86-$E86)*$I$2/(1+EXP($I$3*(COUNT($I$9:O$9)+$I$4))),TREND($E86:$F86,$E$9:$F$9,O$9))</f>
        <v>7.9004456909400516E-4</v>
      </c>
      <c r="P86">
        <f>IF($G86="s-curve",$E86+($F86-$E86)*$I$2/(1+EXP($I$3*(COUNT($I$9:P$9)+$I$4))),TREND($E86:$F86,$E$9:$F$9,P$9))</f>
        <v>7.9004456909400516E-4</v>
      </c>
      <c r="Q86">
        <f>IF($G86="s-curve",$E86+($F86-$E86)*$I$2/(1+EXP($I$3*(COUNT($I$9:Q$9)+$I$4))),TREND($E86:$F86,$E$9:$F$9,Q$9))</f>
        <v>7.9004456909400516E-4</v>
      </c>
      <c r="R86">
        <f>IF($G86="s-curve",$E86+($F86-$E86)*$I$2/(1+EXP($I$3*(COUNT($I$9:R$9)+$I$4))),TREND($E86:$F86,$E$9:$F$9,R$9))</f>
        <v>7.9004456909400516E-4</v>
      </c>
      <c r="S86">
        <f>IF($G86="s-curve",$E86+($F86-$E86)*$I$2/(1+EXP($I$3*(COUNT($I$9:S$9)+$I$4))),TREND($E86:$F86,$E$9:$F$9,S$9))</f>
        <v>7.9004456909400516E-4</v>
      </c>
      <c r="T86">
        <f>IF($G86="s-curve",$E86+($F86-$E86)*$I$2/(1+EXP($I$3*(COUNT($I$9:T$9)+$I$4))),TREND($E86:$F86,$E$9:$F$9,T$9))</f>
        <v>7.9004456909400516E-4</v>
      </c>
      <c r="U86">
        <f>IF($G86="s-curve",$E86+($F86-$E86)*$I$2/(1+EXP($I$3*(COUNT($I$9:U$9)+$I$4))),TREND($E86:$F86,$E$9:$F$9,U$9))</f>
        <v>7.9004456909400516E-4</v>
      </c>
      <c r="V86">
        <f>IF($G86="s-curve",$E86+($F86-$E86)*$I$2/(1+EXP($I$3*(COUNT($I$9:V$9)+$I$4))),TREND($E86:$F86,$E$9:$F$9,V$9))</f>
        <v>7.9004456909400516E-4</v>
      </c>
      <c r="W86">
        <f>IF($G86="s-curve",$E86+($F86-$E86)*$I$2/(1+EXP($I$3*(COUNT($I$9:W$9)+$I$4))),TREND($E86:$F86,$E$9:$F$9,W$9))</f>
        <v>7.9004456909400516E-4</v>
      </c>
      <c r="X86">
        <f>IF($G86="s-curve",$E86+($F86-$E86)*$I$2/(1+EXP($I$3*(COUNT($I$9:X$9)+$I$4))),TREND($E86:$F86,$E$9:$F$9,X$9))</f>
        <v>7.9004456909400516E-4</v>
      </c>
      <c r="Y86">
        <f>IF($G86="s-curve",$E86+($F86-$E86)*$I$2/(1+EXP($I$3*(COUNT($I$9:Y$9)+$I$4))),TREND($E86:$F86,$E$9:$F$9,Y$9))</f>
        <v>7.9004456909400516E-4</v>
      </c>
      <c r="Z86">
        <f>IF($G86="s-curve",$E86+($F86-$E86)*$I$2/(1+EXP($I$3*(COUNT($I$9:Z$9)+$I$4))),TREND($E86:$F86,$E$9:$F$9,Z$9))</f>
        <v>7.9004456909400516E-4</v>
      </c>
      <c r="AA86">
        <f>IF($G86="s-curve",$E86+($F86-$E86)*$I$2/(1+EXP($I$3*(COUNT($I$9:AA$9)+$I$4))),TREND($E86:$F86,$E$9:$F$9,AA$9))</f>
        <v>7.9004456909400516E-4</v>
      </c>
      <c r="AB86">
        <f>IF($G86="s-curve",$E86+($F86-$E86)*$I$2/(1+EXP($I$3*(COUNT($I$9:AB$9)+$I$4))),TREND($E86:$F86,$E$9:$F$9,AB$9))</f>
        <v>7.9004456909400516E-4</v>
      </c>
      <c r="AC86">
        <f>IF($G86="s-curve",$E86+($F86-$E86)*$I$2/(1+EXP($I$3*(COUNT($I$9:AC$9)+$I$4))),TREND($E86:$F86,$E$9:$F$9,AC$9))</f>
        <v>7.9004456909400516E-4</v>
      </c>
      <c r="AD86">
        <f>IF($G86="s-curve",$E86+($F86-$E86)*$I$2/(1+EXP($I$3*(COUNT($I$9:AD$9)+$I$4))),TREND($E86:$F86,$E$9:$F$9,AD$9))</f>
        <v>7.9004456909400516E-4</v>
      </c>
      <c r="AE86">
        <f>IF($G86="s-curve",$E86+($F86-$E86)*$I$2/(1+EXP($I$3*(COUNT($I$9:AE$9)+$I$4))),TREND($E86:$F86,$E$9:$F$9,AE$9))</f>
        <v>7.9004456909400516E-4</v>
      </c>
      <c r="AF86">
        <f>IF($G86="s-curve",$E86+($F86-$E86)*$I$2/(1+EXP($I$3*(COUNT($I$9:AF$9)+$I$4))),TREND($E86:$F86,$E$9:$F$9,AF$9))</f>
        <v>7.9004456909400516E-4</v>
      </c>
      <c r="AG86">
        <f>IF($G86="s-curve",$E86+($F86-$E86)*$I$2/(1+EXP($I$3*(COUNT($I$9:AG$9)+$I$4))),TREND($E86:$F86,$E$9:$F$9,AG$9))</f>
        <v>7.9004456909400516E-4</v>
      </c>
      <c r="AH86">
        <f>IF($G86="s-curve",$E86+($F86-$E86)*$I$2/(1+EXP($I$3*(COUNT($I$9:AH$9)+$I$4))),TREND($E86:$F86,$E$9:$F$9,AH$9))</f>
        <v>7.9004456909400516E-4</v>
      </c>
      <c r="AI86">
        <f>IF($G86="s-curve",$E86+($F86-$E86)*$I$2/(1+EXP($I$3*(COUNT($I$9:AI$9)+$I$4))),TREND($E86:$F86,$E$9:$F$9,AI$9))</f>
        <v>7.9004456909400516E-4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1</v>
      </c>
      <c r="C2">
        <f>Data!K10</f>
        <v>1</v>
      </c>
      <c r="D2">
        <f>Data!L10</f>
        <v>1</v>
      </c>
      <c r="E2">
        <f>Data!M10</f>
        <v>1</v>
      </c>
      <c r="F2">
        <f>Data!N10</f>
        <v>1</v>
      </c>
      <c r="G2">
        <f>Data!O10</f>
        <v>1</v>
      </c>
      <c r="H2">
        <f>Data!P10</f>
        <v>1</v>
      </c>
      <c r="I2">
        <f>Data!Q10</f>
        <v>1</v>
      </c>
      <c r="J2">
        <f>Data!R10</f>
        <v>1</v>
      </c>
      <c r="K2">
        <f>Data!S10</f>
        <v>1</v>
      </c>
      <c r="L2">
        <f>Data!T10</f>
        <v>1</v>
      </c>
      <c r="M2">
        <f>Data!U10</f>
        <v>1</v>
      </c>
      <c r="N2">
        <f>Data!V10</f>
        <v>1</v>
      </c>
      <c r="O2">
        <f>Data!W10</f>
        <v>1</v>
      </c>
      <c r="P2">
        <f>Data!X10</f>
        <v>1</v>
      </c>
      <c r="Q2">
        <f>Data!Y10</f>
        <v>1</v>
      </c>
      <c r="R2">
        <f>Data!Z10</f>
        <v>1</v>
      </c>
      <c r="S2">
        <f>Data!AA10</f>
        <v>1</v>
      </c>
      <c r="T2">
        <f>Data!AB10</f>
        <v>1</v>
      </c>
      <c r="U2">
        <f>Data!AC10</f>
        <v>1</v>
      </c>
      <c r="V2">
        <f>Data!AD10</f>
        <v>1</v>
      </c>
      <c r="W2">
        <f>Data!AE10</f>
        <v>1</v>
      </c>
      <c r="X2">
        <f>Data!AF10</f>
        <v>1</v>
      </c>
      <c r="Y2">
        <f>Data!AG10</f>
        <v>1</v>
      </c>
      <c r="Z2">
        <f>Data!AH10</f>
        <v>1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9.4144946773165697E-5</v>
      </c>
      <c r="C3">
        <f>Data!K11</f>
        <v>9.4144946773165697E-5</v>
      </c>
      <c r="D3">
        <f>Data!L11</f>
        <v>9.4144946773165697E-5</v>
      </c>
      <c r="E3">
        <f>Data!M11</f>
        <v>9.4144946773165697E-5</v>
      </c>
      <c r="F3">
        <f>Data!N11</f>
        <v>9.4144946773165697E-5</v>
      </c>
      <c r="G3">
        <f>Data!O11</f>
        <v>9.4144946773165697E-5</v>
      </c>
      <c r="H3">
        <f>Data!P11</f>
        <v>9.4144946773165697E-5</v>
      </c>
      <c r="I3">
        <f>Data!Q11</f>
        <v>9.4144946773165697E-5</v>
      </c>
      <c r="J3">
        <f>Data!R11</f>
        <v>9.4144946773165697E-5</v>
      </c>
      <c r="K3">
        <f>Data!S11</f>
        <v>9.4144946773165697E-5</v>
      </c>
      <c r="L3">
        <f>Data!T11</f>
        <v>9.4144946773165697E-5</v>
      </c>
      <c r="M3">
        <f>Data!U11</f>
        <v>9.4144946773165697E-5</v>
      </c>
      <c r="N3">
        <f>Data!V11</f>
        <v>9.4144946773165697E-5</v>
      </c>
      <c r="O3">
        <f>Data!W11</f>
        <v>9.4144946773165697E-5</v>
      </c>
      <c r="P3">
        <f>Data!X11</f>
        <v>9.4144946773165697E-5</v>
      </c>
      <c r="Q3">
        <f>Data!Y11</f>
        <v>9.4144946773165697E-5</v>
      </c>
      <c r="R3">
        <f>Data!Z11</f>
        <v>9.4144946773165697E-5</v>
      </c>
      <c r="S3">
        <f>Data!AA11</f>
        <v>9.4144946773165697E-5</v>
      </c>
      <c r="T3">
        <f>Data!AB11</f>
        <v>9.4144946773165697E-5</v>
      </c>
      <c r="U3">
        <f>Data!AC11</f>
        <v>9.4144946773165697E-5</v>
      </c>
      <c r="V3">
        <f>Data!AD11</f>
        <v>9.4144946773165697E-5</v>
      </c>
      <c r="W3">
        <f>Data!AE11</f>
        <v>9.4144946773165697E-5</v>
      </c>
      <c r="X3">
        <f>Data!AF11</f>
        <v>9.4144946773165697E-5</v>
      </c>
      <c r="Y3">
        <f>Data!AG11</f>
        <v>9.4144946773165697E-5</v>
      </c>
      <c r="Z3">
        <f>Data!AH11</f>
        <v>9.4144946773165697E-5</v>
      </c>
      <c r="AA3">
        <f>Data!AI11</f>
        <v>9.4144946773165697E-5</v>
      </c>
    </row>
    <row r="4" spans="1:27" x14ac:dyDescent="0.45">
      <c r="A4" t="str">
        <f>Data!C12</f>
        <v>gasoline vehicle</v>
      </c>
      <c r="B4">
        <f>Data!J12</f>
        <v>0.88206853659642326</v>
      </c>
      <c r="C4">
        <f>Data!K12</f>
        <v>0.88206853659642326</v>
      </c>
      <c r="D4">
        <f>Data!L12</f>
        <v>0.88206853659642326</v>
      </c>
      <c r="E4">
        <f>Data!M12</f>
        <v>0.88206853659642326</v>
      </c>
      <c r="F4">
        <f>Data!N12</f>
        <v>0.88206853659642326</v>
      </c>
      <c r="G4">
        <f>Data!O12</f>
        <v>0.88206853659642326</v>
      </c>
      <c r="H4">
        <f>Data!P12</f>
        <v>0.88206853659642326</v>
      </c>
      <c r="I4">
        <f>Data!Q12</f>
        <v>0.88206853659642326</v>
      </c>
      <c r="J4">
        <f>Data!R12</f>
        <v>0.88206853659642326</v>
      </c>
      <c r="K4">
        <f>Data!S12</f>
        <v>0.88206853659642326</v>
      </c>
      <c r="L4">
        <f>Data!T12</f>
        <v>0.88206853659642326</v>
      </c>
      <c r="M4">
        <f>Data!U12</f>
        <v>0.88206853659642326</v>
      </c>
      <c r="N4">
        <f>Data!V12</f>
        <v>0.88206853659642326</v>
      </c>
      <c r="O4">
        <f>Data!W12</f>
        <v>0.88206853659642326</v>
      </c>
      <c r="P4">
        <f>Data!X12</f>
        <v>0.88206853659642326</v>
      </c>
      <c r="Q4">
        <f>Data!Y12</f>
        <v>0.88206853659642326</v>
      </c>
      <c r="R4">
        <f>Data!Z12</f>
        <v>0.88206853659642326</v>
      </c>
      <c r="S4">
        <f>Data!AA12</f>
        <v>0.88206853659642326</v>
      </c>
      <c r="T4">
        <f>Data!AB12</f>
        <v>0.88206853659642326</v>
      </c>
      <c r="U4">
        <f>Data!AC12</f>
        <v>0.88206853659642326</v>
      </c>
      <c r="V4">
        <f>Data!AD12</f>
        <v>0.88206853659642326</v>
      </c>
      <c r="W4">
        <f>Data!AE12</f>
        <v>0.88206853659642326</v>
      </c>
      <c r="X4">
        <f>Data!AF12</f>
        <v>0.88206853659642326</v>
      </c>
      <c r="Y4">
        <f>Data!AG12</f>
        <v>0.88206853659642326</v>
      </c>
      <c r="Z4">
        <f>Data!AH12</f>
        <v>0.88206853659642326</v>
      </c>
      <c r="AA4">
        <f>Data!AI12</f>
        <v>0.88206853659642326</v>
      </c>
    </row>
    <row r="5" spans="1:27" x14ac:dyDescent="0.45">
      <c r="A5" t="str">
        <f>Data!C13</f>
        <v>diesel vehicle</v>
      </c>
      <c r="B5">
        <f>Data!J13</f>
        <v>5.9926729438674088E-2</v>
      </c>
      <c r="C5">
        <f>Data!K13</f>
        <v>5.9926729438674088E-2</v>
      </c>
      <c r="D5">
        <f>Data!L13</f>
        <v>5.9926729438674088E-2</v>
      </c>
      <c r="E5">
        <f>Data!M13</f>
        <v>5.9926729438674088E-2</v>
      </c>
      <c r="F5">
        <f>Data!N13</f>
        <v>5.9926729438674088E-2</v>
      </c>
      <c r="G5">
        <f>Data!O13</f>
        <v>5.9926729438674088E-2</v>
      </c>
      <c r="H5">
        <f>Data!P13</f>
        <v>5.9926729438674088E-2</v>
      </c>
      <c r="I5">
        <f>Data!Q13</f>
        <v>5.9926729438674088E-2</v>
      </c>
      <c r="J5">
        <f>Data!R13</f>
        <v>5.9926729438674088E-2</v>
      </c>
      <c r="K5">
        <f>Data!S13</f>
        <v>5.9926729438674088E-2</v>
      </c>
      <c r="L5">
        <f>Data!T13</f>
        <v>5.9926729438674088E-2</v>
      </c>
      <c r="M5">
        <f>Data!U13</f>
        <v>5.9926729438674088E-2</v>
      </c>
      <c r="N5">
        <f>Data!V13</f>
        <v>5.9926729438674088E-2</v>
      </c>
      <c r="O5">
        <f>Data!W13</f>
        <v>5.9926729438674088E-2</v>
      </c>
      <c r="P5">
        <f>Data!X13</f>
        <v>5.9926729438674088E-2</v>
      </c>
      <c r="Q5">
        <f>Data!Y13</f>
        <v>5.9926729438674088E-2</v>
      </c>
      <c r="R5">
        <f>Data!Z13</f>
        <v>5.9926729438674088E-2</v>
      </c>
      <c r="S5">
        <f>Data!AA13</f>
        <v>5.9926729438674088E-2</v>
      </c>
      <c r="T5">
        <f>Data!AB13</f>
        <v>5.9926729438674088E-2</v>
      </c>
      <c r="U5">
        <f>Data!AC13</f>
        <v>5.9926729438674088E-2</v>
      </c>
      <c r="V5">
        <f>Data!AD13</f>
        <v>5.9926729438674088E-2</v>
      </c>
      <c r="W5">
        <f>Data!AE13</f>
        <v>5.9926729438674088E-2</v>
      </c>
      <c r="X5">
        <f>Data!AF13</f>
        <v>5.9926729438674088E-2</v>
      </c>
      <c r="Y5">
        <f>Data!AG13</f>
        <v>5.9926729438674088E-2</v>
      </c>
      <c r="Z5">
        <f>Data!AH13</f>
        <v>5.9926729438674088E-2</v>
      </c>
      <c r="AA5">
        <f>Data!AI13</f>
        <v>5.9926729438674088E-2</v>
      </c>
    </row>
    <row r="6" spans="1:27" x14ac:dyDescent="0.45">
      <c r="A6" t="str">
        <f>Data!C14</f>
        <v>plugin hybrid vehicle</v>
      </c>
      <c r="B6">
        <f>Data!J14</f>
        <v>5.114844737603641E-2</v>
      </c>
      <c r="C6">
        <f>Data!K14</f>
        <v>5.114844737603641E-2</v>
      </c>
      <c r="D6">
        <f>Data!L14</f>
        <v>5.114844737603641E-2</v>
      </c>
      <c r="E6">
        <f>Data!M14</f>
        <v>5.114844737603641E-2</v>
      </c>
      <c r="F6">
        <f>Data!N14</f>
        <v>5.114844737603641E-2</v>
      </c>
      <c r="G6">
        <f>Data!O14</f>
        <v>5.114844737603641E-2</v>
      </c>
      <c r="H6">
        <f>Data!P14</f>
        <v>5.114844737603641E-2</v>
      </c>
      <c r="I6">
        <f>Data!Q14</f>
        <v>5.114844737603641E-2</v>
      </c>
      <c r="J6">
        <f>Data!R14</f>
        <v>5.114844737603641E-2</v>
      </c>
      <c r="K6">
        <f>Data!S14</f>
        <v>5.114844737603641E-2</v>
      </c>
      <c r="L6">
        <f>Data!T14</f>
        <v>5.114844737603641E-2</v>
      </c>
      <c r="M6">
        <f>Data!U14</f>
        <v>5.114844737603641E-2</v>
      </c>
      <c r="N6">
        <f>Data!V14</f>
        <v>5.114844737603641E-2</v>
      </c>
      <c r="O6">
        <f>Data!W14</f>
        <v>5.114844737603641E-2</v>
      </c>
      <c r="P6">
        <f>Data!X14</f>
        <v>5.114844737603641E-2</v>
      </c>
      <c r="Q6">
        <f>Data!Y14</f>
        <v>5.114844737603641E-2</v>
      </c>
      <c r="R6">
        <f>Data!Z14</f>
        <v>5.114844737603641E-2</v>
      </c>
      <c r="S6">
        <f>Data!AA14</f>
        <v>5.114844737603641E-2</v>
      </c>
      <c r="T6">
        <f>Data!AB14</f>
        <v>5.114844737603641E-2</v>
      </c>
      <c r="U6">
        <f>Data!AC14</f>
        <v>5.114844737603641E-2</v>
      </c>
      <c r="V6">
        <f>Data!AD14</f>
        <v>5.114844737603641E-2</v>
      </c>
      <c r="W6">
        <f>Data!AE14</f>
        <v>5.114844737603641E-2</v>
      </c>
      <c r="X6">
        <f>Data!AF14</f>
        <v>5.114844737603641E-2</v>
      </c>
      <c r="Y6">
        <f>Data!AG14</f>
        <v>5.114844737603641E-2</v>
      </c>
      <c r="Z6">
        <f>Data!AH14</f>
        <v>5.114844737603641E-2</v>
      </c>
      <c r="AA6">
        <f>Data!AI14</f>
        <v>5.114844737603641E-2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7.9004456909400516E-4</v>
      </c>
      <c r="C8">
        <f>Data!K16</f>
        <v>7.9004456909400516E-4</v>
      </c>
      <c r="D8">
        <f>Data!L16</f>
        <v>7.9004456909400516E-4</v>
      </c>
      <c r="E8">
        <f>Data!M16</f>
        <v>7.9004456909400516E-4</v>
      </c>
      <c r="F8">
        <f>Data!N16</f>
        <v>7.9004456909400516E-4</v>
      </c>
      <c r="G8">
        <f>Data!O16</f>
        <v>7.9004456909400516E-4</v>
      </c>
      <c r="H8">
        <f>Data!P16</f>
        <v>7.9004456909400516E-4</v>
      </c>
      <c r="I8">
        <f>Data!Q16</f>
        <v>7.9004456909400516E-4</v>
      </c>
      <c r="J8">
        <f>Data!R16</f>
        <v>7.9004456909400516E-4</v>
      </c>
      <c r="K8">
        <f>Data!S16</f>
        <v>7.9004456909400516E-4</v>
      </c>
      <c r="L8">
        <f>Data!T16</f>
        <v>7.9004456909400516E-4</v>
      </c>
      <c r="M8">
        <f>Data!U16</f>
        <v>7.9004456909400516E-4</v>
      </c>
      <c r="N8">
        <f>Data!V16</f>
        <v>7.9004456909400516E-4</v>
      </c>
      <c r="O8">
        <f>Data!W16</f>
        <v>7.9004456909400516E-4</v>
      </c>
      <c r="P8">
        <f>Data!X16</f>
        <v>7.9004456909400516E-4</v>
      </c>
      <c r="Q8">
        <f>Data!Y16</f>
        <v>7.9004456909400516E-4</v>
      </c>
      <c r="R8">
        <f>Data!Z16</f>
        <v>7.9004456909400516E-4</v>
      </c>
      <c r="S8">
        <f>Data!AA16</f>
        <v>7.9004456909400516E-4</v>
      </c>
      <c r="T8">
        <f>Data!AB16</f>
        <v>7.9004456909400516E-4</v>
      </c>
      <c r="U8">
        <f>Data!AC16</f>
        <v>7.9004456909400516E-4</v>
      </c>
      <c r="V8">
        <f>Data!AD16</f>
        <v>7.9004456909400516E-4</v>
      </c>
      <c r="W8">
        <f>Data!AE16</f>
        <v>7.9004456909400516E-4</v>
      </c>
      <c r="X8">
        <f>Data!AF16</f>
        <v>7.9004456909400516E-4</v>
      </c>
      <c r="Y8">
        <f>Data!AG16</f>
        <v>7.9004456909400516E-4</v>
      </c>
      <c r="Z8">
        <f>Data!AH16</f>
        <v>7.9004456909400516E-4</v>
      </c>
      <c r="AA8">
        <f>Data!AI16</f>
        <v>7.9004456909400516E-4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0.94736842105263153</v>
      </c>
      <c r="C2">
        <f>Data!K52</f>
        <v>0.94736842105263153</v>
      </c>
      <c r="D2">
        <f>Data!L52</f>
        <v>0.94736842105263153</v>
      </c>
      <c r="E2">
        <f>Data!M52</f>
        <v>0.94736842105263153</v>
      </c>
      <c r="F2">
        <f>Data!N52</f>
        <v>0.94736842105263153</v>
      </c>
      <c r="G2">
        <f>Data!O52</f>
        <v>0.94736842105263153</v>
      </c>
      <c r="H2">
        <f>Data!P52</f>
        <v>0.94736842105263153</v>
      </c>
      <c r="I2">
        <f>Data!Q52</f>
        <v>0.94736842105263153</v>
      </c>
      <c r="J2">
        <f>Data!R52</f>
        <v>0.94736842105263153</v>
      </c>
      <c r="K2">
        <f>Data!S52</f>
        <v>0.94736842105263153</v>
      </c>
      <c r="L2">
        <f>Data!T52</f>
        <v>0.94736842105263153</v>
      </c>
      <c r="M2">
        <f>Data!U52</f>
        <v>0.94736842105263153</v>
      </c>
      <c r="N2">
        <f>Data!V52</f>
        <v>0.94736842105263153</v>
      </c>
      <c r="O2">
        <f>Data!W52</f>
        <v>0.94736842105263153</v>
      </c>
      <c r="P2">
        <f>Data!X52</f>
        <v>0.94736842105263153</v>
      </c>
      <c r="Q2">
        <f>Data!Y52</f>
        <v>0.94736842105263153</v>
      </c>
      <c r="R2">
        <f>Data!Z52</f>
        <v>0.94736842105263153</v>
      </c>
      <c r="S2">
        <f>Data!AA52</f>
        <v>0.94736842105263153</v>
      </c>
      <c r="T2">
        <f>Data!AB52</f>
        <v>0.94736842105263153</v>
      </c>
      <c r="U2">
        <f>Data!AC52</f>
        <v>0.94736842105263153</v>
      </c>
      <c r="V2">
        <f>Data!AD52</f>
        <v>0.94736842105263153</v>
      </c>
      <c r="W2">
        <f>Data!AE52</f>
        <v>0.94736842105263153</v>
      </c>
      <c r="X2">
        <f>Data!AF52</f>
        <v>0.94736842105263153</v>
      </c>
      <c r="Y2">
        <f>Data!AG52</f>
        <v>0.94736842105263153</v>
      </c>
      <c r="Z2">
        <f>Data!AH52</f>
        <v>0.94736842105263153</v>
      </c>
      <c r="AA2">
        <f>Data!AI52</f>
        <v>0.94736842105263153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5.2631578947368474E-2</v>
      </c>
      <c r="C5">
        <f>Data!K55</f>
        <v>5.2631578947368474E-2</v>
      </c>
      <c r="D5">
        <f>Data!L55</f>
        <v>5.2631578947368474E-2</v>
      </c>
      <c r="E5">
        <f>Data!M55</f>
        <v>5.2631578947368474E-2</v>
      </c>
      <c r="F5">
        <f>Data!N55</f>
        <v>5.2631578947368474E-2</v>
      </c>
      <c r="G5">
        <f>Data!O55</f>
        <v>5.2631578947368474E-2</v>
      </c>
      <c r="H5">
        <f>Data!P55</f>
        <v>5.2631578947368474E-2</v>
      </c>
      <c r="I5">
        <f>Data!Q55</f>
        <v>5.2631578947368474E-2</v>
      </c>
      <c r="J5">
        <f>Data!R55</f>
        <v>5.2631578947368474E-2</v>
      </c>
      <c r="K5">
        <f>Data!S55</f>
        <v>5.2631578947368474E-2</v>
      </c>
      <c r="L5">
        <f>Data!T55</f>
        <v>5.2631578947368474E-2</v>
      </c>
      <c r="M5">
        <f>Data!U55</f>
        <v>5.2631578947368474E-2</v>
      </c>
      <c r="N5">
        <f>Data!V55</f>
        <v>5.2631578947368474E-2</v>
      </c>
      <c r="O5">
        <f>Data!W55</f>
        <v>5.2631578947368474E-2</v>
      </c>
      <c r="P5">
        <f>Data!X55</f>
        <v>5.2631578947368474E-2</v>
      </c>
      <c r="Q5">
        <f>Data!Y55</f>
        <v>5.2631578947368474E-2</v>
      </c>
      <c r="R5">
        <f>Data!Z55</f>
        <v>5.2631578947368474E-2</v>
      </c>
      <c r="S5">
        <f>Data!AA55</f>
        <v>5.2631578947368474E-2</v>
      </c>
      <c r="T5">
        <f>Data!AB55</f>
        <v>5.2631578947368474E-2</v>
      </c>
      <c r="U5">
        <f>Data!AC55</f>
        <v>5.2631578947368474E-2</v>
      </c>
      <c r="V5">
        <f>Data!AD55</f>
        <v>5.2631578947368474E-2</v>
      </c>
      <c r="W5">
        <f>Data!AE55</f>
        <v>5.2631578947368474E-2</v>
      </c>
      <c r="X5">
        <f>Data!AF55</f>
        <v>5.2631578947368474E-2</v>
      </c>
      <c r="Y5">
        <f>Data!AG55</f>
        <v>5.2631578947368474E-2</v>
      </c>
      <c r="Z5">
        <f>Data!AH55</f>
        <v>5.2631578947368474E-2</v>
      </c>
      <c r="AA5">
        <f>Data!AI55</f>
        <v>5.2631578947368474E-2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1</v>
      </c>
      <c r="C2">
        <f>Data!K80</f>
        <v>1</v>
      </c>
      <c r="D2">
        <f>Data!L80</f>
        <v>1</v>
      </c>
      <c r="E2">
        <f>Data!M80</f>
        <v>1</v>
      </c>
      <c r="F2">
        <f>Data!N80</f>
        <v>1</v>
      </c>
      <c r="G2">
        <f>Data!O80</f>
        <v>1</v>
      </c>
      <c r="H2">
        <f>Data!P80</f>
        <v>1</v>
      </c>
      <c r="I2">
        <f>Data!Q80</f>
        <v>1</v>
      </c>
      <c r="J2">
        <f>Data!R80</f>
        <v>1</v>
      </c>
      <c r="K2">
        <f>Data!S80</f>
        <v>1</v>
      </c>
      <c r="L2">
        <f>Data!T80</f>
        <v>1</v>
      </c>
      <c r="M2">
        <f>Data!U80</f>
        <v>1</v>
      </c>
      <c r="N2">
        <f>Data!V80</f>
        <v>1</v>
      </c>
      <c r="O2">
        <f>Data!W80</f>
        <v>1</v>
      </c>
      <c r="P2">
        <f>Data!X80</f>
        <v>1</v>
      </c>
      <c r="Q2">
        <f>Data!Y80</f>
        <v>1</v>
      </c>
      <c r="R2">
        <f>Data!Z80</f>
        <v>1</v>
      </c>
      <c r="S2">
        <f>Data!AA80</f>
        <v>1</v>
      </c>
      <c r="T2">
        <f>Data!AB80</f>
        <v>1</v>
      </c>
      <c r="U2">
        <f>Data!AC80</f>
        <v>1</v>
      </c>
      <c r="V2">
        <f>Data!AD80</f>
        <v>1</v>
      </c>
      <c r="W2">
        <f>Data!AE80</f>
        <v>1</v>
      </c>
      <c r="X2">
        <f>Data!AF80</f>
        <v>1</v>
      </c>
      <c r="Y2">
        <f>Data!AG80</f>
        <v>1</v>
      </c>
      <c r="Z2">
        <f>Data!AH80</f>
        <v>1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9.4144946773165697E-5</v>
      </c>
      <c r="C3">
        <f>Data!K81</f>
        <v>9.4144946773165697E-5</v>
      </c>
      <c r="D3">
        <f>Data!L81</f>
        <v>9.4144946773165697E-5</v>
      </c>
      <c r="E3">
        <f>Data!M81</f>
        <v>9.4144946773165697E-5</v>
      </c>
      <c r="F3">
        <f>Data!N81</f>
        <v>9.4144946773165697E-5</v>
      </c>
      <c r="G3">
        <f>Data!O81</f>
        <v>9.4144946773165697E-5</v>
      </c>
      <c r="H3">
        <f>Data!P81</f>
        <v>9.4144946773165697E-5</v>
      </c>
      <c r="I3">
        <f>Data!Q81</f>
        <v>9.4144946773165697E-5</v>
      </c>
      <c r="J3">
        <f>Data!R81</f>
        <v>9.4144946773165697E-5</v>
      </c>
      <c r="K3">
        <f>Data!S81</f>
        <v>9.4144946773165697E-5</v>
      </c>
      <c r="L3">
        <f>Data!T81</f>
        <v>9.4144946773165697E-5</v>
      </c>
      <c r="M3">
        <f>Data!U81</f>
        <v>9.4144946773165697E-5</v>
      </c>
      <c r="N3">
        <f>Data!V81</f>
        <v>9.4144946773165697E-5</v>
      </c>
      <c r="O3">
        <f>Data!W81</f>
        <v>9.4144946773165697E-5</v>
      </c>
      <c r="P3">
        <f>Data!X81</f>
        <v>9.4144946773165697E-5</v>
      </c>
      <c r="Q3">
        <f>Data!Y81</f>
        <v>9.4144946773165697E-5</v>
      </c>
      <c r="R3">
        <f>Data!Z81</f>
        <v>9.4144946773165697E-5</v>
      </c>
      <c r="S3">
        <f>Data!AA81</f>
        <v>9.4144946773165697E-5</v>
      </c>
      <c r="T3">
        <f>Data!AB81</f>
        <v>9.4144946773165697E-5</v>
      </c>
      <c r="U3">
        <f>Data!AC81</f>
        <v>9.4144946773165697E-5</v>
      </c>
      <c r="V3">
        <f>Data!AD81</f>
        <v>9.4144946773165697E-5</v>
      </c>
      <c r="W3">
        <f>Data!AE81</f>
        <v>9.4144946773165697E-5</v>
      </c>
      <c r="X3">
        <f>Data!AF81</f>
        <v>9.4144946773165697E-5</v>
      </c>
      <c r="Y3">
        <f>Data!AG81</f>
        <v>9.4144946773165697E-5</v>
      </c>
      <c r="Z3">
        <f>Data!AH81</f>
        <v>9.4144946773165697E-5</v>
      </c>
      <c r="AA3">
        <f>Data!AI81</f>
        <v>9.4144946773165697E-5</v>
      </c>
    </row>
    <row r="4" spans="1:27" x14ac:dyDescent="0.45">
      <c r="A4" t="str">
        <f>Data!C82</f>
        <v>gasoline vehicle</v>
      </c>
      <c r="B4">
        <f>Data!J82</f>
        <v>0.88206853659642326</v>
      </c>
      <c r="C4">
        <f>Data!K82</f>
        <v>0.88206853659642326</v>
      </c>
      <c r="D4">
        <f>Data!L82</f>
        <v>0.88206853659642326</v>
      </c>
      <c r="E4">
        <f>Data!M82</f>
        <v>0.88206853659642326</v>
      </c>
      <c r="F4">
        <f>Data!N82</f>
        <v>0.88206853659642326</v>
      </c>
      <c r="G4">
        <f>Data!O82</f>
        <v>0.88206853659642326</v>
      </c>
      <c r="H4">
        <f>Data!P82</f>
        <v>0.88206853659642326</v>
      </c>
      <c r="I4">
        <f>Data!Q82</f>
        <v>0.88206853659642326</v>
      </c>
      <c r="J4">
        <f>Data!R82</f>
        <v>0.88206853659642326</v>
      </c>
      <c r="K4">
        <f>Data!S82</f>
        <v>0.88206853659642326</v>
      </c>
      <c r="L4">
        <f>Data!T82</f>
        <v>0.88206853659642326</v>
      </c>
      <c r="M4">
        <f>Data!U82</f>
        <v>0.88206853659642326</v>
      </c>
      <c r="N4">
        <f>Data!V82</f>
        <v>0.88206853659642326</v>
      </c>
      <c r="O4">
        <f>Data!W82</f>
        <v>0.88206853659642326</v>
      </c>
      <c r="P4">
        <f>Data!X82</f>
        <v>0.88206853659642326</v>
      </c>
      <c r="Q4">
        <f>Data!Y82</f>
        <v>0.88206853659642326</v>
      </c>
      <c r="R4">
        <f>Data!Z82</f>
        <v>0.88206853659642326</v>
      </c>
      <c r="S4">
        <f>Data!AA82</f>
        <v>0.88206853659642326</v>
      </c>
      <c r="T4">
        <f>Data!AB82</f>
        <v>0.88206853659642326</v>
      </c>
      <c r="U4">
        <f>Data!AC82</f>
        <v>0.88206853659642326</v>
      </c>
      <c r="V4">
        <f>Data!AD82</f>
        <v>0.88206853659642326</v>
      </c>
      <c r="W4">
        <f>Data!AE82</f>
        <v>0.88206853659642326</v>
      </c>
      <c r="X4">
        <f>Data!AF82</f>
        <v>0.88206853659642326</v>
      </c>
      <c r="Y4">
        <f>Data!AG82</f>
        <v>0.88206853659642326</v>
      </c>
      <c r="Z4">
        <f>Data!AH82</f>
        <v>0.88206853659642326</v>
      </c>
      <c r="AA4">
        <f>Data!AI82</f>
        <v>0.88206853659642326</v>
      </c>
    </row>
    <row r="5" spans="1:27" x14ac:dyDescent="0.45">
      <c r="A5" t="str">
        <f>Data!C83</f>
        <v>diesel vehicle</v>
      </c>
      <c r="B5">
        <f>Data!J83</f>
        <v>5.9926729438674088E-2</v>
      </c>
      <c r="C5">
        <f>Data!K83</f>
        <v>5.9926729438674088E-2</v>
      </c>
      <c r="D5">
        <f>Data!L83</f>
        <v>5.9926729438674088E-2</v>
      </c>
      <c r="E5">
        <f>Data!M83</f>
        <v>5.9926729438674088E-2</v>
      </c>
      <c r="F5">
        <f>Data!N83</f>
        <v>5.9926729438674088E-2</v>
      </c>
      <c r="G5">
        <f>Data!O83</f>
        <v>5.9926729438674088E-2</v>
      </c>
      <c r="H5">
        <f>Data!P83</f>
        <v>5.9926729438674088E-2</v>
      </c>
      <c r="I5">
        <f>Data!Q83</f>
        <v>5.9926729438674088E-2</v>
      </c>
      <c r="J5">
        <f>Data!R83</f>
        <v>5.9926729438674088E-2</v>
      </c>
      <c r="K5">
        <f>Data!S83</f>
        <v>5.9926729438674088E-2</v>
      </c>
      <c r="L5">
        <f>Data!T83</f>
        <v>5.9926729438674088E-2</v>
      </c>
      <c r="M5">
        <f>Data!U83</f>
        <v>5.9926729438674088E-2</v>
      </c>
      <c r="N5">
        <f>Data!V83</f>
        <v>5.9926729438674088E-2</v>
      </c>
      <c r="O5">
        <f>Data!W83</f>
        <v>5.9926729438674088E-2</v>
      </c>
      <c r="P5">
        <f>Data!X83</f>
        <v>5.9926729438674088E-2</v>
      </c>
      <c r="Q5">
        <f>Data!Y83</f>
        <v>5.9926729438674088E-2</v>
      </c>
      <c r="R5">
        <f>Data!Z83</f>
        <v>5.9926729438674088E-2</v>
      </c>
      <c r="S5">
        <f>Data!AA83</f>
        <v>5.9926729438674088E-2</v>
      </c>
      <c r="T5">
        <f>Data!AB83</f>
        <v>5.9926729438674088E-2</v>
      </c>
      <c r="U5">
        <f>Data!AC83</f>
        <v>5.9926729438674088E-2</v>
      </c>
      <c r="V5">
        <f>Data!AD83</f>
        <v>5.9926729438674088E-2</v>
      </c>
      <c r="W5">
        <f>Data!AE83</f>
        <v>5.9926729438674088E-2</v>
      </c>
      <c r="X5">
        <f>Data!AF83</f>
        <v>5.9926729438674088E-2</v>
      </c>
      <c r="Y5">
        <f>Data!AG83</f>
        <v>5.9926729438674088E-2</v>
      </c>
      <c r="Z5">
        <f>Data!AH83</f>
        <v>5.9926729438674088E-2</v>
      </c>
      <c r="AA5">
        <f>Data!AI83</f>
        <v>5.9926729438674088E-2</v>
      </c>
    </row>
    <row r="6" spans="1:27" x14ac:dyDescent="0.45">
      <c r="A6" t="str">
        <f>Data!C84</f>
        <v>plugin hybrid vehicle</v>
      </c>
      <c r="B6">
        <f>Data!J84</f>
        <v>5.114844737603641E-2</v>
      </c>
      <c r="C6">
        <f>Data!K84</f>
        <v>5.114844737603641E-2</v>
      </c>
      <c r="D6">
        <f>Data!L84</f>
        <v>5.114844737603641E-2</v>
      </c>
      <c r="E6">
        <f>Data!M84</f>
        <v>5.114844737603641E-2</v>
      </c>
      <c r="F6">
        <f>Data!N84</f>
        <v>5.114844737603641E-2</v>
      </c>
      <c r="G6">
        <f>Data!O84</f>
        <v>5.114844737603641E-2</v>
      </c>
      <c r="H6">
        <f>Data!P84</f>
        <v>5.114844737603641E-2</v>
      </c>
      <c r="I6">
        <f>Data!Q84</f>
        <v>5.114844737603641E-2</v>
      </c>
      <c r="J6">
        <f>Data!R84</f>
        <v>5.114844737603641E-2</v>
      </c>
      <c r="K6">
        <f>Data!S84</f>
        <v>5.114844737603641E-2</v>
      </c>
      <c r="L6">
        <f>Data!T84</f>
        <v>5.114844737603641E-2</v>
      </c>
      <c r="M6">
        <f>Data!U84</f>
        <v>5.114844737603641E-2</v>
      </c>
      <c r="N6">
        <f>Data!V84</f>
        <v>5.114844737603641E-2</v>
      </c>
      <c r="O6">
        <f>Data!W84</f>
        <v>5.114844737603641E-2</v>
      </c>
      <c r="P6">
        <f>Data!X84</f>
        <v>5.114844737603641E-2</v>
      </c>
      <c r="Q6">
        <f>Data!Y84</f>
        <v>5.114844737603641E-2</v>
      </c>
      <c r="R6">
        <f>Data!Z84</f>
        <v>5.114844737603641E-2</v>
      </c>
      <c r="S6">
        <f>Data!AA84</f>
        <v>5.114844737603641E-2</v>
      </c>
      <c r="T6">
        <f>Data!AB84</f>
        <v>5.114844737603641E-2</v>
      </c>
      <c r="U6">
        <f>Data!AC84</f>
        <v>5.114844737603641E-2</v>
      </c>
      <c r="V6">
        <f>Data!AD84</f>
        <v>5.114844737603641E-2</v>
      </c>
      <c r="W6">
        <f>Data!AE84</f>
        <v>5.114844737603641E-2</v>
      </c>
      <c r="X6">
        <f>Data!AF84</f>
        <v>5.114844737603641E-2</v>
      </c>
      <c r="Y6">
        <f>Data!AG84</f>
        <v>5.114844737603641E-2</v>
      </c>
      <c r="Z6">
        <f>Data!AH84</f>
        <v>5.114844737603641E-2</v>
      </c>
      <c r="AA6">
        <f>Data!AI84</f>
        <v>5.114844737603641E-2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7.9004456909400516E-4</v>
      </c>
      <c r="C8">
        <f>Data!K86</f>
        <v>7.9004456909400516E-4</v>
      </c>
      <c r="D8">
        <f>Data!L86</f>
        <v>7.9004456909400516E-4</v>
      </c>
      <c r="E8">
        <f>Data!M86</f>
        <v>7.9004456909400516E-4</v>
      </c>
      <c r="F8">
        <f>Data!N86</f>
        <v>7.9004456909400516E-4</v>
      </c>
      <c r="G8">
        <f>Data!O86</f>
        <v>7.9004456909400516E-4</v>
      </c>
      <c r="H8">
        <f>Data!P86</f>
        <v>7.9004456909400516E-4</v>
      </c>
      <c r="I8">
        <f>Data!Q86</f>
        <v>7.9004456909400516E-4</v>
      </c>
      <c r="J8">
        <f>Data!R86</f>
        <v>7.9004456909400516E-4</v>
      </c>
      <c r="K8">
        <f>Data!S86</f>
        <v>7.9004456909400516E-4</v>
      </c>
      <c r="L8">
        <f>Data!T86</f>
        <v>7.9004456909400516E-4</v>
      </c>
      <c r="M8">
        <f>Data!U86</f>
        <v>7.9004456909400516E-4</v>
      </c>
      <c r="N8">
        <f>Data!V86</f>
        <v>7.9004456909400516E-4</v>
      </c>
      <c r="O8">
        <f>Data!W86</f>
        <v>7.9004456909400516E-4</v>
      </c>
      <c r="P8">
        <f>Data!X86</f>
        <v>7.9004456909400516E-4</v>
      </c>
      <c r="Q8">
        <f>Data!Y86</f>
        <v>7.9004456909400516E-4</v>
      </c>
      <c r="R8">
        <f>Data!Z86</f>
        <v>7.9004456909400516E-4</v>
      </c>
      <c r="S8">
        <f>Data!AA86</f>
        <v>7.9004456909400516E-4</v>
      </c>
      <c r="T8">
        <f>Data!AB86</f>
        <v>7.9004456909400516E-4</v>
      </c>
      <c r="U8">
        <f>Data!AC86</f>
        <v>7.9004456909400516E-4</v>
      </c>
      <c r="V8">
        <f>Data!AD86</f>
        <v>7.9004456909400516E-4</v>
      </c>
      <c r="W8">
        <f>Data!AE86</f>
        <v>7.9004456909400516E-4</v>
      </c>
      <c r="X8">
        <f>Data!AF86</f>
        <v>7.9004456909400516E-4</v>
      </c>
      <c r="Y8">
        <f>Data!AG86</f>
        <v>7.9004456909400516E-4</v>
      </c>
      <c r="Z8">
        <f>Data!AH86</f>
        <v>7.9004456909400516E-4</v>
      </c>
      <c r="AA8">
        <f>Data!AI86</f>
        <v>7.9004456909400516E-4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2026-09-04T21:33:16Z</dcterms:modified>
</cp:coreProperties>
</file>