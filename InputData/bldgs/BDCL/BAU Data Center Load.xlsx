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bldgs\BDCL\"/>
    </mc:Choice>
  </mc:AlternateContent>
  <xr:revisionPtr revIDLastSave="0" documentId="8_{B714AF40-F94D-4C1C-B94D-EA99E17BE27B}"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C167" i="10" s="1"/>
  <c r="E167" i="10"/>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D167" i="10"/>
  <c r="B167" i="10"/>
  <c r="AC166" i="10"/>
  <c r="C166" i="10" s="1"/>
  <c r="Q166" i="10"/>
  <c r="R166" i="10" s="1"/>
  <c r="S166" i="10" s="1"/>
  <c r="T166" i="10" s="1"/>
  <c r="U166" i="10" s="1"/>
  <c r="V166" i="10" s="1"/>
  <c r="W166" i="10" s="1"/>
  <c r="X166" i="10" s="1"/>
  <c r="Y166" i="10" s="1"/>
  <c r="Z166" i="10" s="1"/>
  <c r="AA166" i="10" s="1"/>
  <c r="AB166" i="10" s="1"/>
  <c r="D166" i="10"/>
  <c r="E166" i="10" s="1"/>
  <c r="F166" i="10" s="1"/>
  <c r="G166" i="10" s="1"/>
  <c r="H166" i="10" s="1"/>
  <c r="I166" i="10" s="1"/>
  <c r="J166" i="10" s="1"/>
  <c r="K166" i="10" s="1"/>
  <c r="L166" i="10" s="1"/>
  <c r="M166" i="10" s="1"/>
  <c r="N166" i="10" s="1"/>
  <c r="O166" i="10" s="1"/>
  <c r="P166" i="10" s="1"/>
  <c r="B166" i="10"/>
  <c r="AC165" i="10"/>
  <c r="B165" i="10"/>
  <c r="C165" i="10" s="1"/>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B159" i="10"/>
  <c r="G158" i="10"/>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F158" i="10" s="1"/>
  <c r="AC157" i="10"/>
  <c r="D157" i="10"/>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C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D155" i="10"/>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C155" i="10"/>
  <c r="B155" i="10"/>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P153" i="10"/>
  <c r="Q153" i="10" s="1"/>
  <c r="R153" i="10" s="1"/>
  <c r="S153" i="10" s="1"/>
  <c r="T153" i="10" s="1"/>
  <c r="U153" i="10" s="1"/>
  <c r="V153" i="10" s="1"/>
  <c r="W153" i="10" s="1"/>
  <c r="X153" i="10" s="1"/>
  <c r="Y153" i="10" s="1"/>
  <c r="Z153" i="10" s="1"/>
  <c r="AA153" i="10" s="1"/>
  <c r="AB153" i="10" s="1"/>
  <c r="B153" i="10"/>
  <c r="C153" i="10" s="1"/>
  <c r="D153" i="10" s="1"/>
  <c r="E153" i="10" s="1"/>
  <c r="F153" i="10" s="1"/>
  <c r="G153" i="10" s="1"/>
  <c r="H153" i="10" s="1"/>
  <c r="I153" i="10" s="1"/>
  <c r="J153" i="10" s="1"/>
  <c r="K153" i="10" s="1"/>
  <c r="L153" i="10" s="1"/>
  <c r="M153" i="10" s="1"/>
  <c r="N153" i="10" s="1"/>
  <c r="O153" i="10" s="1"/>
  <c r="AC152" i="10"/>
  <c r="C152" i="10" s="1"/>
  <c r="D152" i="10" s="1"/>
  <c r="E152" i="10" s="1"/>
  <c r="F152" i="10" s="1"/>
  <c r="G152" i="10"/>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Z150" i="10"/>
  <c r="AA150" i="10" s="1"/>
  <c r="AB150" i="10" s="1"/>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B150" i="10"/>
  <c r="AC149" i="10"/>
  <c r="B149" i="10"/>
  <c r="AC148" i="10"/>
  <c r="D148" i="10"/>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148" i="10"/>
  <c r="B148" i="10"/>
  <c r="AC147" i="10"/>
  <c r="G147" i="10"/>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C147" i="10" s="1"/>
  <c r="D147" i="10" s="1"/>
  <c r="E147" i="10" s="1"/>
  <c r="F147" i="10" s="1"/>
  <c r="AC146" i="10"/>
  <c r="B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AC145" i="10"/>
  <c r="D145" i="10"/>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C145" i="10"/>
  <c r="B145" i="10"/>
  <c r="AC144" i="10"/>
  <c r="D144" i="10"/>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C144" i="10" s="1"/>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C140" i="10" s="1"/>
  <c r="E140" i="10"/>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D140" i="10"/>
  <c r="B140" i="10"/>
  <c r="AC139" i="10"/>
  <c r="P139" i="10"/>
  <c r="Q139" i="10" s="1"/>
  <c r="R139" i="10" s="1"/>
  <c r="S139" i="10" s="1"/>
  <c r="T139" i="10" s="1"/>
  <c r="U139" i="10" s="1"/>
  <c r="V139" i="10" s="1"/>
  <c r="W139" i="10" s="1"/>
  <c r="X139" i="10" s="1"/>
  <c r="Y139" i="10" s="1"/>
  <c r="Z139" i="10" s="1"/>
  <c r="AA139" i="10" s="1"/>
  <c r="AB139" i="10" s="1"/>
  <c r="C139" i="10"/>
  <c r="D139" i="10" s="1"/>
  <c r="E139" i="10" s="1"/>
  <c r="F139" i="10" s="1"/>
  <c r="G139" i="10" s="1"/>
  <c r="H139" i="10" s="1"/>
  <c r="I139" i="10" s="1"/>
  <c r="J139" i="10" s="1"/>
  <c r="K139" i="10" s="1"/>
  <c r="L139" i="10" s="1"/>
  <c r="M139" i="10" s="1"/>
  <c r="N139" i="10" s="1"/>
  <c r="O139" i="10" s="1"/>
  <c r="B139" i="10"/>
  <c r="AC138" i="10"/>
  <c r="E138" i="10"/>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38" i="10"/>
  <c r="D138" i="10" s="1"/>
  <c r="B138" i="10"/>
  <c r="AC137" i="10"/>
  <c r="D137" i="10"/>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C137" i="10"/>
  <c r="B137" i="10"/>
  <c r="AC136" i="10"/>
  <c r="C136" i="10" s="1"/>
  <c r="D136" i="10" s="1"/>
  <c r="E136" i="10" s="1"/>
  <c r="F136" i="10" s="1"/>
  <c r="G136" i="10" s="1"/>
  <c r="H136" i="10" s="1"/>
  <c r="I136" i="10" s="1"/>
  <c r="J136" i="10" s="1"/>
  <c r="K136" i="10" s="1"/>
  <c r="L136" i="10" s="1"/>
  <c r="M136" i="10" s="1"/>
  <c r="N136" i="10" s="1"/>
  <c r="O136" i="10" s="1"/>
  <c r="P136" i="10" s="1"/>
  <c r="Q136" i="10" s="1"/>
  <c r="R136" i="10"/>
  <c r="S136" i="10" s="1"/>
  <c r="T136" i="10" s="1"/>
  <c r="U136" i="10" s="1"/>
  <c r="V136" i="10" s="1"/>
  <c r="W136" i="10" s="1"/>
  <c r="X136" i="10" s="1"/>
  <c r="Y136" i="10" s="1"/>
  <c r="Z136" i="10" s="1"/>
  <c r="AA136" i="10" s="1"/>
  <c r="AB136" i="10" s="1"/>
  <c r="B136" i="10"/>
  <c r="AC135" i="10"/>
  <c r="B135" i="10"/>
  <c r="AC134" i="10"/>
  <c r="F134" i="10"/>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C134" i="10" s="1"/>
  <c r="D134" i="10" s="1"/>
  <c r="E134" i="10" s="1"/>
  <c r="AC133" i="10"/>
  <c r="B133" i="10"/>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K130" i="10"/>
  <c r="L130" i="10" s="1"/>
  <c r="M130" i="10" s="1"/>
  <c r="N130" i="10" s="1"/>
  <c r="O130" i="10" s="1"/>
  <c r="P130" i="10" s="1"/>
  <c r="Q130" i="10" s="1"/>
  <c r="R130" i="10" s="1"/>
  <c r="S130" i="10" s="1"/>
  <c r="T130" i="10" s="1"/>
  <c r="U130" i="10" s="1"/>
  <c r="V130" i="10" s="1"/>
  <c r="W130" i="10" s="1"/>
  <c r="X130" i="10" s="1"/>
  <c r="Y130" i="10" s="1"/>
  <c r="Z130" i="10" s="1"/>
  <c r="AA130" i="10" s="1"/>
  <c r="AB130" i="10" s="1"/>
  <c r="C130" i="10"/>
  <c r="D130" i="10" s="1"/>
  <c r="E130" i="10" s="1"/>
  <c r="F130" i="10" s="1"/>
  <c r="G130" i="10" s="1"/>
  <c r="H130" i="10" s="1"/>
  <c r="I130" i="10" s="1"/>
  <c r="J130" i="10" s="1"/>
  <c r="B130" i="10"/>
  <c r="AC129" i="10"/>
  <c r="L129" i="10"/>
  <c r="M129" i="10" s="1"/>
  <c r="N129" i="10" s="1"/>
  <c r="O129" i="10" s="1"/>
  <c r="P129" i="10" s="1"/>
  <c r="Q129" i="10" s="1"/>
  <c r="R129" i="10" s="1"/>
  <c r="S129" i="10" s="1"/>
  <c r="T129" i="10" s="1"/>
  <c r="U129" i="10" s="1"/>
  <c r="V129" i="10" s="1"/>
  <c r="W129" i="10" s="1"/>
  <c r="X129" i="10" s="1"/>
  <c r="Y129" i="10" s="1"/>
  <c r="Z129" i="10" s="1"/>
  <c r="AA129" i="10" s="1"/>
  <c r="AB129" i="10" s="1"/>
  <c r="K129" i="10"/>
  <c r="C129" i="10"/>
  <c r="D129" i="10" s="1"/>
  <c r="E129" i="10" s="1"/>
  <c r="F129" i="10" s="1"/>
  <c r="G129" i="10" s="1"/>
  <c r="H129" i="10" s="1"/>
  <c r="I129" i="10" s="1"/>
  <c r="J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C125" i="10" s="1"/>
  <c r="D125" i="10" s="1"/>
  <c r="E125" i="10" s="1"/>
  <c r="F125" i="10" s="1"/>
  <c r="G125" i="10"/>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F124" i="10"/>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C124" i="10" s="1"/>
  <c r="D124" i="10" s="1"/>
  <c r="E124" i="10" s="1"/>
  <c r="AC123" i="10"/>
  <c r="B123" i="10"/>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C121" i="10" s="1"/>
  <c r="D121" i="10" s="1"/>
  <c r="E121" i="10" s="1"/>
  <c r="F121" i="10" s="1"/>
  <c r="G121" i="10" s="1"/>
  <c r="K121" i="10"/>
  <c r="L121" i="10" s="1"/>
  <c r="M121" i="10" s="1"/>
  <c r="N121" i="10" s="1"/>
  <c r="O121" i="10" s="1"/>
  <c r="P121" i="10" s="1"/>
  <c r="Q121" i="10" s="1"/>
  <c r="R121" i="10" s="1"/>
  <c r="S121" i="10" s="1"/>
  <c r="T121" i="10" s="1"/>
  <c r="U121" i="10" s="1"/>
  <c r="V121" i="10" s="1"/>
  <c r="W121" i="10" s="1"/>
  <c r="X121" i="10" s="1"/>
  <c r="Y121" i="10" s="1"/>
  <c r="Z121" i="10" s="1"/>
  <c r="AA121" i="10" s="1"/>
  <c r="AB121" i="10" s="1"/>
  <c r="I121" i="10"/>
  <c r="J121" i="10" s="1"/>
  <c r="H121" i="10"/>
  <c r="B121" i="10"/>
  <c r="AC120" i="10"/>
  <c r="R120" i="10"/>
  <c r="S120" i="10" s="1"/>
  <c r="T120" i="10" s="1"/>
  <c r="U120" i="10" s="1"/>
  <c r="V120" i="10" s="1"/>
  <c r="W120" i="10" s="1"/>
  <c r="X120" i="10" s="1"/>
  <c r="Y120" i="10" s="1"/>
  <c r="Z120" i="10" s="1"/>
  <c r="AA120" i="10" s="1"/>
  <c r="AB120" i="10" s="1"/>
  <c r="G120" i="10"/>
  <c r="H120" i="10" s="1"/>
  <c r="I120" i="10" s="1"/>
  <c r="J120" i="10" s="1"/>
  <c r="K120" i="10" s="1"/>
  <c r="L120" i="10" s="1"/>
  <c r="M120" i="10" s="1"/>
  <c r="N120" i="10" s="1"/>
  <c r="O120" i="10" s="1"/>
  <c r="P120" i="10" s="1"/>
  <c r="Q120" i="10" s="1"/>
  <c r="B120" i="10"/>
  <c r="C120" i="10" s="1"/>
  <c r="D120" i="10" s="1"/>
  <c r="E120" i="10" s="1"/>
  <c r="F120" i="10" s="1"/>
  <c r="AC119" i="10"/>
  <c r="M119" i="10"/>
  <c r="N119" i="10" s="1"/>
  <c r="O119" i="10" s="1"/>
  <c r="P119" i="10" s="1"/>
  <c r="Q119" i="10" s="1"/>
  <c r="R119" i="10" s="1"/>
  <c r="S119" i="10" s="1"/>
  <c r="T119" i="10" s="1"/>
  <c r="U119" i="10" s="1"/>
  <c r="V119" i="10" s="1"/>
  <c r="W119" i="10" s="1"/>
  <c r="X119" i="10" s="1"/>
  <c r="Y119" i="10" s="1"/>
  <c r="Z119" i="10" s="1"/>
  <c r="AA119" i="10" s="1"/>
  <c r="AB119" i="10" s="1"/>
  <c r="G119" i="10"/>
  <c r="H119" i="10" s="1"/>
  <c r="I119" i="10" s="1"/>
  <c r="J119" i="10" s="1"/>
  <c r="K119" i="10" s="1"/>
  <c r="L119" i="10" s="1"/>
  <c r="F119" i="10"/>
  <c r="B119" i="10"/>
  <c r="C119" i="10" s="1"/>
  <c r="D119" i="10" s="1"/>
  <c r="E119" i="10" s="1"/>
  <c r="AC118" i="10"/>
  <c r="B118" i="10"/>
  <c r="C118" i="10" s="1"/>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AC117" i="10"/>
  <c r="Z117" i="10"/>
  <c r="AA117" i="10" s="1"/>
  <c r="AB117" i="10" s="1"/>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B117" i="10"/>
  <c r="AC116" i="10"/>
  <c r="B116" i="10"/>
  <c r="AC115" i="10"/>
  <c r="E115" i="10"/>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D115" i="10"/>
  <c r="B115" i="10"/>
  <c r="C115" i="10" s="1"/>
  <c r="AC114" i="10"/>
  <c r="H114" i="10"/>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D114" i="10"/>
  <c r="E114" i="10" s="1"/>
  <c r="F114" i="10" s="1"/>
  <c r="G114" i="10" s="1"/>
  <c r="B114" i="10"/>
  <c r="C114" i="10" s="1"/>
  <c r="AC113" i="10"/>
  <c r="C113" i="10" s="1"/>
  <c r="B113" i="10"/>
  <c r="AC108" i="10"/>
  <c r="C108" i="10" s="1"/>
  <c r="D108" i="10"/>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B105" i="10"/>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B103" i="10"/>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s="1"/>
  <c r="D101" i="10"/>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J100" i="10"/>
  <c r="K100" i="10" s="1"/>
  <c r="L100" i="10" s="1"/>
  <c r="M100" i="10" s="1"/>
  <c r="N100" i="10" s="1"/>
  <c r="O100" i="10" s="1"/>
  <c r="P100" i="10" s="1"/>
  <c r="Q100" i="10" s="1"/>
  <c r="R100" i="10" s="1"/>
  <c r="S100" i="10" s="1"/>
  <c r="T100" i="10" s="1"/>
  <c r="U100" i="10" s="1"/>
  <c r="V100" i="10" s="1"/>
  <c r="W100" i="10" s="1"/>
  <c r="X100" i="10" s="1"/>
  <c r="Y100" i="10" s="1"/>
  <c r="Z100" i="10" s="1"/>
  <c r="AA100" i="10" s="1"/>
  <c r="AB100" i="10" s="1"/>
  <c r="F100" i="10"/>
  <c r="G100" i="10" s="1"/>
  <c r="H100" i="10" s="1"/>
  <c r="I100" i="10" s="1"/>
  <c r="B100" i="10"/>
  <c r="C100" i="10" s="1"/>
  <c r="D100" i="10" s="1"/>
  <c r="E100" i="10" s="1"/>
  <c r="AC99" i="10"/>
  <c r="H99" i="10"/>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G99" i="10"/>
  <c r="B99" i="10"/>
  <c r="C99" i="10" s="1"/>
  <c r="D99" i="10" s="1"/>
  <c r="E99" i="10" s="1"/>
  <c r="F99" i="10" s="1"/>
  <c r="AC98" i="10"/>
  <c r="I98" i="10"/>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C98" i="10" s="1"/>
  <c r="D98" i="10" s="1"/>
  <c r="E98" i="10" s="1"/>
  <c r="F98" i="10" s="1"/>
  <c r="G98" i="10" s="1"/>
  <c r="H98" i="10" s="1"/>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C96" i="10" s="1"/>
  <c r="D96" i="10" s="1"/>
  <c r="E96" i="10" s="1"/>
  <c r="F96" i="10" s="1"/>
  <c r="G96" i="10" s="1"/>
  <c r="H96" i="10" s="1"/>
  <c r="I96" i="10" s="1"/>
  <c r="J96" i="10" s="1"/>
  <c r="K96" i="10" s="1"/>
  <c r="L96" i="10" s="1"/>
  <c r="M96" i="10" s="1"/>
  <c r="N96" i="10" s="1"/>
  <c r="O96" i="10"/>
  <c r="P96" i="10" s="1"/>
  <c r="Q96" i="10" s="1"/>
  <c r="R96" i="10" s="1"/>
  <c r="S96" i="10" s="1"/>
  <c r="T96" i="10" s="1"/>
  <c r="U96" i="10" s="1"/>
  <c r="V96" i="10" s="1"/>
  <c r="W96" i="10" s="1"/>
  <c r="X96" i="10" s="1"/>
  <c r="Y96" i="10" s="1"/>
  <c r="Z96" i="10" s="1"/>
  <c r="AA96" i="10" s="1"/>
  <c r="AB96" i="10" s="1"/>
  <c r="B96" i="10"/>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C94" i="10" s="1"/>
  <c r="D94" i="10" s="1"/>
  <c r="E94" i="10" s="1"/>
  <c r="F94" i="10" s="1"/>
  <c r="G94" i="10" s="1"/>
  <c r="H94" i="10"/>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O93" i="10"/>
  <c r="P93" i="10" s="1"/>
  <c r="Q93" i="10" s="1"/>
  <c r="R93" i="10" s="1"/>
  <c r="S93" i="10" s="1"/>
  <c r="T93" i="10" s="1"/>
  <c r="U93" i="10" s="1"/>
  <c r="V93" i="10" s="1"/>
  <c r="W93" i="10" s="1"/>
  <c r="X93" i="10" s="1"/>
  <c r="Y93" i="10" s="1"/>
  <c r="Z93" i="10" s="1"/>
  <c r="AA93" i="10" s="1"/>
  <c r="AB93" i="10" s="1"/>
  <c r="C93" i="10"/>
  <c r="D93" i="10" s="1"/>
  <c r="E93" i="10" s="1"/>
  <c r="F93" i="10" s="1"/>
  <c r="G93" i="10" s="1"/>
  <c r="H93" i="10" s="1"/>
  <c r="I93" i="10" s="1"/>
  <c r="J93" i="10" s="1"/>
  <c r="K93" i="10" s="1"/>
  <c r="L93" i="10" s="1"/>
  <c r="M93" i="10" s="1"/>
  <c r="N93" i="10" s="1"/>
  <c r="B93" i="10"/>
  <c r="AC92" i="10"/>
  <c r="C92" i="10" s="1"/>
  <c r="D92" i="10"/>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AC91" i="10"/>
  <c r="G91" i="10"/>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91" i="10"/>
  <c r="D91" i="10" s="1"/>
  <c r="E91" i="10" s="1"/>
  <c r="F91" i="10" s="1"/>
  <c r="B91" i="10"/>
  <c r="AC90" i="10"/>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B88" i="10"/>
  <c r="AC87" i="10"/>
  <c r="B87" i="10"/>
  <c r="AC86" i="10"/>
  <c r="B86" i="10"/>
  <c r="AC85" i="10"/>
  <c r="B85" i="10"/>
  <c r="AC84" i="10"/>
  <c r="D84" i="10"/>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C84" i="10"/>
  <c r="B84" i="10"/>
  <c r="AC83" i="10"/>
  <c r="J83" i="10"/>
  <c r="K83" i="10" s="1"/>
  <c r="L83" i="10" s="1"/>
  <c r="M83" i="10" s="1"/>
  <c r="N83" i="10" s="1"/>
  <c r="O83" i="10" s="1"/>
  <c r="P83" i="10" s="1"/>
  <c r="Q83" i="10" s="1"/>
  <c r="R83" i="10" s="1"/>
  <c r="S83" i="10" s="1"/>
  <c r="T83" i="10" s="1"/>
  <c r="U83" i="10" s="1"/>
  <c r="V83" i="10" s="1"/>
  <c r="W83" i="10" s="1"/>
  <c r="X83" i="10" s="1"/>
  <c r="Y83" i="10" s="1"/>
  <c r="Z83" i="10" s="1"/>
  <c r="AA83" i="10" s="1"/>
  <c r="AB83" i="10" s="1"/>
  <c r="I83" i="10"/>
  <c r="H83" i="10"/>
  <c r="D83" i="10"/>
  <c r="E83" i="10" s="1"/>
  <c r="F83" i="10" s="1"/>
  <c r="G83" i="10" s="1"/>
  <c r="C83" i="10"/>
  <c r="B83" i="10"/>
  <c r="AC82" i="10"/>
  <c r="G82" i="10"/>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F82" i="10"/>
  <c r="E82" i="10"/>
  <c r="D82" i="10"/>
  <c r="B82" i="10"/>
  <c r="C82" i="10" s="1"/>
  <c r="AC81" i="10"/>
  <c r="B81" i="10"/>
  <c r="C81" i="10" s="1"/>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AC80" i="10"/>
  <c r="I80" i="10"/>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C80" i="10" s="1"/>
  <c r="D80" i="10" s="1"/>
  <c r="E80" i="10" s="1"/>
  <c r="F80" i="10" s="1"/>
  <c r="G80" i="10" s="1"/>
  <c r="H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s="1"/>
  <c r="D78" i="10" s="1"/>
  <c r="E78" i="10" s="1"/>
  <c r="F78" i="10"/>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I77" i="10"/>
  <c r="J77" i="10" s="1"/>
  <c r="K77" i="10" s="1"/>
  <c r="L77" i="10" s="1"/>
  <c r="M77" i="10" s="1"/>
  <c r="N77" i="10" s="1"/>
  <c r="O77" i="10" s="1"/>
  <c r="P77" i="10" s="1"/>
  <c r="Q77" i="10" s="1"/>
  <c r="R77" i="10" s="1"/>
  <c r="S77" i="10" s="1"/>
  <c r="T77" i="10" s="1"/>
  <c r="U77" i="10" s="1"/>
  <c r="V77" i="10" s="1"/>
  <c r="W77" i="10" s="1"/>
  <c r="X77" i="10" s="1"/>
  <c r="Y77" i="10" s="1"/>
  <c r="Z77" i="10" s="1"/>
  <c r="AA77" i="10" s="1"/>
  <c r="AB77" i="10" s="1"/>
  <c r="C77" i="10"/>
  <c r="D77" i="10" s="1"/>
  <c r="E77" i="10" s="1"/>
  <c r="F77" i="10" s="1"/>
  <c r="G77" i="10" s="1"/>
  <c r="H77" i="10" s="1"/>
  <c r="B77" i="10"/>
  <c r="AC76" i="10"/>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C76" i="10"/>
  <c r="B76" i="10"/>
  <c r="AC75" i="10"/>
  <c r="G75" i="10"/>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C75" i="10" s="1"/>
  <c r="D75" i="10" s="1"/>
  <c r="E75" i="10" s="1"/>
  <c r="F75" i="10" s="1"/>
  <c r="AC74" i="10"/>
  <c r="B74" i="10"/>
  <c r="AC73" i="10"/>
  <c r="F73" i="10"/>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C73" i="10" s="1"/>
  <c r="D73" i="10" s="1"/>
  <c r="E73" i="10" s="1"/>
  <c r="AC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D70" i="10"/>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C70" i="10"/>
  <c r="B70" i="10"/>
  <c r="AC69" i="10"/>
  <c r="F69" i="10"/>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E69" i="10"/>
  <c r="B69" i="10"/>
  <c r="C69" i="10" s="1"/>
  <c r="D69" i="10" s="1"/>
  <c r="AC68" i="10"/>
  <c r="H68" i="10"/>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C68" i="10" s="1"/>
  <c r="D68" i="10" s="1"/>
  <c r="E68" i="10" s="1"/>
  <c r="F68" i="10" s="1"/>
  <c r="G68" i="10" s="1"/>
  <c r="AC67" i="10"/>
  <c r="H67" i="10"/>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G67" i="10"/>
  <c r="B67" i="10"/>
  <c r="C67" i="10" s="1"/>
  <c r="D67" i="10" s="1"/>
  <c r="E67" i="10" s="1"/>
  <c r="F67" i="10" s="1"/>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F65" i="10"/>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E65" i="10"/>
  <c r="D65" i="10"/>
  <c r="C65" i="10"/>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G62" i="10"/>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E62" i="10"/>
  <c r="F62" i="10" s="1"/>
  <c r="D62" i="10"/>
  <c r="C62" i="10"/>
  <c r="B62" i="10"/>
  <c r="AC61" i="10"/>
  <c r="B61" i="10"/>
  <c r="C61" i="10" s="1"/>
  <c r="AC56" i="10"/>
  <c r="B56" i="10"/>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J54" i="10"/>
  <c r="K54" i="10" s="1"/>
  <c r="L54" i="10" s="1"/>
  <c r="M54" i="10" s="1"/>
  <c r="N54" i="10" s="1"/>
  <c r="O54" i="10" s="1"/>
  <c r="P54" i="10" s="1"/>
  <c r="Q54" i="10" s="1"/>
  <c r="R54" i="10" s="1"/>
  <c r="S54" i="10" s="1"/>
  <c r="T54" i="10" s="1"/>
  <c r="U54" i="10" s="1"/>
  <c r="V54" i="10" s="1"/>
  <c r="W54" i="10" s="1"/>
  <c r="X54" i="10" s="1"/>
  <c r="Y54" i="10" s="1"/>
  <c r="Z54" i="10" s="1"/>
  <c r="AA54" i="10" s="1"/>
  <c r="AB54" i="10" s="1"/>
  <c r="D54" i="10"/>
  <c r="E54" i="10" s="1"/>
  <c r="F54" i="10" s="1"/>
  <c r="G54" i="10" s="1"/>
  <c r="H54" i="10" s="1"/>
  <c r="I54" i="10" s="1"/>
  <c r="C54" i="10"/>
  <c r="AC53" i="10"/>
  <c r="M53" i="10"/>
  <c r="N53" i="10" s="1"/>
  <c r="O53" i="10" s="1"/>
  <c r="P53" i="10" s="1"/>
  <c r="Q53" i="10" s="1"/>
  <c r="R53" i="10" s="1"/>
  <c r="S53" i="10" s="1"/>
  <c r="T53" i="10" s="1"/>
  <c r="U53" i="10" s="1"/>
  <c r="V53" i="10" s="1"/>
  <c r="W53" i="10" s="1"/>
  <c r="X53" i="10" s="1"/>
  <c r="Y53" i="10" s="1"/>
  <c r="Z53" i="10" s="1"/>
  <c r="AA53" i="10" s="1"/>
  <c r="AB53" i="10" s="1"/>
  <c r="E53" i="10"/>
  <c r="F53" i="10" s="1"/>
  <c r="G53" i="10" s="1"/>
  <c r="H53" i="10" s="1"/>
  <c r="I53" i="10" s="1"/>
  <c r="J53" i="10" s="1"/>
  <c r="K53" i="10" s="1"/>
  <c r="L53" i="10" s="1"/>
  <c r="C53" i="10"/>
  <c r="D53" i="10" s="1"/>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B51" i="10"/>
  <c r="AC50" i="10"/>
  <c r="B50" i="10"/>
  <c r="AC49" i="10"/>
  <c r="G49" i="10"/>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F49" i="10"/>
  <c r="B49" i="10"/>
  <c r="C49" i="10" s="1"/>
  <c r="D49" i="10" s="1"/>
  <c r="E49" i="10" s="1"/>
  <c r="AC48" i="10"/>
  <c r="C48" i="10" s="1"/>
  <c r="D48" i="10" s="1"/>
  <c r="E48" i="10" s="1"/>
  <c r="F48" i="10" s="1"/>
  <c r="G48" i="10" s="1"/>
  <c r="H48" i="10" s="1"/>
  <c r="I48" i="10" s="1"/>
  <c r="J48" i="10" s="1"/>
  <c r="K48" i="10" s="1"/>
  <c r="L48" i="10" s="1"/>
  <c r="M48" i="10" s="1"/>
  <c r="N48" i="10" s="1"/>
  <c r="O48" i="10" s="1"/>
  <c r="P48" i="10" s="1"/>
  <c r="Q48" i="10" s="1"/>
  <c r="R48" i="10" s="1"/>
  <c r="S48" i="10" s="1"/>
  <c r="T48" i="10" s="1"/>
  <c r="U48" i="10"/>
  <c r="V48" i="10" s="1"/>
  <c r="W48" i="10" s="1"/>
  <c r="X48" i="10" s="1"/>
  <c r="Y48" i="10" s="1"/>
  <c r="Z48" i="10" s="1"/>
  <c r="AA48" i="10" s="1"/>
  <c r="AB48" i="10" s="1"/>
  <c r="B48" i="10"/>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G46" i="10"/>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C46" i="10" s="1"/>
  <c r="D46" i="10" s="1"/>
  <c r="E46" i="10" s="1"/>
  <c r="F46" i="10" s="1"/>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W44" i="10"/>
  <c r="X44" i="10" s="1"/>
  <c r="Y44" i="10" s="1"/>
  <c r="Z44" i="10" s="1"/>
  <c r="AA44" i="10" s="1"/>
  <c r="AB44" i="10" s="1"/>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AC43" i="10"/>
  <c r="C43" i="10" s="1"/>
  <c r="D43" i="10" s="1"/>
  <c r="E43" i="10"/>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B43" i="10"/>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B40" i="10"/>
  <c r="AC39" i="10"/>
  <c r="B39" i="10"/>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U37" i="10"/>
  <c r="V37" i="10" s="1"/>
  <c r="W37" i="10" s="1"/>
  <c r="X37" i="10" s="1"/>
  <c r="Y37" i="10" s="1"/>
  <c r="Z37" i="10" s="1"/>
  <c r="AA37" i="10" s="1"/>
  <c r="AB37" i="10" s="1"/>
  <c r="H37" i="10"/>
  <c r="I37" i="10" s="1"/>
  <c r="J37" i="10" s="1"/>
  <c r="K37" i="10" s="1"/>
  <c r="L37" i="10" s="1"/>
  <c r="M37" i="10" s="1"/>
  <c r="N37" i="10" s="1"/>
  <c r="O37" i="10" s="1"/>
  <c r="P37" i="10" s="1"/>
  <c r="Q37" i="10" s="1"/>
  <c r="R37" i="10" s="1"/>
  <c r="S37" i="10" s="1"/>
  <c r="T37" i="10" s="1"/>
  <c r="B37" i="10"/>
  <c r="C37" i="10" s="1"/>
  <c r="D37" i="10" s="1"/>
  <c r="E37" i="10" s="1"/>
  <c r="F37" i="10" s="1"/>
  <c r="G37" i="10" s="1"/>
  <c r="AC36" i="10"/>
  <c r="C36" i="10" s="1"/>
  <c r="D36" i="10" s="1"/>
  <c r="E36" i="10" s="1"/>
  <c r="F36" i="10" s="1"/>
  <c r="G36" i="10" s="1"/>
  <c r="H36" i="10" s="1"/>
  <c r="I36" i="10" s="1"/>
  <c r="J36" i="10" s="1"/>
  <c r="K36" i="10" s="1"/>
  <c r="L36" i="10" s="1"/>
  <c r="M36" i="10" s="1"/>
  <c r="N36" i="10" s="1"/>
  <c r="O36" i="10" s="1"/>
  <c r="P36" i="10" s="1"/>
  <c r="Q36" i="10" s="1"/>
  <c r="R36" i="10"/>
  <c r="S36" i="10" s="1"/>
  <c r="T36" i="10" s="1"/>
  <c r="U36" i="10" s="1"/>
  <c r="V36" i="10" s="1"/>
  <c r="W36" i="10" s="1"/>
  <c r="X36" i="10" s="1"/>
  <c r="Y36" i="10" s="1"/>
  <c r="Z36" i="10" s="1"/>
  <c r="AA36" i="10" s="1"/>
  <c r="AB36" i="10" s="1"/>
  <c r="B36" i="10"/>
  <c r="AC35" i="10"/>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O34" i="10"/>
  <c r="P34" i="10" s="1"/>
  <c r="Q34" i="10" s="1"/>
  <c r="R34" i="10" s="1"/>
  <c r="S34" i="10" s="1"/>
  <c r="T34" i="10" s="1"/>
  <c r="U34" i="10" s="1"/>
  <c r="V34" i="10" s="1"/>
  <c r="W34" i="10" s="1"/>
  <c r="X34" i="10" s="1"/>
  <c r="Y34" i="10" s="1"/>
  <c r="Z34" i="10" s="1"/>
  <c r="AA34" i="10" s="1"/>
  <c r="AB34" i="10" s="1"/>
  <c r="G34" i="10"/>
  <c r="H34" i="10" s="1"/>
  <c r="I34" i="10" s="1"/>
  <c r="J34" i="10" s="1"/>
  <c r="K34" i="10" s="1"/>
  <c r="L34" i="10" s="1"/>
  <c r="M34" i="10" s="1"/>
  <c r="N34" i="10" s="1"/>
  <c r="F34" i="10"/>
  <c r="B34" i="10"/>
  <c r="C34" i="10" s="1"/>
  <c r="D34" i="10" s="1"/>
  <c r="E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C23" i="10" s="1"/>
  <c r="D23" i="10"/>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J22" i="10"/>
  <c r="K22" i="10" s="1"/>
  <c r="L22" i="10" s="1"/>
  <c r="M22" i="10" s="1"/>
  <c r="N22" i="10" s="1"/>
  <c r="O22" i="10" s="1"/>
  <c r="P22" i="10" s="1"/>
  <c r="Q22" i="10" s="1"/>
  <c r="R22" i="10" s="1"/>
  <c r="S22" i="10" s="1"/>
  <c r="T22" i="10" s="1"/>
  <c r="U22" i="10" s="1"/>
  <c r="V22" i="10" s="1"/>
  <c r="W22" i="10" s="1"/>
  <c r="X22" i="10" s="1"/>
  <c r="Y22" i="10" s="1"/>
  <c r="Z22" i="10" s="1"/>
  <c r="AA22" i="10" s="1"/>
  <c r="AB22" i="10" s="1"/>
  <c r="D22" i="10"/>
  <c r="E22" i="10" s="1"/>
  <c r="F22" i="10" s="1"/>
  <c r="G22" i="10" s="1"/>
  <c r="H22" i="10" s="1"/>
  <c r="I22" i="10" s="1"/>
  <c r="C22" i="10"/>
  <c r="B22" i="10"/>
  <c r="AC21" i="10"/>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AC17" i="10"/>
  <c r="F17" i="10"/>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E17" i="10"/>
  <c r="B17" i="10"/>
  <c r="C17" i="10" s="1"/>
  <c r="D17" i="10" s="1"/>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M14" i="10"/>
  <c r="N14" i="10" s="1"/>
  <c r="O14" i="10" s="1"/>
  <c r="P14" i="10" s="1"/>
  <c r="Q14" i="10" s="1"/>
  <c r="R14" i="10" s="1"/>
  <c r="S14" i="10" s="1"/>
  <c r="T14" i="10" s="1"/>
  <c r="U14" i="10" s="1"/>
  <c r="V14" i="10" s="1"/>
  <c r="W14" i="10" s="1"/>
  <c r="X14" i="10" s="1"/>
  <c r="Y14" i="10" s="1"/>
  <c r="Z14" i="10" s="1"/>
  <c r="AA14" i="10" s="1"/>
  <c r="AB14" i="10" s="1"/>
  <c r="I14" i="10"/>
  <c r="J14" i="10" s="1"/>
  <c r="K14" i="10" s="1"/>
  <c r="L14" i="10" s="1"/>
  <c r="D14" i="10"/>
  <c r="E14" i="10" s="1"/>
  <c r="F14" i="10" s="1"/>
  <c r="G14" i="10" s="1"/>
  <c r="H14" i="10" s="1"/>
  <c r="C14" i="10"/>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AC11" i="10"/>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C9" i="10"/>
  <c r="D9" i="10" s="1"/>
  <c r="E9" i="10" s="1"/>
  <c r="F9" i="10" s="1"/>
  <c r="B9" i="10"/>
  <c r="B4" i="10"/>
  <c r="C9" i="9"/>
  <c r="B9" i="9"/>
  <c r="D9" i="9" s="1"/>
  <c r="A9" i="9"/>
  <c r="B1" i="9"/>
  <c r="F54" i="7"/>
  <c r="H54" i="7" s="1"/>
  <c r="E54" i="7"/>
  <c r="D54" i="7"/>
  <c r="C54" i="7"/>
  <c r="F53" i="7"/>
  <c r="G53" i="7" s="1"/>
  <c r="E53" i="7"/>
  <c r="D53" i="7"/>
  <c r="C53" i="7"/>
  <c r="H52" i="7"/>
  <c r="F52" i="7"/>
  <c r="E52" i="7"/>
  <c r="D52" i="7"/>
  <c r="C52" i="7"/>
  <c r="F51" i="7"/>
  <c r="E51" i="7"/>
  <c r="D51" i="7"/>
  <c r="C51" i="7"/>
  <c r="H50" i="7"/>
  <c r="G50" i="7"/>
  <c r="F50" i="7"/>
  <c r="E50" i="7"/>
  <c r="D50" i="7"/>
  <c r="C50" i="7"/>
  <c r="H49" i="7"/>
  <c r="F49" i="7"/>
  <c r="G49" i="7" s="1"/>
  <c r="E49" i="7"/>
  <c r="D49" i="7"/>
  <c r="C49" i="7"/>
  <c r="F48" i="7"/>
  <c r="E48" i="7"/>
  <c r="D48" i="7"/>
  <c r="C48" i="7"/>
  <c r="F47" i="7"/>
  <c r="E47" i="7"/>
  <c r="D47" i="7"/>
  <c r="C47" i="7"/>
  <c r="H46" i="7"/>
  <c r="G46" i="7"/>
  <c r="F46" i="7"/>
  <c r="E46" i="7"/>
  <c r="D46" i="7"/>
  <c r="C46" i="7"/>
  <c r="F45" i="7"/>
  <c r="E45" i="7"/>
  <c r="D45" i="7"/>
  <c r="H45" i="7" s="1"/>
  <c r="C45" i="7"/>
  <c r="F44" i="7"/>
  <c r="E44" i="7"/>
  <c r="D44" i="7"/>
  <c r="C44" i="7"/>
  <c r="F43" i="7"/>
  <c r="E43" i="7"/>
  <c r="D43" i="7"/>
  <c r="C43" i="7"/>
  <c r="F42" i="7"/>
  <c r="E42" i="7"/>
  <c r="D42" i="7"/>
  <c r="C42" i="7"/>
  <c r="H41" i="7"/>
  <c r="F41" i="7"/>
  <c r="E41" i="7"/>
  <c r="D41" i="7"/>
  <c r="G41" i="7" s="1"/>
  <c r="C41" i="7"/>
  <c r="F40" i="7"/>
  <c r="E40" i="7"/>
  <c r="D40" i="7"/>
  <c r="C40" i="7"/>
  <c r="F39" i="7"/>
  <c r="E39" i="7"/>
  <c r="D39" i="7"/>
  <c r="H39" i="7" s="1"/>
  <c r="C39" i="7"/>
  <c r="F38" i="7"/>
  <c r="E38" i="7"/>
  <c r="D38" i="7"/>
  <c r="C38" i="7"/>
  <c r="F37" i="7"/>
  <c r="E37" i="7"/>
  <c r="D37" i="7"/>
  <c r="H37" i="7" s="1"/>
  <c r="C37" i="7"/>
  <c r="F36" i="7"/>
  <c r="E36" i="7"/>
  <c r="D36" i="7"/>
  <c r="C36" i="7"/>
  <c r="F35" i="7"/>
  <c r="E35" i="7"/>
  <c r="D35" i="7"/>
  <c r="C35" i="7"/>
  <c r="F34" i="7"/>
  <c r="E34" i="7"/>
  <c r="D34" i="7"/>
  <c r="C34" i="7"/>
  <c r="H33" i="7"/>
  <c r="F33" i="7"/>
  <c r="G33" i="7" s="1"/>
  <c r="E33" i="7"/>
  <c r="D33" i="7"/>
  <c r="C33" i="7"/>
  <c r="H32" i="7"/>
  <c r="G32" i="7"/>
  <c r="F32" i="7"/>
  <c r="E32" i="7"/>
  <c r="D32" i="7"/>
  <c r="C32" i="7"/>
  <c r="F31" i="7"/>
  <c r="E31" i="7"/>
  <c r="D31" i="7"/>
  <c r="C31" i="7"/>
  <c r="F30" i="7"/>
  <c r="E30" i="7"/>
  <c r="D30" i="7"/>
  <c r="C30" i="7"/>
  <c r="F29" i="7"/>
  <c r="E29" i="7"/>
  <c r="D29" i="7"/>
  <c r="C29" i="7"/>
  <c r="H28" i="7"/>
  <c r="G28" i="7"/>
  <c r="F28" i="7"/>
  <c r="E28" i="7"/>
  <c r="D28" i="7"/>
  <c r="C28" i="7"/>
  <c r="H27" i="7"/>
  <c r="G27" i="7"/>
  <c r="F27" i="7"/>
  <c r="E27" i="7"/>
  <c r="D27" i="7"/>
  <c r="C27" i="7"/>
  <c r="F26" i="7"/>
  <c r="E26" i="7"/>
  <c r="D26" i="7"/>
  <c r="H26" i="7" s="1"/>
  <c r="C26" i="7"/>
  <c r="F25" i="7"/>
  <c r="E25" i="7"/>
  <c r="D25" i="7"/>
  <c r="C25" i="7"/>
  <c r="H24" i="7"/>
  <c r="G24" i="7"/>
  <c r="F24" i="7"/>
  <c r="E24" i="7"/>
  <c r="D24" i="7"/>
  <c r="C24" i="7"/>
  <c r="H23" i="7"/>
  <c r="G23" i="7"/>
  <c r="F23" i="7"/>
  <c r="E23" i="7"/>
  <c r="D23" i="7"/>
  <c r="C23" i="7"/>
  <c r="H22" i="7"/>
  <c r="F22" i="7"/>
  <c r="G22" i="7" s="1"/>
  <c r="E22" i="7"/>
  <c r="D22" i="7"/>
  <c r="C22" i="7"/>
  <c r="F21" i="7"/>
  <c r="E21" i="7"/>
  <c r="D21" i="7"/>
  <c r="C21" i="7"/>
  <c r="H21" i="7" s="1"/>
  <c r="F20" i="7"/>
  <c r="E20" i="7"/>
  <c r="D20" i="7"/>
  <c r="C20" i="7"/>
  <c r="F19" i="7"/>
  <c r="E19" i="7"/>
  <c r="D19" i="7"/>
  <c r="C19" i="7"/>
  <c r="H18" i="7"/>
  <c r="F18" i="7"/>
  <c r="E18" i="7"/>
  <c r="D18" i="7"/>
  <c r="C18" i="7"/>
  <c r="F17" i="7"/>
  <c r="E17" i="7"/>
  <c r="D17" i="7"/>
  <c r="C17" i="7"/>
  <c r="F16" i="7"/>
  <c r="E16" i="7"/>
  <c r="D16" i="7"/>
  <c r="G16" i="7" s="1"/>
  <c r="C16" i="7"/>
  <c r="F15" i="7"/>
  <c r="E15" i="7"/>
  <c r="D15" i="7"/>
  <c r="C15" i="7"/>
  <c r="F14" i="7"/>
  <c r="E14" i="7"/>
  <c r="D14" i="7"/>
  <c r="C14" i="7"/>
  <c r="H13" i="7"/>
  <c r="F13" i="7"/>
  <c r="E13" i="7"/>
  <c r="D13" i="7"/>
  <c r="G13" i="7" s="1"/>
  <c r="C13" i="7"/>
  <c r="H12" i="7"/>
  <c r="F12" i="7"/>
  <c r="G12" i="7" s="1"/>
  <c r="E12" i="7"/>
  <c r="D12" i="7"/>
  <c r="C12" i="7"/>
  <c r="F11" i="7"/>
  <c r="E11" i="7"/>
  <c r="D11" i="7"/>
  <c r="C11" i="7"/>
  <c r="F10" i="7"/>
  <c r="E10" i="7"/>
  <c r="D10" i="7"/>
  <c r="C10" i="7"/>
  <c r="H9" i="7"/>
  <c r="G9" i="7"/>
  <c r="F9" i="7"/>
  <c r="E9" i="7"/>
  <c r="D9" i="7"/>
  <c r="C9" i="7"/>
  <c r="F8" i="7"/>
  <c r="E8" i="7"/>
  <c r="D8" i="7"/>
  <c r="C8" i="7"/>
  <c r="H7" i="7"/>
  <c r="F7" i="7"/>
  <c r="E7" i="7"/>
  <c r="D7" i="7"/>
  <c r="G7" i="7" s="1"/>
  <c r="C7" i="7"/>
  <c r="B2" i="1"/>
  <c r="F9" i="9" l="1"/>
  <c r="E9" i="9"/>
  <c r="G37" i="7"/>
  <c r="B57" i="10"/>
  <c r="G29" i="7"/>
  <c r="H29" i="7"/>
  <c r="H14" i="7"/>
  <c r="G14" i="7"/>
  <c r="H10" i="7"/>
  <c r="G10" i="7"/>
  <c r="G9" i="9"/>
  <c r="H38" i="7"/>
  <c r="G38" i="7"/>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G11" i="7"/>
  <c r="H11" i="7"/>
  <c r="H20" i="7"/>
  <c r="G20" i="7"/>
  <c r="D61" i="10"/>
  <c r="C109" i="10"/>
  <c r="H16" i="7"/>
  <c r="G21" i="7"/>
  <c r="G43" i="7"/>
  <c r="H43" i="7"/>
  <c r="H25" i="7"/>
  <c r="G25" i="7"/>
  <c r="H47" i="7"/>
  <c r="G47" i="7"/>
  <c r="H19" i="7"/>
  <c r="G19" i="7"/>
  <c r="D113" i="10"/>
  <c r="G45" i="7"/>
  <c r="H17" i="7"/>
  <c r="G17" i="7"/>
  <c r="H8" i="7"/>
  <c r="G8" i="7"/>
  <c r="G31" i="7"/>
  <c r="H31" i="7"/>
  <c r="G54" i="7"/>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H42" i="7"/>
  <c r="G42" i="7"/>
  <c r="G51" i="7"/>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G52" i="7"/>
  <c r="C87" i="10"/>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H34" i="7"/>
  <c r="G34" i="7"/>
  <c r="H30" i="7"/>
  <c r="G48" i="7"/>
  <c r="H48" i="7"/>
  <c r="G18" i="7"/>
  <c r="G26" i="7"/>
  <c r="G39" i="7"/>
  <c r="H51" i="7"/>
  <c r="G30" i="7"/>
  <c r="G35" i="7"/>
  <c r="H35" i="7"/>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161" i="10"/>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G15" i="7"/>
  <c r="H15" i="7"/>
  <c r="G40" i="7"/>
  <c r="H40" i="7"/>
  <c r="H44" i="7"/>
  <c r="G44" i="7"/>
  <c r="H53" i="7"/>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2" i="9"/>
  <c r="B5" i="10"/>
  <c r="B109"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H36" i="7"/>
  <c r="G36" i="7"/>
  <c r="G9" i="10"/>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I9" i="9" l="1"/>
  <c r="H9" i="9"/>
  <c r="X5" i="9"/>
  <c r="B5" i="9"/>
  <c r="W5" i="9"/>
  <c r="V5" i="9"/>
  <c r="T5" i="9"/>
  <c r="S5" i="9"/>
  <c r="R5" i="9"/>
  <c r="Q5" i="9"/>
  <c r="L5" i="9"/>
  <c r="J5" i="9"/>
  <c r="K5" i="9"/>
  <c r="Y5" i="9"/>
  <c r="U5" i="9"/>
  <c r="P5" i="9"/>
  <c r="O5" i="9"/>
  <c r="I5" i="9"/>
  <c r="N5" i="9"/>
  <c r="M5" i="9"/>
  <c r="H5" i="9"/>
  <c r="G5" i="9"/>
  <c r="D5" i="9"/>
  <c r="AB5" i="9"/>
  <c r="Z5" i="9"/>
  <c r="AA5" i="9"/>
  <c r="E5" i="9"/>
  <c r="F5" i="9"/>
  <c r="C5" i="9"/>
  <c r="D109" i="10"/>
  <c r="E61" i="10"/>
  <c r="C161" i="10"/>
  <c r="E57" i="10"/>
  <c r="H9" i="10"/>
  <c r="G57" i="10"/>
  <c r="D57" i="10"/>
  <c r="C57" i="10"/>
  <c r="D161" i="10"/>
  <c r="E113" i="10"/>
  <c r="F57" i="10"/>
  <c r="H57" i="10" l="1"/>
  <c r="I9" i="10"/>
  <c r="G171" i="10"/>
  <c r="G2" i="11" s="1"/>
  <c r="E161" i="10"/>
  <c r="F113" i="10"/>
  <c r="E109" i="10"/>
  <c r="F61" i="10"/>
  <c r="F171" i="10"/>
  <c r="F2" i="11" s="1"/>
  <c r="E173" i="10"/>
  <c r="E2" i="13" s="1"/>
  <c r="E171" i="10"/>
  <c r="E2" i="11" s="1"/>
  <c r="E172" i="10"/>
  <c r="E2" i="12" s="1"/>
  <c r="B172" i="10"/>
  <c r="B2" i="12" s="1"/>
  <c r="B171" i="10"/>
  <c r="B2" i="11" s="1"/>
  <c r="B173" i="10"/>
  <c r="B2" i="13" s="1"/>
  <c r="H171" i="10"/>
  <c r="H2" i="11" s="1"/>
  <c r="C172" i="10"/>
  <c r="C2" i="12" s="1"/>
  <c r="C171" i="10"/>
  <c r="C2" i="11" s="1"/>
  <c r="C173" i="10"/>
  <c r="C2" i="13" s="1"/>
  <c r="D172" i="10"/>
  <c r="D2" i="12" s="1"/>
  <c r="D173" i="10"/>
  <c r="D2" i="13" s="1"/>
  <c r="D171" i="10"/>
  <c r="D2" i="11" s="1"/>
  <c r="F109" i="10" l="1"/>
  <c r="F172" i="10" s="1"/>
  <c r="F2" i="12" s="1"/>
  <c r="G61" i="10"/>
  <c r="F161" i="10"/>
  <c r="F173" i="10" s="1"/>
  <c r="F2" i="13" s="1"/>
  <c r="G113" i="10"/>
  <c r="J9" i="10"/>
  <c r="I57" i="10"/>
  <c r="I171" i="10" s="1"/>
  <c r="I2" i="11" s="1"/>
  <c r="H113" i="10" l="1"/>
  <c r="G161" i="10"/>
  <c r="G173" i="10" s="1"/>
  <c r="G2" i="13" s="1"/>
  <c r="J57" i="10"/>
  <c r="J171" i="10" s="1"/>
  <c r="J2" i="11" s="1"/>
  <c r="K9" i="10"/>
  <c r="G109" i="10"/>
  <c r="G172" i="10" s="1"/>
  <c r="G2" i="12" s="1"/>
  <c r="H61" i="10"/>
  <c r="L9" i="10" l="1"/>
  <c r="K57" i="10"/>
  <c r="K171" i="10" s="1"/>
  <c r="K2" i="11" s="1"/>
  <c r="I113" i="10"/>
  <c r="H161" i="10"/>
  <c r="H173" i="10" s="1"/>
  <c r="H2" i="13" s="1"/>
  <c r="H109" i="10"/>
  <c r="H172" i="10" s="1"/>
  <c r="H2" i="12" s="1"/>
  <c r="I61" i="10"/>
  <c r="I109" i="10" l="1"/>
  <c r="I172" i="10" s="1"/>
  <c r="I2" i="12" s="1"/>
  <c r="J61" i="10"/>
  <c r="I161" i="10"/>
  <c r="I173" i="10" s="1"/>
  <c r="I2" i="13" s="1"/>
  <c r="J113" i="10"/>
  <c r="L57" i="10"/>
  <c r="L171" i="10" s="1"/>
  <c r="L2" i="11" s="1"/>
  <c r="M9" i="10"/>
  <c r="M57" i="10" l="1"/>
  <c r="M171" i="10" s="1"/>
  <c r="M2" i="11" s="1"/>
  <c r="N9" i="10"/>
  <c r="J161" i="10"/>
  <c r="J173" i="10" s="1"/>
  <c r="J2" i="13" s="1"/>
  <c r="K113" i="10"/>
  <c r="K61" i="10"/>
  <c r="J109" i="10"/>
  <c r="J172" i="10" s="1"/>
  <c r="J2" i="12" s="1"/>
  <c r="N57" i="10" l="1"/>
  <c r="N171" i="10" s="1"/>
  <c r="N2" i="11" s="1"/>
  <c r="O9" i="10"/>
  <c r="K109" i="10"/>
  <c r="K172" i="10" s="1"/>
  <c r="K2" i="12" s="1"/>
  <c r="L61" i="10"/>
  <c r="L113" i="10"/>
  <c r="K161" i="10"/>
  <c r="K173" i="10" s="1"/>
  <c r="K2" i="13" s="1"/>
  <c r="L161" i="10" l="1"/>
  <c r="L173" i="10" s="1"/>
  <c r="L2" i="13" s="1"/>
  <c r="M113" i="10"/>
  <c r="M61" i="10"/>
  <c r="L109" i="10"/>
  <c r="L172" i="10" s="1"/>
  <c r="L2" i="12" s="1"/>
  <c r="O57" i="10"/>
  <c r="O171" i="10" s="1"/>
  <c r="O2" i="11" s="1"/>
  <c r="P9" i="10"/>
  <c r="Q9" i="10" l="1"/>
  <c r="P57" i="10"/>
  <c r="P171" i="10" s="1"/>
  <c r="P2" i="11" s="1"/>
  <c r="M109" i="10"/>
  <c r="M172" i="10" s="1"/>
  <c r="M2" i="12" s="1"/>
  <c r="N61" i="10"/>
  <c r="M161" i="10"/>
  <c r="M173" i="10" s="1"/>
  <c r="M2" i="13" s="1"/>
  <c r="N113" i="10"/>
  <c r="N109" i="10" l="1"/>
  <c r="N172" i="10" s="1"/>
  <c r="N2" i="12" s="1"/>
  <c r="O61" i="10"/>
  <c r="O113" i="10"/>
  <c r="N161" i="10"/>
  <c r="N173" i="10" s="1"/>
  <c r="N2" i="13" s="1"/>
  <c r="R9" i="10"/>
  <c r="Q57" i="10"/>
  <c r="Q171" i="10" s="1"/>
  <c r="Q2" i="11" s="1"/>
  <c r="S9" i="10" l="1"/>
  <c r="R57" i="10"/>
  <c r="R171" i="10" s="1"/>
  <c r="R2" i="11" s="1"/>
  <c r="P113" i="10"/>
  <c r="O161" i="10"/>
  <c r="O173" i="10" s="1"/>
  <c r="O2" i="13" s="1"/>
  <c r="O109" i="10"/>
  <c r="O172" i="10" s="1"/>
  <c r="O2" i="12" s="1"/>
  <c r="P61" i="10"/>
  <c r="Q61" i="10" l="1"/>
  <c r="P109" i="10"/>
  <c r="P172" i="10" s="1"/>
  <c r="P2" i="12" s="1"/>
  <c r="P161" i="10"/>
  <c r="P173" i="10" s="1"/>
  <c r="P2" i="13" s="1"/>
  <c r="Q113" i="10"/>
  <c r="T9" i="10"/>
  <c r="S57" i="10"/>
  <c r="S171" i="10" s="1"/>
  <c r="S2" i="11" s="1"/>
  <c r="Q161" i="10" l="1"/>
  <c r="Q173" i="10" s="1"/>
  <c r="Q2" i="13" s="1"/>
  <c r="R113" i="10"/>
  <c r="T57" i="10"/>
  <c r="T171" i="10" s="1"/>
  <c r="T2" i="11" s="1"/>
  <c r="U9" i="10"/>
  <c r="Q109" i="10"/>
  <c r="Q172" i="10" s="1"/>
  <c r="Q2" i="12" s="1"/>
  <c r="R61" i="10"/>
  <c r="V9" i="10" l="1"/>
  <c r="U57" i="10"/>
  <c r="U171" i="10" s="1"/>
  <c r="U2" i="11" s="1"/>
  <c r="R161" i="10"/>
  <c r="R173" i="10" s="1"/>
  <c r="R2" i="13" s="1"/>
  <c r="S113" i="10"/>
  <c r="R109" i="10"/>
  <c r="R172" i="10" s="1"/>
  <c r="R2" i="12" s="1"/>
  <c r="S61" i="10"/>
  <c r="S109" i="10" l="1"/>
  <c r="S172" i="10" s="1"/>
  <c r="S2" i="12" s="1"/>
  <c r="T61" i="10"/>
  <c r="T113" i="10"/>
  <c r="S161" i="10"/>
  <c r="S173" i="10" s="1"/>
  <c r="S2" i="13" s="1"/>
  <c r="V57" i="10"/>
  <c r="V171" i="10" s="1"/>
  <c r="V2" i="11" s="1"/>
  <c r="W9" i="10"/>
  <c r="W57" i="10" l="1"/>
  <c r="W171" i="10" s="1"/>
  <c r="W2" i="11" s="1"/>
  <c r="X9" i="10"/>
  <c r="U113" i="10"/>
  <c r="T161" i="10"/>
  <c r="T173" i="10" s="1"/>
  <c r="T2" i="13" s="1"/>
  <c r="U61" i="10"/>
  <c r="T109" i="10"/>
  <c r="T172" i="10" s="1"/>
  <c r="T2" i="12" s="1"/>
  <c r="X57" i="10" l="1"/>
  <c r="X171" i="10" s="1"/>
  <c r="X2" i="11" s="1"/>
  <c r="Y9" i="10"/>
  <c r="V61" i="10"/>
  <c r="U109" i="10"/>
  <c r="U172" i="10" s="1"/>
  <c r="U2" i="12" s="1"/>
  <c r="U161" i="10"/>
  <c r="U173" i="10" s="1"/>
  <c r="U2" i="13" s="1"/>
  <c r="V113" i="10"/>
  <c r="Y57" i="10" l="1"/>
  <c r="Y171" i="10" s="1"/>
  <c r="Y2" i="11" s="1"/>
  <c r="Z9" i="10"/>
  <c r="V161" i="10"/>
  <c r="V173" i="10" s="1"/>
  <c r="V2" i="13" s="1"/>
  <c r="W113" i="10"/>
  <c r="W61" i="10"/>
  <c r="V109" i="10"/>
  <c r="V172" i="10" s="1"/>
  <c r="V2" i="12" s="1"/>
  <c r="X61" i="10" l="1"/>
  <c r="W109" i="10"/>
  <c r="W172" i="10" s="1"/>
  <c r="W2" i="12" s="1"/>
  <c r="W161" i="10"/>
  <c r="W173" i="10" s="1"/>
  <c r="W2" i="13" s="1"/>
  <c r="X113" i="10"/>
  <c r="Z57" i="10"/>
  <c r="Z171" i="10" s="1"/>
  <c r="Z2" i="11" s="1"/>
  <c r="AA9" i="10"/>
  <c r="X161" i="10" l="1"/>
  <c r="X173" i="10" s="1"/>
  <c r="X2" i="13" s="1"/>
  <c r="Y113" i="10"/>
  <c r="AB9" i="10"/>
  <c r="AB57" i="10" s="1"/>
  <c r="AB171" i="10" s="1"/>
  <c r="AB2" i="11" s="1"/>
  <c r="AA57" i="10"/>
  <c r="AA171" i="10" s="1"/>
  <c r="AA2" i="11" s="1"/>
  <c r="Y61" i="10"/>
  <c r="X109" i="10"/>
  <c r="X172" i="10" s="1"/>
  <c r="X2" i="12" s="1"/>
  <c r="Y109" i="10" l="1"/>
  <c r="Y172" i="10" s="1"/>
  <c r="Y2" i="12" s="1"/>
  <c r="Z61" i="10"/>
  <c r="Y161" i="10"/>
  <c r="Y173" i="10" s="1"/>
  <c r="Y2" i="13" s="1"/>
  <c r="Z113" i="10"/>
  <c r="Z161" i="10" l="1"/>
  <c r="Z173" i="10" s="1"/>
  <c r="Z2" i="13" s="1"/>
  <c r="AA113" i="10"/>
  <c r="Z109" i="10"/>
  <c r="Z172" i="10" s="1"/>
  <c r="Z2" i="12" s="1"/>
  <c r="AA61" i="10"/>
  <c r="AA109" i="10" l="1"/>
  <c r="AA172" i="10" s="1"/>
  <c r="AA2" i="12" s="1"/>
  <c r="AB61" i="10"/>
  <c r="AB109" i="10" s="1"/>
  <c r="AB172" i="10" s="1"/>
  <c r="AB2" i="12" s="1"/>
  <c r="AA161" i="10"/>
  <c r="AA173" i="10" s="1"/>
  <c r="AA2" i="13" s="1"/>
  <c r="AB113" i="10"/>
  <c r="AB161" i="10" s="1"/>
  <c r="AB173" i="10" s="1"/>
  <c r="AB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<sst xmlns="http://schemas.openxmlformats.org/spreadsheetml/2006/main" count="725" uniqueCount="267">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</sst>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112</v>
      </c>
      <c r="C1" s="11">
        <v>46266</v>
      </c>
      <c r="F1" s="1" t="s">
        <v>2</v>
      </c>
      <c r="G1" s="1" t="s">
        <v>3</v>
      </c>
    </row>
    <row r="2" spans="1:7" x14ac:dyDescent="0.45">
      <c r="A2" s="1" t="s">
        <v>4</v>
      </c>
      <c r="B2" t="str">
        <f>INDEX($G$2:$G$49,MATCH($B$1,$F$2:$F$49,0))</f>
        <v>WA</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Washington</v>
      </c>
    </row>
    <row r="2" spans="1:28" x14ac:dyDescent="0.45">
      <c r="B2" t="str">
        <f>About!B2</f>
        <v>WA</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Washington</v>
      </c>
    </row>
    <row r="5" spans="1:29" x14ac:dyDescent="0.45">
      <c r="A5" t="s">
        <v>246</v>
      </c>
      <c r="B5" t="str">
        <f>About!$B$2</f>
        <v>WA</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5381280.4908715989</v>
      </c>
      <c r="C171">
        <f>IF('State Calculations'!C$5&lt;&gt;"",B171*(1+'State Calculations'!C$5),IFERROR(INDEX(C9:C56,MATCH($B$5,$A9:$A56,0))/C57*C165,0))</f>
        <v>5774780.0390515383</v>
      </c>
      <c r="D171">
        <f>IF('State Calculations'!D$5&lt;&gt;"",C171*(1+'State Calculations'!D$5),IFERROR(INDEX(D9:D56,MATCH($B$5,$A9:$A56,0))/D57*D165,0))</f>
        <v>6175772.8525793394</v>
      </c>
      <c r="E171">
        <f>IF('State Calculations'!E$5&lt;&gt;"",D171*(1+'State Calculations'!E$5),IFERROR(INDEX(E9:E56,MATCH($B$5,$A9:$A56,0))/E57*E165,0))</f>
        <v>6577431.349810387</v>
      </c>
      <c r="F171">
        <f>IF('State Calculations'!F$5&lt;&gt;"",E171*(1+'State Calculations'!F$5),IFERROR(INDEX(F9:F56,MATCH($B$5,$A9:$A56,0))/F57*F165,0))</f>
        <v>6969170.1499083182</v>
      </c>
      <c r="G171">
        <f>IF('State Calculations'!G$5&lt;&gt;"",F171*(1+'State Calculations'!G$5),IFERROR(INDEX(G9:G56,MATCH($B$5,$A9:$A56,0))/G57*G165,0))</f>
        <v>7334307.3919079285</v>
      </c>
      <c r="H171">
        <f>IF('State Calculations'!H$5&lt;&gt;"",G171*(1+'State Calculations'!H$5),IFERROR(INDEX(H9:H56,MATCH($B$5,$A9:$A56,0))/H57*H165,0))</f>
        <v>7646197.2132522212</v>
      </c>
      <c r="I171">
        <f>IF('State Calculations'!I$5&lt;&gt;"",H171*(1+'State Calculations'!I$5),IFERROR(INDEX(I9:I56,MATCH($B$5,$A9:$A56,0))/I57*I165,0))</f>
        <v>7705039.6823723288</v>
      </c>
      <c r="J171">
        <f>IF('State Calculations'!J$5&lt;&gt;"",I171*(1+'State Calculations'!J$5),IFERROR(INDEX(J9:J56,MATCH($B$5,$A9:$A56,0))/J57*J165,0))</f>
        <v>7752667.1708072079</v>
      </c>
      <c r="K171">
        <f>IF('State Calculations'!K$5&lt;&gt;"",J171*(1+'State Calculations'!K$5),IFERROR(INDEX(K9:K56,MATCH($B$5,$A9:$A56,0))/K57*K165,0))</f>
        <v>7786929.963813059</v>
      </c>
      <c r="L171">
        <f>IF('State Calculations'!L$5&lt;&gt;"",K171*(1+'State Calculations'!L$5),IFERROR(INDEX(L9:L56,MATCH($B$5,$A9:$A56,0))/L57*L165,0))</f>
        <v>7805335.6075765574</v>
      </c>
      <c r="M171">
        <f>IF('State Calculations'!M$5&lt;&gt;"",L171*(1+'State Calculations'!M$5),IFERROR(INDEX(M9:M56,MATCH($B$5,$A9:$A56,0))/M57*M165,0))</f>
        <v>7805026.9891264318</v>
      </c>
      <c r="N171">
        <f>IF('State Calculations'!N$5&lt;&gt;"",M171*(1+'State Calculations'!N$5),IFERROR(INDEX(N9:N56,MATCH($B$5,$A9:$A56,0))/N57*N165,0))</f>
        <v>7799400.7721135104</v>
      </c>
      <c r="O171">
        <f>IF('State Calculations'!O$5&lt;&gt;"",N171*(1+'State Calculations'!O$5),IFERROR(INDEX(O9:O56,MATCH($B$5,$A9:$A56,0))/O57*O165,0))</f>
        <v>7792086.8544140896</v>
      </c>
      <c r="P171">
        <f>IF('State Calculations'!P$5&lt;&gt;"",O171*(1+'State Calculations'!P$5),IFERROR(INDEX(P9:P56,MATCH($B$5,$A9:$A56,0))/P57*P165,0))</f>
        <v>7783012.4598488724</v>
      </c>
      <c r="Q171">
        <f>IF('State Calculations'!Q$5&lt;&gt;"",P171*(1+'State Calculations'!Q$5),IFERROR(INDEX(Q9:Q56,MATCH($B$5,$A9:$A56,0))/Q57*Q165,0))</f>
        <v>7772102.9323182302</v>
      </c>
      <c r="R171">
        <f>IF('State Calculations'!R$5&lt;&gt;"",Q171*(1+'State Calculations'!R$5),IFERROR(INDEX(R9:R56,MATCH($B$5,$A9:$A56,0))/R57*R165,0))</f>
        <v>7759281.8521231636</v>
      </c>
      <c r="S171">
        <f>IF('State Calculations'!S$5&lt;&gt;"",R171*(1+'State Calculations'!S$5),IFERROR(INDEX(S9:S56,MATCH($B$5,$A9:$A56,0))/S57*S165,0))</f>
        <v>7755557.1817715559</v>
      </c>
      <c r="T171">
        <f>IF('State Calculations'!T$5&lt;&gt;"",S171*(1+'State Calculations'!T$5),IFERROR(INDEX(T9:T56,MATCH($B$5,$A9:$A56,0))/T57*T165,0))</f>
        <v>7751700.900601822</v>
      </c>
      <c r="U171">
        <f>IF('State Calculations'!U$5&lt;&gt;"",T171*(1+'State Calculations'!U$5),IFERROR(INDEX(U9:U56,MATCH($B$5,$A9:$A56,0))/U57*U165,0))</f>
        <v>7747711.6701855185</v>
      </c>
      <c r="V171">
        <f>IF('State Calculations'!V$5&lt;&gt;"",U171*(1+'State Calculations'!V$5),IFERROR(INDEX(V9:V56,MATCH($B$5,$A9:$A56,0))/V57*V165,0))</f>
        <v>7743588.1460912935</v>
      </c>
      <c r="W171">
        <f>IF('State Calculations'!W$5&lt;&gt;"",V171*(1+'State Calculations'!W$5),IFERROR(INDEX(W9:W56,MATCH($B$5,$A9:$A56,0))/W57*W165,0))</f>
        <v>7739328.9781086054</v>
      </c>
      <c r="X171">
        <f>IF('State Calculations'!X$5&lt;&gt;"",W171*(1+'State Calculations'!X$5),IFERROR(INDEX(X9:X56,MATCH($B$5,$A9:$A56,0))/X57*X165,0))</f>
        <v>7738228.1717937468</v>
      </c>
      <c r="Y171">
        <f>IF('State Calculations'!Y$5&lt;&gt;"",X171*(1+'State Calculations'!Y$5),IFERROR(INDEX(Y9:Y56,MATCH($B$5,$A9:$A56,0))/Y57*Y165,0))</f>
        <v>7737118.6777332556</v>
      </c>
      <c r="Z171">
        <f>IF('State Calculations'!Z$5&lt;&gt;"",Y171*(1+'State Calculations'!Z$5),IFERROR(INDEX(Z9:Z56,MATCH($B$5,$A9:$A56,0))/Z57*Z165,0))</f>
        <v>7736000.4742473178</v>
      </c>
      <c r="AA171">
        <f>IF('State Calculations'!AA$5&lt;&gt;"",Z171*(1+'State Calculations'!AA$5),IFERROR(INDEX(AA9:AA56,MATCH($B$5,$A9:$A56,0))/AA57*AA165,0))</f>
        <v>7734873.5396352233</v>
      </c>
      <c r="AB171">
        <f>IF('State Calculations'!AB$5&lt;&gt;"",AA171*(1+'State Calculations'!AB$5),IFERROR(INDEX(AB9:AB56,MATCH($B$5,$A9:$A56,0))/AB57*AB165,0))</f>
        <v>7733737.8521756213</v>
      </c>
    </row>
    <row r="172" spans="1:29" x14ac:dyDescent="0.45">
      <c r="A172" s="1" t="s">
        <v>262</v>
      </c>
      <c r="B172">
        <f>IF('State Calculations'!B$5&lt;&gt;"",A172*(1+'State Calculations'!B$5),IFERROR(INDEX(B61:B108,MATCH($B$5,$A61:$A108,0))/B109*B166,0))</f>
        <v>5381280.4908715989</v>
      </c>
      <c r="C172">
        <f>IF('State Calculations'!C$5&lt;&gt;"",B172*(1+'State Calculations'!C$5),IFERROR(INDEX(C61:C108,MATCH($B$5,$A61:$A108,0))/C109*C166,0))</f>
        <v>5879054.297707947</v>
      </c>
      <c r="D172">
        <f>IF('State Calculations'!D$5&lt;&gt;"",C172*(1+'State Calculations'!D$5),IFERROR(INDEX(D61:D108,MATCH($B$5,$A61:$A108,0))/D109*D166,0))</f>
        <v>6381852.1180714322</v>
      </c>
      <c r="E172">
        <f>IF('State Calculations'!E$5&lt;&gt;"",D172*(1+'State Calculations'!E$5),IFERROR(INDEX(E61:E108,MATCH($B$5,$A61:$A108,0))/E109*E166,0))</f>
        <v>6876074.5462660808</v>
      </c>
      <c r="F172">
        <f>IF('State Calculations'!F$5&lt;&gt;"",E172*(1+'State Calculations'!F$5),IFERROR(INDEX(F61:F108,MATCH($B$5,$A61:$A108,0))/F109*F166,0))</f>
        <v>7342260.1465554014</v>
      </c>
      <c r="G172">
        <f>IF('State Calculations'!G$5&lt;&gt;"",F172*(1+'State Calculations'!G$5),IFERROR(INDEX(G61:G108,MATCH($B$5,$A61:$A108,0))/G109*G166,0))</f>
        <v>7752947.1667052032</v>
      </c>
      <c r="H172">
        <f>IF('State Calculations'!H$5&lt;&gt;"",G172*(1+'State Calculations'!H$5),IFERROR(INDEX(H61:H108,MATCH($B$5,$A61:$A108,0))/H109*H166,0))</f>
        <v>8070269.8755463772</v>
      </c>
      <c r="I172">
        <f>IF('State Calculations'!I$5&lt;&gt;"",H172*(1+'State Calculations'!I$5),IFERROR(INDEX(I61:I108,MATCH($B$5,$A61:$A108,0))/I109*I166,0))</f>
        <v>8114593.6832439117</v>
      </c>
      <c r="J172">
        <f>IF('State Calculations'!J$5&lt;&gt;"",I172*(1+'State Calculations'!J$5),IFERROR(INDEX(J61:J108,MATCH($B$5,$A61:$A108,0))/J109*J166,0))</f>
        <v>8142057.3888964476</v>
      </c>
      <c r="K172">
        <f>IF('State Calculations'!K$5&lt;&gt;"",J172*(1+'State Calculations'!K$5),IFERROR(INDEX(K61:K108,MATCH($B$5,$A61:$A108,0))/K109*K166,0))</f>
        <v>8150483.7812715676</v>
      </c>
      <c r="L172">
        <f>IF('State Calculations'!L$5&lt;&gt;"",K172*(1+'State Calculations'!L$5),IFERROR(INDEX(L61:L108,MATCH($B$5,$A61:$A108,0))/L109*L166,0))</f>
        <v>8137544.5935608791</v>
      </c>
      <c r="M172">
        <f>IF('State Calculations'!M$5&lt;&gt;"",L172*(1+'State Calculations'!M$5),IFERROR(INDEX(M61:M108,MATCH($B$5,$A61:$A108,0))/M109*M166,0))</f>
        <v>8100792.1286270013</v>
      </c>
      <c r="N172">
        <f>IF('State Calculations'!N$5&lt;&gt;"",M172*(1+'State Calculations'!N$5),IFERROR(INDEX(N61:N108,MATCH($B$5,$A61:$A108,0))/N109*N166,0))</f>
        <v>8083866.028616135</v>
      </c>
      <c r="O172">
        <f>IF('State Calculations'!O$5&lt;&gt;"",N172*(1+'State Calculations'!O$5),IFERROR(INDEX(O61:O108,MATCH($B$5,$A61:$A108,0))/O109*O166,0))</f>
        <v>8064925.5934905671</v>
      </c>
      <c r="P172">
        <f>IF('State Calculations'!P$5&lt;&gt;"",O172*(1+'State Calculations'!P$5),IFERROR(INDEX(P61:P108,MATCH($B$5,$A61:$A108,0))/P109*P166,0))</f>
        <v>8043917.0150789926</v>
      </c>
      <c r="Q172">
        <f>IF('State Calculations'!Q$5&lt;&gt;"",P172*(1+'State Calculations'!Q$5),IFERROR(INDEX(Q61:Q108,MATCH($B$5,$A61:$A108,0))/Q109*Q166,0))</f>
        <v>8020786.6091258796</v>
      </c>
      <c r="R172">
        <f>IF('State Calculations'!R$5&lt;&gt;"",Q172*(1+'State Calculations'!R$5),IFERROR(INDEX(R61:R108,MATCH($B$5,$A61:$A108,0))/R109*R166,0))</f>
        <v>7995480.9867456341</v>
      </c>
      <c r="S172">
        <f>IF('State Calculations'!S$5&lt;&gt;"",R172*(1+'State Calculations'!S$5),IFERROR(INDEX(S61:S108,MATCH($B$5,$A61:$A108,0))/S109*S166,0))</f>
        <v>7988480.7127524922</v>
      </c>
      <c r="T172">
        <f>IF('State Calculations'!T$5&lt;&gt;"",S172*(1+'State Calculations'!T$5),IFERROR(INDEX(T61:T108,MATCH($B$5,$A61:$A108,0))/T109*T166,0))</f>
        <v>7981333.2283979142</v>
      </c>
      <c r="U172">
        <f>IF('State Calculations'!U$5&lt;&gt;"",T172*(1+'State Calculations'!U$5),IFERROR(INDEX(U61:U108,MATCH($B$5,$A61:$A108,0))/U109*U166,0))</f>
        <v>7974037.6385196652</v>
      </c>
      <c r="V172">
        <f>IF('State Calculations'!V$5&lt;&gt;"",U172*(1+'State Calculations'!V$5),IFERROR(INDEX(V61:V108,MATCH($B$5,$A61:$A108,0))/V109*V166,0))</f>
        <v>7966593.0511266561</v>
      </c>
      <c r="W172">
        <f>IF('State Calculations'!W$5&lt;&gt;"",V172*(1+'State Calculations'!W$5),IFERROR(INDEX(W61:W108,MATCH($B$5,$A61:$A108,0))/W109*W166,0))</f>
        <v>7958998.5776467575</v>
      </c>
      <c r="X172">
        <f>IF('State Calculations'!X$5&lt;&gt;"",W172*(1+'State Calculations'!X$5),IFERROR(INDEX(X61:X108,MATCH($B$5,$A61:$A108,0))/X109*X166,0))</f>
        <v>7957054.0693524247</v>
      </c>
      <c r="Y172">
        <f>IF('State Calculations'!Y$5&lt;&gt;"",X172*(1+'State Calculations'!Y$5),IFERROR(INDEX(Y61:Y108,MATCH($B$5,$A61:$A108,0))/Y109*Y166,0))</f>
        <v>7955100.0025845412</v>
      </c>
      <c r="Z172">
        <f>IF('State Calculations'!Z$5&lt;&gt;"",Y172*(1+'State Calculations'!Z$5),IFERROR(INDEX(Z61:Z108,MATCH($B$5,$A61:$A108,0))/Z109*Z166,0))</f>
        <v>7953136.3632407021</v>
      </c>
      <c r="AA172">
        <f>IF('State Calculations'!AA$5&lt;&gt;"",Z172*(1+'State Calculations'!AA$5),IFERROR(INDEX(AA61:AA108,MATCH($B$5,$A61:$A108,0))/AA109*AA166,0))</f>
        <v>7951163.1372345202</v>
      </c>
      <c r="AB172">
        <f>IF('State Calculations'!AB$5&lt;&gt;"",AA172*(1+'State Calculations'!AB$5),IFERROR(INDEX(AB61:AB108,MATCH($B$5,$A61:$A108,0))/AB109*AB166,0))</f>
        <v>7949180.3104958832</v>
      </c>
    </row>
    <row r="173" spans="1:29" x14ac:dyDescent="0.45">
      <c r="A173" s="1" t="s">
        <v>263</v>
      </c>
      <c r="B173">
        <f>IF('State Calculations'!B$5&lt;&gt;"",A173*(1+'State Calculations'!B$5),IFERROR(INDEX(B113:B160,MATCH($B$5,$A113:$A160,0))/B161*B167,0))</f>
        <v>5381280.4908715989</v>
      </c>
      <c r="C173">
        <f>IF('State Calculations'!C$5&lt;&gt;"",B173*(1+'State Calculations'!C$5),IFERROR(INDEX(C113:C160,MATCH($B$5,$A113:$A160,0))/C161*C167,0))</f>
        <v>5978427.1998235844</v>
      </c>
      <c r="D173">
        <f>IF('State Calculations'!D$5&lt;&gt;"",C173*(1+'State Calculations'!D$5),IFERROR(INDEX(D113:D160,MATCH($B$5,$A113:$A160,0))/D161*D167,0))</f>
        <v>6592217.2078309674</v>
      </c>
      <c r="E173">
        <f>IF('State Calculations'!E$5&lt;&gt;"",D173*(1+'State Calculations'!E$5),IFERROR(INDEX(E113:E160,MATCH($B$5,$A113:$A160,0))/E161*E167,0))</f>
        <v>7207233.496290952</v>
      </c>
      <c r="F173">
        <f>IF('State Calculations'!F$5&lt;&gt;"",E173*(1+'State Calculations'!F$5),IFERROR(INDEX(F113:F160,MATCH($B$5,$A113:$A160,0))/F161*F167,0))</f>
        <v>7800821.1715708924</v>
      </c>
      <c r="G173">
        <f>IF('State Calculations'!G$5&lt;&gt;"",F173*(1+'State Calculations'!G$5),IFERROR(INDEX(G113:G160,MATCH($B$5,$A113:$A160,0))/G161*G167,0))</f>
        <v>8340427.1518923463</v>
      </c>
      <c r="H173">
        <f>IF('State Calculations'!H$5&lt;&gt;"",G173*(1+'State Calculations'!H$5),IFERROR(INDEX(H113:H160,MATCH($B$5,$A113:$A160,0))/H161*H167,0))</f>
        <v>8780651.8326188065</v>
      </c>
      <c r="I173">
        <f>IF('State Calculations'!I$5&lt;&gt;"",H173*(1+'State Calculations'!I$5),IFERROR(INDEX(I113:I160,MATCH($B$5,$A113:$A160,0))/I161*I167,0))</f>
        <v>8848049.9809780922</v>
      </c>
      <c r="J173">
        <f>IF('State Calculations'!J$5&lt;&gt;"",I173*(1+'State Calculations'!J$5),IFERROR(INDEX(J113:J160,MATCH($B$5,$A113:$A160,0))/J161*J167,0))</f>
        <v>8894678.4307299349</v>
      </c>
      <c r="K173">
        <f>IF('State Calculations'!K$5&lt;&gt;"",J173*(1+'State Calculations'!K$5),IFERROR(INDEX(K113:K160,MATCH($B$5,$A113:$A160,0))/K161*K167,0))</f>
        <v>8917707.0192011185</v>
      </c>
      <c r="L173">
        <f>IF('State Calculations'!L$5&lt;&gt;"",K173*(1+'State Calculations'!L$5),IFERROR(INDEX(L113:L160,MATCH($B$5,$A113:$A160,0))/L161*L167,0))</f>
        <v>8914120.9964010883</v>
      </c>
      <c r="M173">
        <f>IF('State Calculations'!M$5&lt;&gt;"",L173*(1+'State Calculations'!M$5),IFERROR(INDEX(M113:M160,MATCH($B$5,$A113:$A160,0))/M161*M167,0))</f>
        <v>8880771.5089562573</v>
      </c>
      <c r="N173">
        <f>IF('State Calculations'!N$5&lt;&gt;"",M173*(1+'State Calculations'!N$5),IFERROR(INDEX(N113:N160,MATCH($B$5,$A113:$A160,0))/N161*N167,0))</f>
        <v>8862018.7155331783</v>
      </c>
      <c r="O173">
        <f>IF('State Calculations'!O$5&lt;&gt;"",N173*(1+'State Calculations'!O$5),IFERROR(INDEX(O113:O160,MATCH($B$5,$A113:$A160,0))/O161*O167,0))</f>
        <v>8840675.8158261403</v>
      </c>
      <c r="P173">
        <f>IF('State Calculations'!P$5&lt;&gt;"",O173*(1+'State Calculations'!P$5),IFERROR(INDEX(P113:P160,MATCH($B$5,$A113:$A160,0))/P161*P167,0))</f>
        <v>8816672.9412429724</v>
      </c>
      <c r="Q173">
        <f>IF('State Calculations'!Q$5&lt;&gt;"",P173*(1+'State Calculations'!Q$5),IFERROR(INDEX(Q113:Q160,MATCH($B$5,$A113:$A160,0))/Q161*Q167,0))</f>
        <v>8789940.7665004395</v>
      </c>
      <c r="R173">
        <f>IF('State Calculations'!R$5&lt;&gt;"",Q173*(1+'State Calculations'!R$5),IFERROR(INDEX(R113:R160,MATCH($B$5,$A113:$A160,0))/R161*R167,0))</f>
        <v>8760410.7836190742</v>
      </c>
      <c r="S173">
        <f>IF('State Calculations'!S$5&lt;&gt;"",R173*(1+'State Calculations'!S$5),IFERROR(INDEX(S113:S160,MATCH($B$5,$A113:$A160,0))/S161*S167,0))</f>
        <v>8752100.542686997</v>
      </c>
      <c r="T173">
        <f>IF('State Calculations'!T$5&lt;&gt;"",S173*(1+'State Calculations'!T$5),IFERROR(INDEX(T113:T160,MATCH($B$5,$A113:$A160,0))/T161*T167,0))</f>
        <v>8743599.5963563211</v>
      </c>
      <c r="U173">
        <f>IF('State Calculations'!U$5&lt;&gt;"",T173*(1+'State Calculations'!U$5),IFERROR(INDEX(U113:U160,MATCH($B$5,$A113:$A160,0))/U161*U167,0))</f>
        <v>8734906.8001486566</v>
      </c>
      <c r="V173">
        <f>IF('State Calculations'!V$5&lt;&gt;"",U173*(1+'State Calculations'!V$5),IFERROR(INDEX(V113:V160,MATCH($B$5,$A113:$A160,0))/V161*V167,0))</f>
        <v>8726021.0162933692</v>
      </c>
      <c r="W173">
        <f>IF('State Calculations'!W$5&lt;&gt;"",V173*(1+'State Calculations'!W$5),IFERROR(INDEX(W113:W160,MATCH($B$5,$A113:$A160,0))/W161*W167,0))</f>
        <v>8716941.1141262762</v>
      </c>
      <c r="X173">
        <f>IF('State Calculations'!X$5&lt;&gt;"",W173*(1+'State Calculations'!X$5),IFERROR(INDEX(X113:X160,MATCH($B$5,$A113:$A160,0))/X161*X167,0))</f>
        <v>8714607.5796893202</v>
      </c>
      <c r="Y173">
        <f>IF('State Calculations'!Y$5&lt;&gt;"",X173*(1+'State Calculations'!Y$5),IFERROR(INDEX(Y113:Y160,MATCH($B$5,$A113:$A160,0))/Y161*Y167,0))</f>
        <v>8712261.6437639613</v>
      </c>
      <c r="Z173">
        <f>IF('State Calculations'!Z$5&lt;&gt;"",Y173*(1+'State Calculations'!Z$5),IFERROR(INDEX(Z113:Z160,MATCH($B$5,$A113:$A160,0))/Z161*Z167,0))</f>
        <v>8709903.2884378973</v>
      </c>
      <c r="AA173">
        <f>IF('State Calculations'!AA$5&lt;&gt;"",Z173*(1+'State Calculations'!AA$5),IFERROR(INDEX(AA113:AA160,MATCH($B$5,$A113:$A160,0))/AA161*AA167,0))</f>
        <v>8707532.4958311971</v>
      </c>
      <c r="AB173">
        <f>IF('State Calculations'!AB$5&lt;&gt;"",AA173*(1+'State Calculations'!AB$5),IFERROR(INDEX(AB113:AB160,MATCH($B$5,$A113:$A160,0))/AB161*AB167,0))</f>
        <v>8705149.2480967473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5381280.4908715989</v>
      </c>
      <c r="C2">
        <f>Calcs!C171</f>
        <v>5774780.0390515383</v>
      </c>
      <c r="D2">
        <f>Calcs!D171</f>
        <v>6175772.8525793394</v>
      </c>
      <c r="E2">
        <f>Calcs!E171</f>
        <v>6577431.349810387</v>
      </c>
      <c r="F2">
        <f>Calcs!F171</f>
        <v>6969170.1499083182</v>
      </c>
      <c r="G2">
        <f>Calcs!G171</f>
        <v>7334307.3919079285</v>
      </c>
      <c r="H2">
        <f>Calcs!H171</f>
        <v>7646197.2132522212</v>
      </c>
      <c r="I2">
        <f>Calcs!I171</f>
        <v>7705039.6823723288</v>
      </c>
      <c r="J2">
        <f>Calcs!J171</f>
        <v>7752667.1708072079</v>
      </c>
      <c r="K2">
        <f>Calcs!K171</f>
        <v>7786929.963813059</v>
      </c>
      <c r="L2">
        <f>Calcs!L171</f>
        <v>7805335.6075765574</v>
      </c>
      <c r="M2">
        <f>Calcs!M171</f>
        <v>7805026.9891264318</v>
      </c>
      <c r="N2">
        <f>Calcs!N171</f>
        <v>7799400.7721135104</v>
      </c>
      <c r="O2">
        <f>Calcs!O171</f>
        <v>7792086.8544140896</v>
      </c>
      <c r="P2">
        <f>Calcs!P171</f>
        <v>7783012.4598488724</v>
      </c>
      <c r="Q2">
        <f>Calcs!Q171</f>
        <v>7772102.9323182302</v>
      </c>
      <c r="R2">
        <f>Calcs!R171</f>
        <v>7759281.8521231636</v>
      </c>
      <c r="S2">
        <f>Calcs!S171</f>
        <v>7755557.1817715559</v>
      </c>
      <c r="T2">
        <f>Calcs!T171</f>
        <v>7751700.900601822</v>
      </c>
      <c r="U2">
        <f>Calcs!U171</f>
        <v>7747711.6701855185</v>
      </c>
      <c r="V2">
        <f>Calcs!V171</f>
        <v>7743588.1460912935</v>
      </c>
      <c r="W2">
        <f>Calcs!W171</f>
        <v>7739328.9781086054</v>
      </c>
      <c r="X2">
        <f>Calcs!X171</f>
        <v>7738228.1717937468</v>
      </c>
      <c r="Y2">
        <f>Calcs!Y171</f>
        <v>7737118.6777332556</v>
      </c>
      <c r="Z2">
        <f>Calcs!Z171</f>
        <v>7736000.4742473178</v>
      </c>
      <c r="AA2">
        <f>Calcs!AA171</f>
        <v>7734873.5396352233</v>
      </c>
      <c r="AB2">
        <f>Calcs!AB171</f>
        <v>7733737.8521756213</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5381280.4908715989</v>
      </c>
      <c r="C2">
        <f>Calcs!C172</f>
        <v>5879054.297707947</v>
      </c>
      <c r="D2">
        <f>Calcs!D172</f>
        <v>6381852.1180714322</v>
      </c>
      <c r="E2">
        <f>Calcs!E172</f>
        <v>6876074.5462660808</v>
      </c>
      <c r="F2">
        <f>Calcs!F172</f>
        <v>7342260.1465554014</v>
      </c>
      <c r="G2">
        <f>Calcs!G172</f>
        <v>7752947.1667052032</v>
      </c>
      <c r="H2">
        <f>Calcs!H172</f>
        <v>8070269.8755463772</v>
      </c>
      <c r="I2">
        <f>Calcs!I172</f>
        <v>8114593.6832439117</v>
      </c>
      <c r="J2">
        <f>Calcs!J172</f>
        <v>8142057.3888964476</v>
      </c>
      <c r="K2">
        <f>Calcs!K172</f>
        <v>8150483.7812715676</v>
      </c>
      <c r="L2">
        <f>Calcs!L172</f>
        <v>8137544.5935608791</v>
      </c>
      <c r="M2">
        <f>Calcs!M172</f>
        <v>8100792.1286270013</v>
      </c>
      <c r="N2">
        <f>Calcs!N172</f>
        <v>8083866.028616135</v>
      </c>
      <c r="O2">
        <f>Calcs!O172</f>
        <v>8064925.5934905671</v>
      </c>
      <c r="P2">
        <f>Calcs!P172</f>
        <v>8043917.0150789926</v>
      </c>
      <c r="Q2">
        <f>Calcs!Q172</f>
        <v>8020786.6091258796</v>
      </c>
      <c r="R2">
        <f>Calcs!R172</f>
        <v>7995480.9867456341</v>
      </c>
      <c r="S2">
        <f>Calcs!S172</f>
        <v>7988480.7127524922</v>
      </c>
      <c r="T2">
        <f>Calcs!T172</f>
        <v>7981333.2283979142</v>
      </c>
      <c r="U2">
        <f>Calcs!U172</f>
        <v>7974037.6385196652</v>
      </c>
      <c r="V2">
        <f>Calcs!V172</f>
        <v>7966593.0511266561</v>
      </c>
      <c r="W2">
        <f>Calcs!W172</f>
        <v>7958998.5776467575</v>
      </c>
      <c r="X2">
        <f>Calcs!X172</f>
        <v>7957054.0693524247</v>
      </c>
      <c r="Y2">
        <f>Calcs!Y172</f>
        <v>7955100.0025845412</v>
      </c>
      <c r="Z2">
        <f>Calcs!Z172</f>
        <v>7953136.3632407021</v>
      </c>
      <c r="AA2">
        <f>Calcs!AA172</f>
        <v>7951163.1372345202</v>
      </c>
      <c r="AB2">
        <f>Calcs!AB172</f>
        <v>7949180.3104958832</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5381280.4908715989</v>
      </c>
      <c r="C2">
        <f>Calcs!C173</f>
        <v>5978427.1998235844</v>
      </c>
      <c r="D2">
        <f>Calcs!D173</f>
        <v>6592217.2078309674</v>
      </c>
      <c r="E2">
        <f>Calcs!E173</f>
        <v>7207233.496290952</v>
      </c>
      <c r="F2">
        <f>Calcs!F173</f>
        <v>7800821.1715708924</v>
      </c>
      <c r="G2">
        <f>Calcs!G173</f>
        <v>8340427.1518923463</v>
      </c>
      <c r="H2">
        <f>Calcs!H173</f>
        <v>8780651.8326188065</v>
      </c>
      <c r="I2">
        <f>Calcs!I173</f>
        <v>8848049.9809780922</v>
      </c>
      <c r="J2">
        <f>Calcs!J173</f>
        <v>8894678.4307299349</v>
      </c>
      <c r="K2">
        <f>Calcs!K173</f>
        <v>8917707.0192011185</v>
      </c>
      <c r="L2">
        <f>Calcs!L173</f>
        <v>8914120.9964010883</v>
      </c>
      <c r="M2">
        <f>Calcs!M173</f>
        <v>8880771.5089562573</v>
      </c>
      <c r="N2">
        <f>Calcs!N173</f>
        <v>8862018.7155331783</v>
      </c>
      <c r="O2">
        <f>Calcs!O173</f>
        <v>8840675.8158261403</v>
      </c>
      <c r="P2">
        <f>Calcs!P173</f>
        <v>8816672.9412429724</v>
      </c>
      <c r="Q2">
        <f>Calcs!Q173</f>
        <v>8789940.7665004395</v>
      </c>
      <c r="R2">
        <f>Calcs!R173</f>
        <v>8760410.7836190742</v>
      </c>
      <c r="S2">
        <f>Calcs!S173</f>
        <v>8752100.542686997</v>
      </c>
      <c r="T2">
        <f>Calcs!T173</f>
        <v>8743599.5963563211</v>
      </c>
      <c r="U2">
        <f>Calcs!U173</f>
        <v>8734906.8001486566</v>
      </c>
      <c r="V2">
        <f>Calcs!V173</f>
        <v>8726021.0162933692</v>
      </c>
      <c r="W2">
        <f>Calcs!W173</f>
        <v>8716941.1141262762</v>
      </c>
      <c r="X2">
        <f>Calcs!X173</f>
        <v>8714607.5796893202</v>
      </c>
      <c r="Y2">
        <f>Calcs!Y173</f>
        <v>8712261.6437639613</v>
      </c>
      <c r="Z2">
        <f>Calcs!Z173</f>
        <v>8709903.2884378973</v>
      </c>
      <c r="AA2">
        <f>Calcs!AA173</f>
        <v>8707532.4958311971</v>
      </c>
      <c r="AB2">
        <f>Calcs!AB173</f>
        <v>8705149.2480967473</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2026-09-01T22:21:55Z</dcterms:modified>
</cp:coreProperties>
</file>