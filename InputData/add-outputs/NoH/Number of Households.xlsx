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WA\add-outputs\NoH\"/>
    </mc:Choice>
  </mc:AlternateContent>
  <xr:revisionPtr revIDLastSave="0" documentId="8_{856CC481-ED73-4A3E-99AB-463E9C90458F}"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S2" i="3"/>
  <c r="D2" i="3"/>
  <c r="Z2" i="3"/>
  <c r="AB2" i="3"/>
  <c r="Q2" i="3"/>
  <c r="E2" i="3"/>
  <c r="AA2" i="3"/>
  <c r="AC2" i="3"/>
  <c r="F2" i="3"/>
  <c r="G2" i="3"/>
  <c r="H2" i="3"/>
  <c r="AD2" i="3"/>
  <c r="O2" i="3"/>
  <c r="I2" i="3"/>
  <c r="AE2" i="3"/>
  <c r="U2" i="3"/>
  <c r="W2" i="3"/>
  <c r="J2" i="3"/>
  <c r="B2" i="3"/>
  <c r="R2" i="3"/>
  <c r="T2" i="3"/>
  <c r="K2" i="3"/>
  <c r="X2" i="3"/>
  <c r="L2" i="3"/>
  <c r="N2" i="3"/>
  <c r="V2" i="3"/>
  <c r="M2" i="3"/>
  <c r="P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<sst xmlns="http://schemas.openxmlformats.org/spreadsheetml/2006/main" count="1069" uniqueCount="448">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</sst>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420</v>
      </c>
      <c r="C1" s="68">
        <v>46185</v>
      </c>
      <c r="H1" t="s">
        <v>324</v>
      </c>
      <c r="I1" t="s">
        <v>325</v>
      </c>
    </row>
    <row r="2" spans="1:9" x14ac:dyDescent="0.25">
      <c r="B2" t="str">
        <f>VLOOKUP(B1,H2:I52,2)</f>
        <v>WA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2855076.5735362326</v>
      </c>
      <c r="C2">
        <f>SUMIFS('state calcs'!C62:C112,'state calcs'!$A$62:$A$112,About!$B$2)</f>
        <v>2913920.8829112872</v>
      </c>
      <c r="D2">
        <f>SUMIFS('state calcs'!D62:D112,'state calcs'!$A$62:$A$112,About!$B$2)</f>
        <v>2955737.9492234839</v>
      </c>
      <c r="E2">
        <f>SUMIFS('state calcs'!E62:E112,'state calcs'!$A$62:$A$112,About!$B$2)</f>
        <v>2997717.8407249637</v>
      </c>
      <c r="F2">
        <f>SUMIFS('state calcs'!F62:F112,'state calcs'!$A$62:$A$112,About!$B$2)</f>
        <v>3040438.779153279</v>
      </c>
      <c r="G2">
        <f>SUMIFS('state calcs'!G62:G112,'state calcs'!$A$62:$A$112,About!$B$2)</f>
        <v>3083196.305397138</v>
      </c>
      <c r="H2">
        <f>SUMIFS('state calcs'!H62:H112,'state calcs'!$A$62:$A$112,About!$B$2)</f>
        <v>3126208.8779631034</v>
      </c>
      <c r="I2">
        <f>SUMIFS('state calcs'!I62:I112,'state calcs'!$A$62:$A$112,About!$B$2)</f>
        <v>3169534.4929980473</v>
      </c>
      <c r="J2">
        <f>SUMIFS('state calcs'!J62:J112,'state calcs'!$A$62:$A$112,About!$B$2)</f>
        <v>3212749.7637491426</v>
      </c>
      <c r="K2">
        <f>SUMIFS('state calcs'!K62:K112,'state calcs'!$A$62:$A$112,About!$B$2)</f>
        <v>3255332.3148520379</v>
      </c>
      <c r="L2">
        <f>SUMIFS('state calcs'!L62:L112,'state calcs'!$A$62:$A$112,About!$B$2)</f>
        <v>3305078.5314331525</v>
      </c>
      <c r="M2">
        <f>SUMIFS('state calcs'!M62:M112,'state calcs'!$A$62:$A$112,About!$B$2)</f>
        <v>3354834.562798054</v>
      </c>
      <c r="N2">
        <f>SUMIFS('state calcs'!N62:N112,'state calcs'!$A$62:$A$112,About!$B$2)</f>
        <v>3404190.9044148978</v>
      </c>
      <c r="O2">
        <f>SUMIFS('state calcs'!O62:O112,'state calcs'!$A$62:$A$112,About!$B$2)</f>
        <v>3452882.8726108023</v>
      </c>
      <c r="P2">
        <f>SUMIFS('state calcs'!P62:P112,'state calcs'!$A$62:$A$112,About!$B$2)</f>
        <v>3501393.4805753352</v>
      </c>
      <c r="Q2">
        <f>SUMIFS('state calcs'!Q62:Q112,'state calcs'!$A$62:$A$112,About!$B$2)</f>
        <v>3550123.2884134529</v>
      </c>
      <c r="R2">
        <f>SUMIFS('state calcs'!R62:R112,'state calcs'!$A$62:$A$112,About!$B$2)</f>
        <v>3598859.0272642896</v>
      </c>
      <c r="S2">
        <f>SUMIFS('state calcs'!S62:S112,'state calcs'!$A$62:$A$112,About!$B$2)</f>
        <v>3647655.9075014996</v>
      </c>
      <c r="T2">
        <f>SUMIFS('state calcs'!T62:T112,'state calcs'!$A$62:$A$112,About!$B$2)</f>
        <v>3696426.2802446634</v>
      </c>
      <c r="U2">
        <f>SUMIFS('state calcs'!U62:U112,'state calcs'!$A$62:$A$112,About!$B$2)</f>
        <v>3745671.4282381884</v>
      </c>
      <c r="V2">
        <f>SUMIFS('state calcs'!V62:V112,'state calcs'!$A$62:$A$112,About!$B$2)</f>
        <v>3797054.5436091465</v>
      </c>
      <c r="W2">
        <f>SUMIFS('state calcs'!W62:W112,'state calcs'!$A$62:$A$112,About!$B$2)</f>
        <v>3848245.4917100524</v>
      </c>
      <c r="X2">
        <f>SUMIFS('state calcs'!X62:X112,'state calcs'!$A$62:$A$112,About!$B$2)</f>
        <v>3899443.6381535674</v>
      </c>
      <c r="Y2">
        <f>SUMIFS('state calcs'!Y62:Y112,'state calcs'!$A$62:$A$112,About!$B$2)</f>
        <v>3950663.6790200206</v>
      </c>
      <c r="Z2">
        <f>SUMIFS('state calcs'!Z62:Z112,'state calcs'!$A$62:$A$112,About!$B$2)</f>
        <v>4001928.9860418169</v>
      </c>
      <c r="AA2">
        <f>SUMIFS('state calcs'!AA62:AA112,'state calcs'!$A$62:$A$112,About!$B$2)</f>
        <v>4053133.908173955</v>
      </c>
      <c r="AB2">
        <f>SUMIFS('state calcs'!AB62:AB112,'state calcs'!$A$62:$A$112,About!$B$2)</f>
        <v>4104444.2608111757</v>
      </c>
      <c r="AC2">
        <f>SUMIFS('state calcs'!AC62:AC112,'state calcs'!$A$62:$A$112,About!$B$2)</f>
        <v>4155663.3587041353</v>
      </c>
      <c r="AD2">
        <f>SUMIFS('state calcs'!AD62:AD112,'state calcs'!$A$62:$A$112,About!$B$2)</f>
        <v>4206755.9299819581</v>
      </c>
      <c r="AE2">
        <f>SUMIFS('state calcs'!AE62:AE112,'state calcs'!$A$62:$A$112,About!$B$2)</f>
        <v>4257798.2960228547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2026-06-12T19:30:24Z</dcterms:modified>
</cp:coreProperties>
</file>