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OliviaAshmoore\Documents\Github Repos\state-data-forecast\outputs\BDbDT\"/>
    </mc:Choice>
  </mc:AlternateContent>
  <xr:revisionPtr revIDLastSave="0" documentId="8_{0065EDE7-BAD7-4999-8848-5FCB102D8879}" xr6:coauthVersionLast="47" xr6:coauthVersionMax="47" xr10:uidLastSave="{00000000-0000-0000-0000-000000000000}"/>
  <bookViews>
    <workbookView xWindow="0" yWindow="135" windowWidth="21600" windowHeight="12645" xr2:uid="{00000000-000D-0000-FFFF-FFFF00000000}"/>
  </bookViews>
  <sheets>
    <sheet name="About" sheetId="1" r:id="rId1"/>
    <sheet name="Geography" sheetId="2" r:id="rId2"/>
    <sheet name="Keys" sheetId="3" r:id="rId3"/>
    <sheet name="NP2023_deaths" sheetId="4" r:id="rId4"/>
    <sheet name="NP2023_pop" sheetId="5" r:id="rId5"/>
    <sheet name="SCE_2024_state_pop" sheetId="6" r:id="rId6"/>
    <sheet name="Census_pop_2020_2025" sheetId="7" r:id="rId7"/>
    <sheet name="Cooper_pop_2030_2050" sheetId="8" r:id="rId8"/>
    <sheet name="BDbDT_calcs" sheetId="9" r:id="rId9"/>
    <sheet name="BDbDT-infant" sheetId="10" r:id="rId10"/>
    <sheet name="BDbDT-other"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35" i="9" l="1"/>
  <c r="AA35" i="9"/>
  <c r="Z35" i="9"/>
  <c r="Y35" i="9"/>
  <c r="X35" i="9"/>
  <c r="W35" i="9"/>
  <c r="V35" i="9"/>
  <c r="U35" i="9"/>
  <c r="T35" i="9"/>
  <c r="S35" i="9"/>
  <c r="R35" i="9"/>
  <c r="Q35" i="9"/>
  <c r="P35" i="9"/>
  <c r="O35" i="9"/>
  <c r="N35" i="9"/>
  <c r="M35" i="9"/>
  <c r="L35" i="9"/>
  <c r="K35" i="9"/>
  <c r="J35" i="9"/>
  <c r="I35" i="9"/>
  <c r="H35" i="9"/>
  <c r="G35" i="9"/>
  <c r="F35" i="9"/>
  <c r="E35" i="9"/>
  <c r="D35" i="9"/>
  <c r="C35" i="9"/>
  <c r="B35" i="9"/>
  <c r="AB34" i="9"/>
  <c r="AA34" i="9"/>
  <c r="Z34" i="9"/>
  <c r="Y34" i="9"/>
  <c r="X34" i="9"/>
  <c r="W34" i="9"/>
  <c r="V34" i="9"/>
  <c r="U34" i="9"/>
  <c r="T34" i="9"/>
  <c r="S34" i="9"/>
  <c r="R34" i="9"/>
  <c r="Q34" i="9"/>
  <c r="P34" i="9"/>
  <c r="O34" i="9"/>
  <c r="N34" i="9"/>
  <c r="M34" i="9"/>
  <c r="L34" i="9"/>
  <c r="K34" i="9"/>
  <c r="J34" i="9"/>
  <c r="I34" i="9"/>
  <c r="H34" i="9"/>
  <c r="G34" i="9"/>
  <c r="F34" i="9"/>
  <c r="E34" i="9"/>
  <c r="D34" i="9"/>
  <c r="C34" i="9"/>
  <c r="B34" i="9"/>
  <c r="AB33" i="9"/>
  <c r="AA33" i="9"/>
  <c r="Z33" i="9"/>
  <c r="Y33" i="9"/>
  <c r="X33" i="9"/>
  <c r="W33" i="9"/>
  <c r="V33" i="9"/>
  <c r="U33" i="9"/>
  <c r="T33" i="9"/>
  <c r="S33" i="9"/>
  <c r="R33" i="9"/>
  <c r="Q33" i="9"/>
  <c r="P33" i="9"/>
  <c r="O33" i="9"/>
  <c r="N33" i="9"/>
  <c r="M33" i="9"/>
  <c r="L33" i="9"/>
  <c r="K33" i="9"/>
  <c r="J33" i="9"/>
  <c r="I33" i="9"/>
  <c r="H33" i="9"/>
  <c r="G33" i="9"/>
  <c r="F33" i="9"/>
  <c r="E33" i="9"/>
  <c r="D33" i="9"/>
  <c r="C33" i="9"/>
  <c r="B33" i="9"/>
  <c r="AB32" i="9"/>
  <c r="AA32" i="9"/>
  <c r="Z32" i="9"/>
  <c r="Y32" i="9"/>
  <c r="X32" i="9"/>
  <c r="W32" i="9"/>
  <c r="V32" i="9"/>
  <c r="U32" i="9"/>
  <c r="T32" i="9"/>
  <c r="S32" i="9"/>
  <c r="R32" i="9"/>
  <c r="Q32" i="9"/>
  <c r="P32" i="9"/>
  <c r="O32" i="9"/>
  <c r="N32" i="9"/>
  <c r="M32" i="9"/>
  <c r="L32" i="9"/>
  <c r="K32" i="9"/>
  <c r="J32" i="9"/>
  <c r="I32" i="9"/>
  <c r="H32" i="9"/>
  <c r="G32" i="9"/>
  <c r="F32" i="9"/>
  <c r="E32" i="9"/>
  <c r="D32" i="9"/>
  <c r="C32" i="9"/>
  <c r="B32" i="9"/>
  <c r="AB31" i="9"/>
  <c r="AA31" i="9"/>
  <c r="Z31" i="9"/>
  <c r="Y31" i="9"/>
  <c r="X31" i="9"/>
  <c r="W31" i="9"/>
  <c r="V31" i="9"/>
  <c r="U31" i="9"/>
  <c r="T31" i="9"/>
  <c r="S31" i="9"/>
  <c r="R31" i="9"/>
  <c r="Q31" i="9"/>
  <c r="P31" i="9"/>
  <c r="O31" i="9"/>
  <c r="N31" i="9"/>
  <c r="M31" i="9"/>
  <c r="L31" i="9"/>
  <c r="K31" i="9"/>
  <c r="J31" i="9"/>
  <c r="I31" i="9"/>
  <c r="H31" i="9"/>
  <c r="G31" i="9"/>
  <c r="F31" i="9"/>
  <c r="E31" i="9"/>
  <c r="D31" i="9"/>
  <c r="C31" i="9"/>
  <c r="B31" i="9"/>
  <c r="AB30" i="9"/>
  <c r="AA30" i="9"/>
  <c r="Z30" i="9"/>
  <c r="Y30" i="9"/>
  <c r="X30" i="9"/>
  <c r="W30" i="9"/>
  <c r="V30" i="9"/>
  <c r="U30" i="9"/>
  <c r="T30" i="9"/>
  <c r="S30" i="9"/>
  <c r="R30" i="9"/>
  <c r="Q30" i="9"/>
  <c r="P30" i="9"/>
  <c r="O30" i="9"/>
  <c r="N30" i="9"/>
  <c r="M30" i="9"/>
  <c r="L30" i="9"/>
  <c r="K30" i="9"/>
  <c r="J30" i="9"/>
  <c r="I30" i="9"/>
  <c r="H30" i="9"/>
  <c r="G30" i="9"/>
  <c r="F30" i="9"/>
  <c r="E30" i="9"/>
  <c r="D30" i="9"/>
  <c r="C30" i="9"/>
  <c r="B30" i="9"/>
  <c r="AB29" i="9"/>
  <c r="AA29" i="9"/>
  <c r="Z29" i="9"/>
  <c r="Y29" i="9"/>
  <c r="X29" i="9"/>
  <c r="W29" i="9"/>
  <c r="V29" i="9"/>
  <c r="U29" i="9"/>
  <c r="T29" i="9"/>
  <c r="S29" i="9"/>
  <c r="R29" i="9"/>
  <c r="Q29" i="9"/>
  <c r="P29" i="9"/>
  <c r="O29" i="9"/>
  <c r="N29" i="9"/>
  <c r="M29" i="9"/>
  <c r="L29" i="9"/>
  <c r="K29" i="9"/>
  <c r="J29" i="9"/>
  <c r="I29" i="9"/>
  <c r="H29" i="9"/>
  <c r="G29" i="9"/>
  <c r="F29" i="9"/>
  <c r="E29" i="9"/>
  <c r="D29" i="9"/>
  <c r="C29" i="9"/>
  <c r="B29" i="9"/>
  <c r="AB28" i="9"/>
  <c r="AA28" i="9"/>
  <c r="Z28" i="9"/>
  <c r="Y28" i="9"/>
  <c r="X28" i="9"/>
  <c r="W28" i="9"/>
  <c r="V28" i="9"/>
  <c r="U28" i="9"/>
  <c r="T28" i="9"/>
  <c r="S28" i="9"/>
  <c r="R28" i="9"/>
  <c r="Q28" i="9"/>
  <c r="P28" i="9"/>
  <c r="O28" i="9"/>
  <c r="N28" i="9"/>
  <c r="M28" i="9"/>
  <c r="L28" i="9"/>
  <c r="K28" i="9"/>
  <c r="J28" i="9"/>
  <c r="I28" i="9"/>
  <c r="H28" i="9"/>
  <c r="G28" i="9"/>
  <c r="F28" i="9"/>
  <c r="E28" i="9"/>
  <c r="D28" i="9"/>
  <c r="C28" i="9"/>
  <c r="B28" i="9"/>
  <c r="AB25" i="9"/>
  <c r="AB45" i="9" s="1"/>
  <c r="AA25" i="9"/>
  <c r="AA45" i="9" s="1"/>
  <c r="Z25" i="9"/>
  <c r="Z45" i="9" s="1"/>
  <c r="Y25" i="9"/>
  <c r="X25" i="9"/>
  <c r="W25" i="9"/>
  <c r="V25" i="9"/>
  <c r="U25" i="9"/>
  <c r="T25" i="9"/>
  <c r="S25" i="9"/>
  <c r="R25" i="9"/>
  <c r="Q25" i="9"/>
  <c r="P25" i="9"/>
  <c r="O25" i="9"/>
  <c r="N25" i="9"/>
  <c r="M25" i="9"/>
  <c r="L25" i="9"/>
  <c r="K25" i="9"/>
  <c r="J25" i="9"/>
  <c r="I25" i="9"/>
  <c r="H25" i="9"/>
  <c r="G25" i="9"/>
  <c r="F25" i="9"/>
  <c r="F45" i="9" s="1"/>
  <c r="E25" i="9"/>
  <c r="D25" i="9"/>
  <c r="D45" i="9" s="1"/>
  <c r="C25" i="9"/>
  <c r="B25" i="9"/>
  <c r="AB24" i="9"/>
  <c r="AA24" i="9"/>
  <c r="Z24" i="9"/>
  <c r="Y24" i="9"/>
  <c r="X24" i="9"/>
  <c r="W24" i="9"/>
  <c r="V24" i="9"/>
  <c r="U24" i="9"/>
  <c r="T24" i="9"/>
  <c r="S24" i="9"/>
  <c r="R24" i="9"/>
  <c r="Q24" i="9"/>
  <c r="P24" i="9"/>
  <c r="O24" i="9"/>
  <c r="N24" i="9"/>
  <c r="M24" i="9"/>
  <c r="L24" i="9"/>
  <c r="K24" i="9"/>
  <c r="J24" i="9"/>
  <c r="J44" i="9" s="1"/>
  <c r="I24" i="9"/>
  <c r="I44" i="9" s="1"/>
  <c r="H24" i="9"/>
  <c r="G24" i="9"/>
  <c r="F24" i="9"/>
  <c r="E24" i="9"/>
  <c r="D24" i="9"/>
  <c r="C24" i="9"/>
  <c r="B24" i="9"/>
  <c r="AB23" i="9"/>
  <c r="AA23" i="9"/>
  <c r="Z23" i="9"/>
  <c r="Y23" i="9"/>
  <c r="X23" i="9"/>
  <c r="W23" i="9"/>
  <c r="V23" i="9"/>
  <c r="U23" i="9"/>
  <c r="T23" i="9"/>
  <c r="S23" i="9"/>
  <c r="R23" i="9"/>
  <c r="Q23" i="9"/>
  <c r="P23" i="9"/>
  <c r="O23" i="9"/>
  <c r="O43" i="9" s="1"/>
  <c r="N23" i="9"/>
  <c r="M23" i="9"/>
  <c r="L23" i="9"/>
  <c r="K23" i="9"/>
  <c r="J23" i="9"/>
  <c r="I23" i="9"/>
  <c r="H23" i="9"/>
  <c r="G23" i="9"/>
  <c r="F23" i="9"/>
  <c r="E23" i="9"/>
  <c r="D23" i="9"/>
  <c r="C23" i="9"/>
  <c r="B23" i="9"/>
  <c r="AB22" i="9"/>
  <c r="AA22" i="9"/>
  <c r="Z22" i="9"/>
  <c r="Y22" i="9"/>
  <c r="X22" i="9"/>
  <c r="W22" i="9"/>
  <c r="V22" i="9"/>
  <c r="U22" i="9"/>
  <c r="T22" i="9"/>
  <c r="T42" i="9" s="1"/>
  <c r="S22" i="9"/>
  <c r="R22" i="9"/>
  <c r="Q22" i="9"/>
  <c r="P22" i="9"/>
  <c r="O22" i="9"/>
  <c r="N22" i="9"/>
  <c r="M22" i="9"/>
  <c r="L22" i="9"/>
  <c r="K22" i="9"/>
  <c r="J22" i="9"/>
  <c r="I22" i="9"/>
  <c r="H22" i="9"/>
  <c r="G22" i="9"/>
  <c r="F22" i="9"/>
  <c r="E22" i="9"/>
  <c r="D22" i="9"/>
  <c r="C22" i="9"/>
  <c r="B22" i="9"/>
  <c r="AB21" i="9"/>
  <c r="AA21" i="9"/>
  <c r="Z21" i="9"/>
  <c r="Y21" i="9"/>
  <c r="Y41" i="9" s="1"/>
  <c r="X21" i="9"/>
  <c r="W21" i="9"/>
  <c r="V21" i="9"/>
  <c r="U21" i="9"/>
  <c r="T21" i="9"/>
  <c r="S21" i="9"/>
  <c r="R21" i="9"/>
  <c r="Q21" i="9"/>
  <c r="P21" i="9"/>
  <c r="O21" i="9"/>
  <c r="N21" i="9"/>
  <c r="M21" i="9"/>
  <c r="L21" i="9"/>
  <c r="K21" i="9"/>
  <c r="J21" i="9"/>
  <c r="I21" i="9"/>
  <c r="H21" i="9"/>
  <c r="G21" i="9"/>
  <c r="F21" i="9"/>
  <c r="E21" i="9"/>
  <c r="D21" i="9"/>
  <c r="C21" i="9"/>
  <c r="C41" i="9" s="1"/>
  <c r="B21" i="9"/>
  <c r="AB20" i="9"/>
  <c r="AA20" i="9"/>
  <c r="Z20" i="9"/>
  <c r="Y20" i="9"/>
  <c r="X20" i="9"/>
  <c r="W20" i="9"/>
  <c r="V20" i="9"/>
  <c r="U20" i="9"/>
  <c r="T20" i="9"/>
  <c r="S20" i="9"/>
  <c r="R20" i="9"/>
  <c r="Q20" i="9"/>
  <c r="P20" i="9"/>
  <c r="O20" i="9"/>
  <c r="N20" i="9"/>
  <c r="M20" i="9"/>
  <c r="L20" i="9"/>
  <c r="K20" i="9"/>
  <c r="J20" i="9"/>
  <c r="I20" i="9"/>
  <c r="H20" i="9"/>
  <c r="G20" i="9"/>
  <c r="F20" i="9"/>
  <c r="E20" i="9"/>
  <c r="D20" i="9"/>
  <c r="C20" i="9"/>
  <c r="B20" i="9"/>
  <c r="AB19" i="9"/>
  <c r="AA19" i="9"/>
  <c r="Z19" i="9"/>
  <c r="Y19" i="9"/>
  <c r="X19" i="9"/>
  <c r="W19" i="9"/>
  <c r="V19" i="9"/>
  <c r="U19" i="9"/>
  <c r="T19" i="9"/>
  <c r="S19" i="9"/>
  <c r="R19" i="9"/>
  <c r="Q19" i="9"/>
  <c r="P19" i="9"/>
  <c r="O19" i="9"/>
  <c r="N19" i="9"/>
  <c r="M19" i="9"/>
  <c r="M39" i="9" s="1"/>
  <c r="L19" i="9"/>
  <c r="K19" i="9"/>
  <c r="J19" i="9"/>
  <c r="I19" i="9"/>
  <c r="H19" i="9"/>
  <c r="G19" i="9"/>
  <c r="F19" i="9"/>
  <c r="E19" i="9"/>
  <c r="D19" i="9"/>
  <c r="C19" i="9"/>
  <c r="B19" i="9"/>
  <c r="AB18" i="9"/>
  <c r="AA18" i="9"/>
  <c r="Z18" i="9"/>
  <c r="Y18" i="9"/>
  <c r="X18" i="9"/>
  <c r="W18" i="9"/>
  <c r="V18" i="9"/>
  <c r="U18" i="9"/>
  <c r="T18" i="9"/>
  <c r="S18" i="9"/>
  <c r="R18" i="9"/>
  <c r="R38" i="9" s="1"/>
  <c r="Q18" i="9"/>
  <c r="P18" i="9"/>
  <c r="O18" i="9"/>
  <c r="N18" i="9"/>
  <c r="M18" i="9"/>
  <c r="L18" i="9"/>
  <c r="K18" i="9"/>
  <c r="J18" i="9"/>
  <c r="I18" i="9"/>
  <c r="H18" i="9"/>
  <c r="G18" i="9"/>
  <c r="F18" i="9"/>
  <c r="E18" i="9"/>
  <c r="D18" i="9"/>
  <c r="C18" i="9"/>
  <c r="B18" i="9"/>
  <c r="AB14" i="9"/>
  <c r="AA14" i="9"/>
  <c r="Z14" i="9"/>
  <c r="Y14" i="9"/>
  <c r="X14" i="9"/>
  <c r="W14" i="9"/>
  <c r="V14" i="9"/>
  <c r="U14" i="9"/>
  <c r="T14" i="9"/>
  <c r="S14" i="9"/>
  <c r="R14" i="9"/>
  <c r="Q14" i="9"/>
  <c r="P14" i="9"/>
  <c r="O14" i="9"/>
  <c r="N14" i="9"/>
  <c r="M14" i="9"/>
  <c r="L14" i="9"/>
  <c r="K14" i="9"/>
  <c r="J14" i="9"/>
  <c r="I14" i="9"/>
  <c r="H14" i="9"/>
  <c r="G14" i="9"/>
  <c r="F14" i="9"/>
  <c r="E14" i="9"/>
  <c r="D14" i="9"/>
  <c r="C14" i="9"/>
  <c r="B14" i="9"/>
  <c r="AB13" i="9"/>
  <c r="AA13" i="9"/>
  <c r="Z13" i="9"/>
  <c r="Y13" i="9"/>
  <c r="X13" i="9"/>
  <c r="W13" i="9"/>
  <c r="V13" i="9"/>
  <c r="U13" i="9"/>
  <c r="T13" i="9"/>
  <c r="S13" i="9"/>
  <c r="R13" i="9"/>
  <c r="Q13" i="9"/>
  <c r="P13" i="9"/>
  <c r="O13" i="9"/>
  <c r="N13" i="9"/>
  <c r="M13" i="9"/>
  <c r="L13" i="9"/>
  <c r="K13" i="9"/>
  <c r="J13" i="9"/>
  <c r="I13" i="9"/>
  <c r="H13" i="9"/>
  <c r="G13" i="9"/>
  <c r="F13" i="9"/>
  <c r="E13" i="9"/>
  <c r="D13" i="9"/>
  <c r="C13" i="9"/>
  <c r="B13" i="9"/>
  <c r="E11" i="9"/>
  <c r="D11" i="9"/>
  <c r="C11" i="9"/>
  <c r="B11" i="9"/>
  <c r="E10" i="9"/>
  <c r="D10" i="9"/>
  <c r="C10" i="9"/>
  <c r="B10" i="9"/>
  <c r="E9" i="9"/>
  <c r="D9" i="9"/>
  <c r="C9" i="9"/>
  <c r="B9" i="9"/>
  <c r="E8" i="9"/>
  <c r="D8" i="9"/>
  <c r="C8" i="9"/>
  <c r="B8" i="9"/>
  <c r="E7" i="9"/>
  <c r="D7" i="9"/>
  <c r="C7" i="9"/>
  <c r="B7" i="9"/>
  <c r="E6" i="9"/>
  <c r="D6" i="9"/>
  <c r="C6" i="9"/>
  <c r="B6" i="9"/>
  <c r="E5" i="9"/>
  <c r="D5" i="9"/>
  <c r="C5" i="9"/>
  <c r="B5" i="9"/>
  <c r="E4" i="9"/>
  <c r="D4" i="9"/>
  <c r="C4" i="9"/>
  <c r="B4" i="9"/>
  <c r="F811" i="4"/>
  <c r="F810" i="4"/>
  <c r="F809" i="4"/>
  <c r="F808" i="4"/>
  <c r="F807" i="4"/>
  <c r="F806" i="4"/>
  <c r="F805" i="4"/>
  <c r="F804" i="4"/>
  <c r="F803" i="4"/>
  <c r="F802" i="4"/>
  <c r="F801" i="4"/>
  <c r="F800" i="4"/>
  <c r="F799" i="4"/>
  <c r="F798" i="4"/>
  <c r="F797" i="4"/>
  <c r="F796" i="4"/>
  <c r="F795" i="4"/>
  <c r="F794" i="4"/>
  <c r="F793" i="4"/>
  <c r="F792" i="4"/>
  <c r="F791" i="4"/>
  <c r="F790" i="4"/>
  <c r="F789" i="4"/>
  <c r="F788" i="4"/>
  <c r="F787" i="4"/>
  <c r="F786" i="4"/>
  <c r="F785" i="4"/>
  <c r="F784" i="4"/>
  <c r="F783" i="4"/>
  <c r="F782" i="4"/>
  <c r="F781" i="4"/>
  <c r="F780" i="4"/>
  <c r="F779" i="4"/>
  <c r="F778" i="4"/>
  <c r="F777" i="4"/>
  <c r="F776" i="4"/>
  <c r="F775" i="4"/>
  <c r="F774" i="4"/>
  <c r="F773" i="4"/>
  <c r="F772" i="4"/>
  <c r="F771" i="4"/>
  <c r="F770" i="4"/>
  <c r="F769" i="4"/>
  <c r="F768" i="4"/>
  <c r="F767" i="4"/>
  <c r="F766" i="4"/>
  <c r="F765" i="4"/>
  <c r="F764" i="4"/>
  <c r="F763" i="4"/>
  <c r="F762" i="4"/>
  <c r="F761" i="4"/>
  <c r="F760" i="4"/>
  <c r="F759" i="4"/>
  <c r="F758" i="4"/>
  <c r="F757" i="4"/>
  <c r="F756" i="4"/>
  <c r="F755" i="4"/>
  <c r="F754" i="4"/>
  <c r="F753" i="4"/>
  <c r="F752" i="4"/>
  <c r="F751" i="4"/>
  <c r="F750" i="4"/>
  <c r="F749" i="4"/>
  <c r="F748" i="4"/>
  <c r="F747" i="4"/>
  <c r="F746" i="4"/>
  <c r="F745" i="4"/>
  <c r="F744" i="4"/>
  <c r="F743" i="4"/>
  <c r="F742" i="4"/>
  <c r="F741" i="4"/>
  <c r="F740" i="4"/>
  <c r="F739" i="4"/>
  <c r="F738" i="4"/>
  <c r="F737" i="4"/>
  <c r="F736" i="4"/>
  <c r="F735" i="4"/>
  <c r="F734" i="4"/>
  <c r="F733" i="4"/>
  <c r="F732" i="4"/>
  <c r="F731" i="4"/>
  <c r="F730" i="4"/>
  <c r="F729" i="4"/>
  <c r="F728" i="4"/>
  <c r="F727" i="4"/>
  <c r="F726" i="4"/>
  <c r="F725" i="4"/>
  <c r="F724" i="4"/>
  <c r="F723" i="4"/>
  <c r="F722" i="4"/>
  <c r="F721" i="4"/>
  <c r="F720" i="4"/>
  <c r="F719" i="4"/>
  <c r="F718" i="4"/>
  <c r="F717" i="4"/>
  <c r="F716" i="4"/>
  <c r="F715" i="4"/>
  <c r="F714" i="4"/>
  <c r="F713" i="4"/>
  <c r="F712" i="4"/>
  <c r="F711" i="4"/>
  <c r="F710" i="4"/>
  <c r="F709" i="4"/>
  <c r="F708" i="4"/>
  <c r="F707" i="4"/>
  <c r="F706" i="4"/>
  <c r="F705" i="4"/>
  <c r="F704" i="4"/>
  <c r="F703" i="4"/>
  <c r="F702" i="4"/>
  <c r="F701" i="4"/>
  <c r="F700" i="4"/>
  <c r="F699" i="4"/>
  <c r="F698" i="4"/>
  <c r="F697" i="4"/>
  <c r="F696" i="4"/>
  <c r="F695" i="4"/>
  <c r="F694" i="4"/>
  <c r="F693" i="4"/>
  <c r="F692" i="4"/>
  <c r="F691" i="4"/>
  <c r="F690" i="4"/>
  <c r="F689" i="4"/>
  <c r="F688" i="4"/>
  <c r="F687" i="4"/>
  <c r="F686" i="4"/>
  <c r="F685" i="4"/>
  <c r="F684" i="4"/>
  <c r="F683" i="4"/>
  <c r="F682" i="4"/>
  <c r="F681" i="4"/>
  <c r="F680" i="4"/>
  <c r="F679" i="4"/>
  <c r="F678" i="4"/>
  <c r="F677" i="4"/>
  <c r="F676" i="4"/>
  <c r="F675" i="4"/>
  <c r="F674" i="4"/>
  <c r="F673" i="4"/>
  <c r="F672" i="4"/>
  <c r="F671" i="4"/>
  <c r="F670" i="4"/>
  <c r="F669" i="4"/>
  <c r="F668" i="4"/>
  <c r="F667" i="4"/>
  <c r="F666" i="4"/>
  <c r="F665" i="4"/>
  <c r="F664" i="4"/>
  <c r="F663" i="4"/>
  <c r="F662" i="4"/>
  <c r="F661" i="4"/>
  <c r="F660" i="4"/>
  <c r="F659" i="4"/>
  <c r="F658" i="4"/>
  <c r="F657" i="4"/>
  <c r="F656" i="4"/>
  <c r="F655" i="4"/>
  <c r="F654" i="4"/>
  <c r="F653" i="4"/>
  <c r="F652" i="4"/>
  <c r="F651" i="4"/>
  <c r="F650" i="4"/>
  <c r="F649" i="4"/>
  <c r="F648" i="4"/>
  <c r="F647" i="4"/>
  <c r="F646" i="4"/>
  <c r="F645" i="4"/>
  <c r="F644" i="4"/>
  <c r="F643" i="4"/>
  <c r="F642" i="4"/>
  <c r="F641" i="4"/>
  <c r="F640" i="4"/>
  <c r="F639" i="4"/>
  <c r="F638" i="4"/>
  <c r="F637" i="4"/>
  <c r="F636" i="4"/>
  <c r="F635" i="4"/>
  <c r="F634" i="4"/>
  <c r="F633" i="4"/>
  <c r="F632" i="4"/>
  <c r="F631" i="4"/>
  <c r="F630" i="4"/>
  <c r="F629" i="4"/>
  <c r="F628" i="4"/>
  <c r="F627" i="4"/>
  <c r="F626" i="4"/>
  <c r="F625" i="4"/>
  <c r="F624" i="4"/>
  <c r="F623" i="4"/>
  <c r="F622" i="4"/>
  <c r="F621" i="4"/>
  <c r="F620" i="4"/>
  <c r="F619" i="4"/>
  <c r="F618" i="4"/>
  <c r="F617" i="4"/>
  <c r="F616" i="4"/>
  <c r="F615" i="4"/>
  <c r="F614" i="4"/>
  <c r="F613" i="4"/>
  <c r="F612" i="4"/>
  <c r="F611" i="4"/>
  <c r="F610" i="4"/>
  <c r="F609" i="4"/>
  <c r="F608" i="4"/>
  <c r="F607" i="4"/>
  <c r="F606" i="4"/>
  <c r="F605" i="4"/>
  <c r="F604" i="4"/>
  <c r="F603" i="4"/>
  <c r="F602" i="4"/>
  <c r="F601" i="4"/>
  <c r="F600" i="4"/>
  <c r="F599" i="4"/>
  <c r="F598" i="4"/>
  <c r="F597" i="4"/>
  <c r="F596" i="4"/>
  <c r="F595" i="4"/>
  <c r="F594" i="4"/>
  <c r="F593" i="4"/>
  <c r="F592" i="4"/>
  <c r="F591" i="4"/>
  <c r="F590" i="4"/>
  <c r="F589" i="4"/>
  <c r="F588" i="4"/>
  <c r="F587" i="4"/>
  <c r="F586" i="4"/>
  <c r="F585" i="4"/>
  <c r="F584" i="4"/>
  <c r="F583" i="4"/>
  <c r="F582" i="4"/>
  <c r="F581" i="4"/>
  <c r="F580" i="4"/>
  <c r="F579" i="4"/>
  <c r="F578" i="4"/>
  <c r="F577" i="4"/>
  <c r="F576" i="4"/>
  <c r="F575" i="4"/>
  <c r="F574" i="4"/>
  <c r="F573" i="4"/>
  <c r="F572" i="4"/>
  <c r="F571" i="4"/>
  <c r="F570" i="4"/>
  <c r="F569" i="4"/>
  <c r="F568" i="4"/>
  <c r="F567" i="4"/>
  <c r="F566" i="4"/>
  <c r="F565" i="4"/>
  <c r="F564" i="4"/>
  <c r="F563" i="4"/>
  <c r="F562" i="4"/>
  <c r="F561" i="4"/>
  <c r="F560" i="4"/>
  <c r="F559" i="4"/>
  <c r="F558" i="4"/>
  <c r="F557" i="4"/>
  <c r="F556" i="4"/>
  <c r="F555" i="4"/>
  <c r="F554" i="4"/>
  <c r="F553" i="4"/>
  <c r="F552" i="4"/>
  <c r="F551" i="4"/>
  <c r="F550" i="4"/>
  <c r="F549" i="4"/>
  <c r="F548" i="4"/>
  <c r="F547" i="4"/>
  <c r="F546" i="4"/>
  <c r="F545" i="4"/>
  <c r="F544" i="4"/>
  <c r="F543" i="4"/>
  <c r="F542" i="4"/>
  <c r="F541" i="4"/>
  <c r="F540" i="4"/>
  <c r="F539" i="4"/>
  <c r="F538" i="4"/>
  <c r="F537" i="4"/>
  <c r="F536" i="4"/>
  <c r="F535" i="4"/>
  <c r="F534" i="4"/>
  <c r="F533" i="4"/>
  <c r="F532" i="4"/>
  <c r="F531" i="4"/>
  <c r="F530" i="4"/>
  <c r="F529" i="4"/>
  <c r="F528" i="4"/>
  <c r="F527" i="4"/>
  <c r="F526" i="4"/>
  <c r="F525" i="4"/>
  <c r="F524" i="4"/>
  <c r="F523" i="4"/>
  <c r="F522" i="4"/>
  <c r="F521" i="4"/>
  <c r="F520" i="4"/>
  <c r="F519" i="4"/>
  <c r="F518" i="4"/>
  <c r="F517" i="4"/>
  <c r="F516" i="4"/>
  <c r="F515" i="4"/>
  <c r="F514" i="4"/>
  <c r="F513" i="4"/>
  <c r="F512" i="4"/>
  <c r="F511" i="4"/>
  <c r="F510" i="4"/>
  <c r="F509" i="4"/>
  <c r="F508" i="4"/>
  <c r="F507" i="4"/>
  <c r="F506" i="4"/>
  <c r="F505" i="4"/>
  <c r="F504" i="4"/>
  <c r="F503" i="4"/>
  <c r="F502" i="4"/>
  <c r="F501" i="4"/>
  <c r="F500" i="4"/>
  <c r="F499" i="4"/>
  <c r="F498" i="4"/>
  <c r="F497" i="4"/>
  <c r="F496" i="4"/>
  <c r="F495" i="4"/>
  <c r="F494" i="4"/>
  <c r="F493" i="4"/>
  <c r="F492" i="4"/>
  <c r="F491" i="4"/>
  <c r="F490" i="4"/>
  <c r="F489" i="4"/>
  <c r="F488" i="4"/>
  <c r="F487" i="4"/>
  <c r="F486" i="4"/>
  <c r="F485" i="4"/>
  <c r="F484" i="4"/>
  <c r="F483" i="4"/>
  <c r="F482" i="4"/>
  <c r="F481" i="4"/>
  <c r="F480" i="4"/>
  <c r="F479" i="4"/>
  <c r="F478" i="4"/>
  <c r="F477" i="4"/>
  <c r="F476" i="4"/>
  <c r="F475" i="4"/>
  <c r="F474" i="4"/>
  <c r="F473" i="4"/>
  <c r="F472" i="4"/>
  <c r="F471" i="4"/>
  <c r="F470" i="4"/>
  <c r="F469" i="4"/>
  <c r="F468" i="4"/>
  <c r="F467" i="4"/>
  <c r="F466" i="4"/>
  <c r="F465" i="4"/>
  <c r="F464" i="4"/>
  <c r="F463" i="4"/>
  <c r="F462" i="4"/>
  <c r="F461" i="4"/>
  <c r="F460" i="4"/>
  <c r="F459" i="4"/>
  <c r="F458" i="4"/>
  <c r="F457" i="4"/>
  <c r="F456" i="4"/>
  <c r="F455" i="4"/>
  <c r="F454" i="4"/>
  <c r="F453" i="4"/>
  <c r="F452" i="4"/>
  <c r="F451" i="4"/>
  <c r="F450" i="4"/>
  <c r="F449" i="4"/>
  <c r="F448" i="4"/>
  <c r="F447" i="4"/>
  <c r="F446" i="4"/>
  <c r="F445" i="4"/>
  <c r="F444" i="4"/>
  <c r="F443" i="4"/>
  <c r="F442" i="4"/>
  <c r="F441" i="4"/>
  <c r="F440" i="4"/>
  <c r="F439" i="4"/>
  <c r="F438" i="4"/>
  <c r="F437" i="4"/>
  <c r="F436" i="4"/>
  <c r="F435" i="4"/>
  <c r="F434" i="4"/>
  <c r="F433" i="4"/>
  <c r="F432" i="4"/>
  <c r="F431" i="4"/>
  <c r="F430" i="4"/>
  <c r="F429" i="4"/>
  <c r="F428" i="4"/>
  <c r="F427" i="4"/>
  <c r="F426" i="4"/>
  <c r="F425" i="4"/>
  <c r="F424" i="4"/>
  <c r="F423" i="4"/>
  <c r="F422" i="4"/>
  <c r="F421" i="4"/>
  <c r="F420" i="4"/>
  <c r="F419" i="4"/>
  <c r="F418" i="4"/>
  <c r="F417" i="4"/>
  <c r="F416" i="4"/>
  <c r="F415" i="4"/>
  <c r="F414" i="4"/>
  <c r="F413" i="4"/>
  <c r="F412" i="4"/>
  <c r="F411" i="4"/>
  <c r="F410" i="4"/>
  <c r="F409" i="4"/>
  <c r="F408" i="4"/>
  <c r="F407" i="4"/>
  <c r="F406" i="4"/>
  <c r="F405" i="4"/>
  <c r="F404" i="4"/>
  <c r="F403" i="4"/>
  <c r="F402" i="4"/>
  <c r="F401" i="4"/>
  <c r="F400" i="4"/>
  <c r="F399" i="4"/>
  <c r="F398" i="4"/>
  <c r="F397" i="4"/>
  <c r="F396" i="4"/>
  <c r="F395" i="4"/>
  <c r="F394" i="4"/>
  <c r="F393" i="4"/>
  <c r="F392" i="4"/>
  <c r="F391" i="4"/>
  <c r="F390" i="4"/>
  <c r="F389" i="4"/>
  <c r="F388" i="4"/>
  <c r="F387" i="4"/>
  <c r="F386" i="4"/>
  <c r="F385" i="4"/>
  <c r="F384" i="4"/>
  <c r="F383" i="4"/>
  <c r="F382" i="4"/>
  <c r="F381" i="4"/>
  <c r="F380" i="4"/>
  <c r="F379" i="4"/>
  <c r="F378" i="4"/>
  <c r="F377" i="4"/>
  <c r="F376" i="4"/>
  <c r="F375" i="4"/>
  <c r="F374" i="4"/>
  <c r="F373" i="4"/>
  <c r="F372" i="4"/>
  <c r="F371" i="4"/>
  <c r="F370" i="4"/>
  <c r="F369" i="4"/>
  <c r="F368" i="4"/>
  <c r="F367" i="4"/>
  <c r="F366" i="4"/>
  <c r="F365" i="4"/>
  <c r="F364" i="4"/>
  <c r="F363" i="4"/>
  <c r="F362" i="4"/>
  <c r="F361" i="4"/>
  <c r="F360" i="4"/>
  <c r="F359" i="4"/>
  <c r="F358" i="4"/>
  <c r="F357" i="4"/>
  <c r="F356" i="4"/>
  <c r="F355" i="4"/>
  <c r="F354" i="4"/>
  <c r="F353" i="4"/>
  <c r="F352" i="4"/>
  <c r="F351" i="4"/>
  <c r="F350" i="4"/>
  <c r="F349" i="4"/>
  <c r="F348" i="4"/>
  <c r="F347" i="4"/>
  <c r="F346" i="4"/>
  <c r="F345" i="4"/>
  <c r="F344" i="4"/>
  <c r="F343" i="4"/>
  <c r="F342" i="4"/>
  <c r="F341" i="4"/>
  <c r="F340" i="4"/>
  <c r="F339" i="4"/>
  <c r="F338" i="4"/>
  <c r="F337" i="4"/>
  <c r="F336" i="4"/>
  <c r="F335" i="4"/>
  <c r="F334" i="4"/>
  <c r="F333" i="4"/>
  <c r="F332" i="4"/>
  <c r="F331" i="4"/>
  <c r="F330" i="4"/>
  <c r="F329" i="4"/>
  <c r="F328" i="4"/>
  <c r="F327" i="4"/>
  <c r="F326" i="4"/>
  <c r="F325" i="4"/>
  <c r="F324" i="4"/>
  <c r="F323" i="4"/>
  <c r="F322" i="4"/>
  <c r="F321" i="4"/>
  <c r="F320" i="4"/>
  <c r="F319" i="4"/>
  <c r="F318" i="4"/>
  <c r="F317" i="4"/>
  <c r="F316" i="4"/>
  <c r="F315" i="4"/>
  <c r="F314" i="4"/>
  <c r="F313" i="4"/>
  <c r="F312" i="4"/>
  <c r="F311" i="4"/>
  <c r="F310" i="4"/>
  <c r="F309" i="4"/>
  <c r="F308" i="4"/>
  <c r="F307" i="4"/>
  <c r="F306" i="4"/>
  <c r="F305" i="4"/>
  <c r="F304" i="4"/>
  <c r="F303" i="4"/>
  <c r="F302" i="4"/>
  <c r="F301" i="4"/>
  <c r="F300" i="4"/>
  <c r="F299" i="4"/>
  <c r="F298" i="4"/>
  <c r="F297" i="4"/>
  <c r="F296" i="4"/>
  <c r="F295" i="4"/>
  <c r="F294" i="4"/>
  <c r="F293" i="4"/>
  <c r="F292" i="4"/>
  <c r="F291" i="4"/>
  <c r="F290" i="4"/>
  <c r="F289" i="4"/>
  <c r="F288" i="4"/>
  <c r="F287" i="4"/>
  <c r="F286" i="4"/>
  <c r="F285" i="4"/>
  <c r="F284" i="4"/>
  <c r="F283" i="4"/>
  <c r="F282" i="4"/>
  <c r="F281" i="4"/>
  <c r="F280" i="4"/>
  <c r="F279" i="4"/>
  <c r="F278" i="4"/>
  <c r="F277" i="4"/>
  <c r="F276" i="4"/>
  <c r="F275" i="4"/>
  <c r="F274" i="4"/>
  <c r="F273" i="4"/>
  <c r="F272" i="4"/>
  <c r="F271" i="4"/>
  <c r="F270" i="4"/>
  <c r="F269" i="4"/>
  <c r="F268" i="4"/>
  <c r="F267" i="4"/>
  <c r="F266" i="4"/>
  <c r="F265" i="4"/>
  <c r="F264" i="4"/>
  <c r="F263" i="4"/>
  <c r="F262" i="4"/>
  <c r="F261" i="4"/>
  <c r="F260" i="4"/>
  <c r="F259" i="4"/>
  <c r="F258" i="4"/>
  <c r="F257" i="4"/>
  <c r="F256" i="4"/>
  <c r="F255" i="4"/>
  <c r="F254" i="4"/>
  <c r="F253" i="4"/>
  <c r="F252" i="4"/>
  <c r="F251" i="4"/>
  <c r="F250" i="4"/>
  <c r="F249" i="4"/>
  <c r="F248" i="4"/>
  <c r="F247" i="4"/>
  <c r="F246" i="4"/>
  <c r="F245" i="4"/>
  <c r="F244" i="4"/>
  <c r="F243" i="4"/>
  <c r="F242" i="4"/>
  <c r="F241" i="4"/>
  <c r="F240" i="4"/>
  <c r="F239" i="4"/>
  <c r="F238" i="4"/>
  <c r="F237" i="4"/>
  <c r="F236" i="4"/>
  <c r="F235" i="4"/>
  <c r="F234" i="4"/>
  <c r="F233" i="4"/>
  <c r="F232" i="4"/>
  <c r="F231" i="4"/>
  <c r="F230" i="4"/>
  <c r="F229" i="4"/>
  <c r="F228" i="4"/>
  <c r="F227" i="4"/>
  <c r="F226" i="4"/>
  <c r="F225" i="4"/>
  <c r="F224" i="4"/>
  <c r="F223" i="4"/>
  <c r="F222" i="4"/>
  <c r="F221" i="4"/>
  <c r="F220" i="4"/>
  <c r="F219" i="4"/>
  <c r="F218" i="4"/>
  <c r="F217" i="4"/>
  <c r="F216" i="4"/>
  <c r="F215" i="4"/>
  <c r="F214" i="4"/>
  <c r="F213" i="4"/>
  <c r="F212" i="4"/>
  <c r="F211" i="4"/>
  <c r="F210" i="4"/>
  <c r="F209" i="4"/>
  <c r="F208" i="4"/>
  <c r="F207" i="4"/>
  <c r="F206" i="4"/>
  <c r="F205" i="4"/>
  <c r="F204" i="4"/>
  <c r="F203" i="4"/>
  <c r="F202" i="4"/>
  <c r="F201" i="4"/>
  <c r="F200" i="4"/>
  <c r="F199" i="4"/>
  <c r="F198" i="4"/>
  <c r="F197" i="4"/>
  <c r="F196" i="4"/>
  <c r="F195" i="4"/>
  <c r="F194" i="4"/>
  <c r="F193" i="4"/>
  <c r="F192" i="4"/>
  <c r="F191" i="4"/>
  <c r="F190" i="4"/>
  <c r="F189" i="4"/>
  <c r="F188" i="4"/>
  <c r="F187" i="4"/>
  <c r="F186" i="4"/>
  <c r="F185" i="4"/>
  <c r="F184" i="4"/>
  <c r="F183" i="4"/>
  <c r="F182" i="4"/>
  <c r="F181" i="4"/>
  <c r="F180" i="4"/>
  <c r="F179" i="4"/>
  <c r="F178" i="4"/>
  <c r="F177" i="4"/>
  <c r="F176" i="4"/>
  <c r="F175" i="4"/>
  <c r="F174" i="4"/>
  <c r="F173" i="4"/>
  <c r="F172" i="4"/>
  <c r="F171" i="4"/>
  <c r="F170" i="4"/>
  <c r="F169" i="4"/>
  <c r="F168" i="4"/>
  <c r="F167" i="4"/>
  <c r="F166" i="4"/>
  <c r="F165" i="4"/>
  <c r="F164" i="4"/>
  <c r="F163" i="4"/>
  <c r="F162" i="4"/>
  <c r="F161" i="4"/>
  <c r="F160" i="4"/>
  <c r="F159" i="4"/>
  <c r="F158" i="4"/>
  <c r="F157" i="4"/>
  <c r="F156" i="4"/>
  <c r="F155" i="4"/>
  <c r="F154" i="4"/>
  <c r="F153" i="4"/>
  <c r="F152" i="4"/>
  <c r="F151" i="4"/>
  <c r="F150" i="4"/>
  <c r="F149" i="4"/>
  <c r="F148" i="4"/>
  <c r="F147" i="4"/>
  <c r="F146" i="4"/>
  <c r="F145" i="4"/>
  <c r="F144" i="4"/>
  <c r="F143" i="4"/>
  <c r="F142" i="4"/>
  <c r="F141" i="4"/>
  <c r="F140" i="4"/>
  <c r="F139" i="4"/>
  <c r="F138" i="4"/>
  <c r="F137" i="4"/>
  <c r="F136" i="4"/>
  <c r="F135" i="4"/>
  <c r="F134" i="4"/>
  <c r="F133" i="4"/>
  <c r="F132" i="4"/>
  <c r="F131" i="4"/>
  <c r="F130" i="4"/>
  <c r="F129" i="4"/>
  <c r="F128" i="4"/>
  <c r="F127" i="4"/>
  <c r="F126" i="4"/>
  <c r="F125" i="4"/>
  <c r="F124" i="4"/>
  <c r="F123" i="4"/>
  <c r="F122" i="4"/>
  <c r="F121" i="4"/>
  <c r="F120" i="4"/>
  <c r="F119" i="4"/>
  <c r="F118" i="4"/>
  <c r="F117" i="4"/>
  <c r="F116" i="4"/>
  <c r="F115" i="4"/>
  <c r="F114" i="4"/>
  <c r="F113" i="4"/>
  <c r="F112" i="4"/>
  <c r="F111" i="4"/>
  <c r="F110" i="4"/>
  <c r="F109" i="4"/>
  <c r="F108" i="4"/>
  <c r="F107" i="4"/>
  <c r="F106" i="4"/>
  <c r="F105" i="4"/>
  <c r="F104" i="4"/>
  <c r="F103" i="4"/>
  <c r="F102" i="4"/>
  <c r="F101" i="4"/>
  <c r="F100" i="4"/>
  <c r="F99" i="4"/>
  <c r="F98" i="4"/>
  <c r="F97" i="4"/>
  <c r="F96" i="4"/>
  <c r="F95" i="4"/>
  <c r="F94" i="4"/>
  <c r="F93" i="4"/>
  <c r="F92" i="4"/>
  <c r="F91" i="4"/>
  <c r="F90" i="4"/>
  <c r="F89" i="4"/>
  <c r="F88" i="4"/>
  <c r="F87" i="4"/>
  <c r="F86" i="4"/>
  <c r="F85" i="4"/>
  <c r="F84" i="4"/>
  <c r="F83" i="4"/>
  <c r="F82" i="4"/>
  <c r="F81" i="4"/>
  <c r="F80" i="4"/>
  <c r="F79" i="4"/>
  <c r="F78" i="4"/>
  <c r="F77" i="4"/>
  <c r="F76" i="4"/>
  <c r="F75" i="4"/>
  <c r="F74" i="4"/>
  <c r="F73" i="4"/>
  <c r="F72" i="4"/>
  <c r="F71" i="4"/>
  <c r="F70" i="4"/>
  <c r="F69" i="4"/>
  <c r="F68" i="4"/>
  <c r="F67" i="4"/>
  <c r="F66" i="4"/>
  <c r="F65" i="4"/>
  <c r="F64" i="4"/>
  <c r="F63" i="4"/>
  <c r="F62" i="4"/>
  <c r="F61" i="4"/>
  <c r="F60" i="4"/>
  <c r="F59" i="4"/>
  <c r="F58" i="4"/>
  <c r="F57" i="4"/>
  <c r="F56" i="4"/>
  <c r="F55" i="4"/>
  <c r="F54" i="4"/>
  <c r="F53" i="4"/>
  <c r="F52" i="4"/>
  <c r="F51" i="4"/>
  <c r="F50" i="4"/>
  <c r="F49" i="4"/>
  <c r="F48" i="4"/>
  <c r="F47" i="4"/>
  <c r="F46" i="4"/>
  <c r="F45" i="4"/>
  <c r="F44" i="4"/>
  <c r="F43" i="4"/>
  <c r="F42" i="4"/>
  <c r="F41" i="4"/>
  <c r="F40" i="4"/>
  <c r="F39" i="4"/>
  <c r="F38" i="4"/>
  <c r="F37" i="4"/>
  <c r="F36" i="4"/>
  <c r="F35" i="4"/>
  <c r="F34" i="4"/>
  <c r="F33" i="4"/>
  <c r="F32" i="4"/>
  <c r="F31" i="4"/>
  <c r="F30" i="4"/>
  <c r="F29" i="4"/>
  <c r="F28" i="4"/>
  <c r="F27" i="4"/>
  <c r="F26" i="4"/>
  <c r="F25" i="4"/>
  <c r="F24" i="4"/>
  <c r="F23" i="4"/>
  <c r="F22" i="4"/>
  <c r="F21" i="4"/>
  <c r="F20" i="4"/>
  <c r="F19" i="4"/>
  <c r="F18" i="4"/>
  <c r="F17" i="4"/>
  <c r="F16" i="4"/>
  <c r="F15" i="4"/>
  <c r="F14" i="4"/>
  <c r="F13" i="4"/>
  <c r="F12" i="4"/>
  <c r="F11" i="4"/>
  <c r="F10" i="4"/>
  <c r="F9" i="4"/>
  <c r="F8" i="4"/>
  <c r="F7" i="4"/>
  <c r="F6" i="4"/>
  <c r="F5" i="4"/>
  <c r="F4" i="4"/>
  <c r="F3" i="4"/>
  <c r="F2" i="4"/>
  <c r="B2" i="1"/>
  <c r="P43" i="9" l="1"/>
  <c r="I40" i="9"/>
  <c r="U42" i="9"/>
  <c r="S38" i="9"/>
  <c r="D41" i="9"/>
  <c r="N39" i="9"/>
  <c r="Z41" i="9"/>
  <c r="L39" i="9"/>
  <c r="G40" i="9"/>
  <c r="X41" i="9"/>
  <c r="Q38" i="9"/>
  <c r="B41" i="9"/>
  <c r="S42" i="9"/>
  <c r="N43" i="9"/>
  <c r="E45" i="9"/>
  <c r="H40" i="9"/>
  <c r="C45" i="9"/>
  <c r="Y45" i="9"/>
  <c r="M15" i="9"/>
  <c r="K45" i="9"/>
  <c r="P44" i="9"/>
  <c r="G15" i="9"/>
  <c r="I42" i="9"/>
  <c r="D43" i="9"/>
  <c r="Z43" i="9"/>
  <c r="U44" i="9"/>
  <c r="P45" i="9"/>
  <c r="M38" i="9"/>
  <c r="C40" i="9"/>
  <c r="J43" i="9"/>
  <c r="AA44" i="9"/>
  <c r="V45" i="9"/>
  <c r="W45" i="9"/>
  <c r="U43" i="9"/>
  <c r="L38" i="9"/>
  <c r="G39" i="9"/>
  <c r="B40" i="9"/>
  <c r="X40" i="9"/>
  <c r="S41" i="9"/>
  <c r="N42" i="9"/>
  <c r="I43" i="9"/>
  <c r="D44" i="9"/>
  <c r="Z44" i="9"/>
  <c r="U45" i="9"/>
  <c r="H39" i="9"/>
  <c r="Y40" i="9"/>
  <c r="T41" i="9"/>
  <c r="O42" i="9"/>
  <c r="E44" i="9"/>
  <c r="O38" i="9"/>
  <c r="J39" i="9"/>
  <c r="E40" i="9"/>
  <c r="AA40" i="9"/>
  <c r="V41" i="9"/>
  <c r="Q42" i="9"/>
  <c r="L43" i="9"/>
  <c r="G44" i="9"/>
  <c r="B45" i="9"/>
  <c r="X45" i="9"/>
  <c r="AA41" i="9"/>
  <c r="V42" i="9"/>
  <c r="Q43" i="9"/>
  <c r="L44" i="9"/>
  <c r="G45" i="9"/>
  <c r="J40" i="9"/>
  <c r="E41" i="9"/>
  <c r="T38" i="9"/>
  <c r="C38" i="9"/>
  <c r="Y38" i="9"/>
  <c r="T39" i="9"/>
  <c r="O40" i="9"/>
  <c r="J41" i="9"/>
  <c r="E42" i="9"/>
  <c r="AA42" i="9"/>
  <c r="V43" i="9"/>
  <c r="Q44" i="9"/>
  <c r="L45" i="9"/>
  <c r="D38" i="9"/>
  <c r="Z38" i="9"/>
  <c r="U39" i="9"/>
  <c r="P40" i="9"/>
  <c r="K41" i="9"/>
  <c r="F42" i="9"/>
  <c r="AB42" i="9"/>
  <c r="W43" i="9"/>
  <c r="R44" i="9"/>
  <c r="M45" i="9"/>
  <c r="E38" i="9"/>
  <c r="AA38" i="9"/>
  <c r="V39" i="9"/>
  <c r="Q40" i="9"/>
  <c r="L41" i="9"/>
  <c r="G42" i="9"/>
  <c r="B43" i="9"/>
  <c r="X43" i="9"/>
  <c r="S44" i="9"/>
  <c r="N45" i="9"/>
  <c r="T44" i="9"/>
  <c r="O45" i="9"/>
  <c r="U15" i="9"/>
  <c r="K38" i="9"/>
  <c r="F39" i="9"/>
  <c r="AB39" i="9"/>
  <c r="W40" i="9"/>
  <c r="R41" i="9"/>
  <c r="M42" i="9"/>
  <c r="H43" i="9"/>
  <c r="C44" i="9"/>
  <c r="Y44" i="9"/>
  <c r="T45" i="9"/>
  <c r="X38" i="9"/>
  <c r="N40" i="9"/>
  <c r="I41" i="9"/>
  <c r="Z42" i="9"/>
  <c r="O39" i="9"/>
  <c r="S39" i="9"/>
  <c r="N38" i="9"/>
  <c r="I39" i="9"/>
  <c r="D40" i="9"/>
  <c r="Z40" i="9"/>
  <c r="U41" i="9"/>
  <c r="P42" i="9"/>
  <c r="K43" i="9"/>
  <c r="F44" i="9"/>
  <c r="AB44" i="9"/>
  <c r="B38" i="9"/>
  <c r="D42" i="9"/>
  <c r="Y15" i="9"/>
  <c r="V15" i="9"/>
  <c r="W15" i="9"/>
  <c r="C15" i="9"/>
  <c r="D15" i="9"/>
  <c r="Z15" i="9"/>
  <c r="H44" i="9"/>
  <c r="K40" i="9"/>
  <c r="AB41" i="9"/>
  <c r="W42" i="9"/>
  <c r="R43" i="9"/>
  <c r="M44" i="9"/>
  <c r="H45" i="9"/>
  <c r="K44" i="9"/>
  <c r="N44" i="9"/>
  <c r="I45" i="9"/>
  <c r="I15" i="9"/>
  <c r="U38" i="9"/>
  <c r="P39" i="9"/>
  <c r="F41" i="9"/>
  <c r="W38" i="9"/>
  <c r="R39" i="9"/>
  <c r="M40" i="9"/>
  <c r="H41" i="9"/>
  <c r="C42" i="9"/>
  <c r="Y42" i="9"/>
  <c r="T43" i="9"/>
  <c r="O44" i="9"/>
  <c r="J45" i="9"/>
  <c r="Q15" i="9"/>
  <c r="R15" i="9"/>
  <c r="S15" i="9"/>
  <c r="T15" i="9"/>
  <c r="X15" i="9"/>
  <c r="F38" i="9"/>
  <c r="AB38" i="9"/>
  <c r="W39" i="9"/>
  <c r="R40" i="9"/>
  <c r="M41" i="9"/>
  <c r="H42" i="9"/>
  <c r="C43" i="9"/>
  <c r="Y43" i="9"/>
  <c r="G38" i="9"/>
  <c r="B39" i="9"/>
  <c r="X39" i="9"/>
  <c r="S40" i="9"/>
  <c r="N41" i="9"/>
  <c r="B15" i="9"/>
  <c r="P38" i="9"/>
  <c r="K39" i="9"/>
  <c r="F40" i="9"/>
  <c r="AB40" i="9"/>
  <c r="W41" i="9"/>
  <c r="R42" i="9"/>
  <c r="M43" i="9"/>
  <c r="H15" i="9"/>
  <c r="J15" i="9"/>
  <c r="K15" i="9"/>
  <c r="L15" i="9"/>
  <c r="V38" i="9"/>
  <c r="Q39" i="9"/>
  <c r="L40" i="9"/>
  <c r="G41" i="9"/>
  <c r="B42" i="9"/>
  <c r="X42" i="9"/>
  <c r="S43" i="9"/>
  <c r="F4" i="9"/>
  <c r="E15" i="9"/>
  <c r="AA15" i="9"/>
  <c r="F7" i="9"/>
  <c r="F15" i="9"/>
  <c r="AB15" i="9"/>
  <c r="F6" i="9"/>
  <c r="F10" i="9"/>
  <c r="F11" i="9"/>
  <c r="J38" i="9"/>
  <c r="E39" i="9"/>
  <c r="AA39" i="9"/>
  <c r="V40" i="9"/>
  <c r="Q41" i="9"/>
  <c r="L42" i="9"/>
  <c r="G43" i="9"/>
  <c r="B44" i="9"/>
  <c r="X44" i="9"/>
  <c r="S45" i="9"/>
  <c r="J42" i="9"/>
  <c r="Q45" i="9"/>
  <c r="H38" i="9"/>
  <c r="Y39" i="9"/>
  <c r="T40" i="9"/>
  <c r="E43" i="9"/>
  <c r="V44" i="9"/>
  <c r="Z39" i="9"/>
  <c r="K42" i="9"/>
  <c r="R45" i="9"/>
  <c r="I38" i="9"/>
  <c r="U40" i="9"/>
  <c r="F43" i="9"/>
  <c r="W44" i="9"/>
  <c r="C39" i="9"/>
  <c r="O41" i="9"/>
  <c r="AA43" i="9"/>
  <c r="D39" i="9"/>
  <c r="P41" i="9"/>
  <c r="AB43" i="9"/>
  <c r="F8" i="9"/>
  <c r="F9" i="9"/>
  <c r="N15" i="9"/>
  <c r="O15" i="9"/>
  <c r="P15" i="9"/>
  <c r="F5" i="9"/>
  <c r="G49" i="9" l="1"/>
  <c r="G3" i="10" s="1"/>
  <c r="AA61" i="9"/>
  <c r="AA5" i="11" s="1"/>
  <c r="G53" i="9"/>
  <c r="G7" i="10" s="1"/>
  <c r="S51" i="9"/>
  <c r="S5" i="10" s="1"/>
  <c r="D55" i="9"/>
  <c r="D9" i="10" s="1"/>
  <c r="C50" i="9"/>
  <c r="C4" i="10" s="1"/>
  <c r="G51" i="9"/>
  <c r="G5" i="10" s="1"/>
  <c r="Y55" i="9"/>
  <c r="Y9" i="10" s="1"/>
  <c r="L48" i="9"/>
  <c r="L2" i="10" s="1"/>
  <c r="W58" i="9"/>
  <c r="W2" i="11" s="1"/>
  <c r="I53" i="9"/>
  <c r="I7" i="10" s="1"/>
  <c r="L53" i="9"/>
  <c r="L7" i="10" s="1"/>
  <c r="M63" i="9"/>
  <c r="M7" i="11" s="1"/>
  <c r="T58" i="9"/>
  <c r="T2" i="11" s="1"/>
  <c r="T59" i="9"/>
  <c r="T3" i="11" s="1"/>
  <c r="S59" i="9"/>
  <c r="S3" i="11" s="1"/>
  <c r="T63" i="9"/>
  <c r="T7" i="11" s="1"/>
  <c r="K48" i="9"/>
  <c r="K2" i="10" s="1"/>
  <c r="Y58" i="9"/>
  <c r="Y2" i="11" s="1"/>
  <c r="AA48" i="9"/>
  <c r="AA2" i="10" s="1"/>
  <c r="P58" i="9"/>
  <c r="P2" i="11" s="1"/>
  <c r="I54" i="9"/>
  <c r="I8" i="10" s="1"/>
  <c r="O55" i="9"/>
  <c r="O9" i="10" s="1"/>
  <c r="Z64" i="9"/>
  <c r="Z8" i="11" s="1"/>
  <c r="AB61" i="9"/>
  <c r="AB5" i="11" s="1"/>
  <c r="V48" i="9"/>
  <c r="V2" i="10" s="1"/>
  <c r="F55" i="9"/>
  <c r="F9" i="10" s="1"/>
  <c r="G61" i="9"/>
  <c r="G5" i="11" s="1"/>
  <c r="B58" i="9"/>
  <c r="AA62" i="9"/>
  <c r="AA6" i="11" s="1"/>
  <c r="O48" i="9"/>
  <c r="O2" i="10" s="1"/>
  <c r="M50" i="9"/>
  <c r="M4" i="10" s="1"/>
  <c r="M60" i="9"/>
  <c r="M4" i="11" s="1"/>
  <c r="I60" i="9"/>
  <c r="I4" i="11" s="1"/>
  <c r="B64" i="9"/>
  <c r="B8" i="11" s="1"/>
  <c r="W60" i="9"/>
  <c r="W4" i="11" s="1"/>
  <c r="U50" i="9"/>
  <c r="U4" i="10" s="1"/>
  <c r="B63" i="9"/>
  <c r="B7" i="11" s="1"/>
  <c r="B60" i="9"/>
  <c r="B4" i="11" s="1"/>
  <c r="R54" i="9"/>
  <c r="R8" i="10" s="1"/>
  <c r="I64" i="9"/>
  <c r="I8" i="11" s="1"/>
  <c r="S63" i="9"/>
  <c r="S7" i="11" s="1"/>
  <c r="V50" i="9"/>
  <c r="V4" i="10" s="1"/>
  <c r="T54" i="9"/>
  <c r="T8" i="10" s="1"/>
  <c r="G60" i="9"/>
  <c r="G4" i="11" s="1"/>
  <c r="Q48" i="9"/>
  <c r="Q2" i="10" s="1"/>
  <c r="R60" i="9"/>
  <c r="R4" i="11" s="1"/>
  <c r="S64" i="9"/>
  <c r="S8" i="11" s="1"/>
  <c r="Z58" i="9"/>
  <c r="Z2" i="11" s="1"/>
  <c r="R50" i="9"/>
  <c r="R4" i="10" s="1"/>
  <c r="T50" i="9"/>
  <c r="T4" i="10" s="1"/>
  <c r="M61" i="9"/>
  <c r="M5" i="11" s="1"/>
  <c r="U63" i="9"/>
  <c r="U7" i="11" s="1"/>
  <c r="T48" i="9"/>
  <c r="T2" i="10" s="1"/>
  <c r="V58" i="9"/>
  <c r="V2" i="11" s="1"/>
  <c r="Q55" i="9"/>
  <c r="Q9" i="10" s="1"/>
  <c r="W61" i="9"/>
  <c r="W5" i="11" s="1"/>
  <c r="K63" i="9"/>
  <c r="K7" i="11" s="1"/>
  <c r="U51" i="9"/>
  <c r="U5" i="10" s="1"/>
  <c r="Y54" i="9"/>
  <c r="Y8" i="10" s="1"/>
  <c r="L58" i="9"/>
  <c r="L2" i="11" s="1"/>
  <c r="H50" i="9"/>
  <c r="H4" i="10" s="1"/>
  <c r="Y64" i="9"/>
  <c r="Y8" i="11" s="1"/>
  <c r="X60" i="9"/>
  <c r="X4" i="11" s="1"/>
  <c r="K50" i="9"/>
  <c r="K4" i="10" s="1"/>
  <c r="V60" i="9"/>
  <c r="V4" i="11" s="1"/>
  <c r="Q60" i="9"/>
  <c r="Q4" i="11" s="1"/>
  <c r="L50" i="9"/>
  <c r="L4" i="10" s="1"/>
  <c r="E51" i="9"/>
  <c r="E5" i="10" s="1"/>
  <c r="W53" i="9"/>
  <c r="W7" i="10" s="1"/>
  <c r="R58" i="9"/>
  <c r="R2" i="11" s="1"/>
  <c r="R48" i="9"/>
  <c r="Y50" i="9"/>
  <c r="Y4" i="10" s="1"/>
  <c r="Y53" i="9"/>
  <c r="Y7" i="10" s="1"/>
  <c r="G58" i="9"/>
  <c r="G2" i="11" s="1"/>
  <c r="J50" i="9"/>
  <c r="J4" i="10" s="1"/>
  <c r="AA58" i="9"/>
  <c r="AA2" i="11" s="1"/>
  <c r="K53" i="9"/>
  <c r="K7" i="10" s="1"/>
  <c r="Z50" i="9"/>
  <c r="Z4" i="10" s="1"/>
  <c r="L54" i="9"/>
  <c r="L8" i="10" s="1"/>
  <c r="B50" i="9"/>
  <c r="B4" i="10" s="1"/>
  <c r="M54" i="9"/>
  <c r="K64" i="9"/>
  <c r="K8" i="11" s="1"/>
  <c r="D53" i="9"/>
  <c r="D7" i="10" s="1"/>
  <c r="G64" i="9"/>
  <c r="G8" i="11" s="1"/>
  <c r="T60" i="9"/>
  <c r="T4" i="11" s="1"/>
  <c r="V63" i="9"/>
  <c r="V7" i="11" s="1"/>
  <c r="O60" i="9"/>
  <c r="O4" i="11" s="1"/>
  <c r="Y63" i="9"/>
  <c r="Y7" i="11" s="1"/>
  <c r="Y61" i="9"/>
  <c r="Y5" i="11" s="1"/>
  <c r="J63" i="9"/>
  <c r="J7" i="11" s="1"/>
  <c r="J60" i="9"/>
  <c r="J4" i="11" s="1"/>
  <c r="C58" i="9"/>
  <c r="C2" i="11" s="1"/>
  <c r="O51" i="9"/>
  <c r="O5" i="10" s="1"/>
  <c r="C61" i="9"/>
  <c r="C5" i="11" s="1"/>
  <c r="S61" i="9"/>
  <c r="S5" i="11" s="1"/>
  <c r="I63" i="9"/>
  <c r="I7" i="11" s="1"/>
  <c r="G50" i="9"/>
  <c r="G4" i="10" s="1"/>
  <c r="D60" i="9"/>
  <c r="D4" i="11" s="1"/>
  <c r="N48" i="9"/>
  <c r="N2" i="10" s="1"/>
  <c r="L60" i="9"/>
  <c r="L4" i="11" s="1"/>
  <c r="I51" i="9"/>
  <c r="I5" i="10" s="1"/>
  <c r="U48" i="9"/>
  <c r="U2" i="10" s="1"/>
  <c r="X48" i="9"/>
  <c r="X2" i="10" s="1"/>
  <c r="T61" i="9"/>
  <c r="T5" i="11" s="1"/>
  <c r="B48" i="9"/>
  <c r="B2" i="10" s="1"/>
  <c r="W64" i="9"/>
  <c r="W8" i="11" s="1"/>
  <c r="J54" i="9"/>
  <c r="J8" i="10" s="1"/>
  <c r="C53" i="9"/>
  <c r="C7" i="10" s="1"/>
  <c r="Z60" i="9"/>
  <c r="Z4" i="11" s="1"/>
  <c r="T53" i="9"/>
  <c r="T7" i="10" s="1"/>
  <c r="C49" i="9"/>
  <c r="C3" i="10" s="1"/>
  <c r="C54" i="9"/>
  <c r="C8" i="10" s="1"/>
  <c r="C60" i="9"/>
  <c r="C4" i="11" s="1"/>
  <c r="Y49" i="9"/>
  <c r="Y3" i="10" s="1"/>
  <c r="L63" i="9"/>
  <c r="L7" i="11" s="1"/>
  <c r="D50" i="9"/>
  <c r="D4" i="10" s="1"/>
  <c r="X54" i="9"/>
  <c r="X8" i="10" s="1"/>
  <c r="AB60" i="9"/>
  <c r="AB4" i="11" s="1"/>
  <c r="N50" i="9"/>
  <c r="N4" i="10" s="1"/>
  <c r="F58" i="9"/>
  <c r="F2" i="11" s="1"/>
  <c r="F60" i="9"/>
  <c r="F4" i="11" s="1"/>
  <c r="H62" i="9"/>
  <c r="H6" i="11" s="1"/>
  <c r="AA60" i="9"/>
  <c r="V61" i="9"/>
  <c r="V5" i="11" s="1"/>
  <c r="H58" i="9"/>
  <c r="H2" i="11" s="1"/>
  <c r="F64" i="9"/>
  <c r="F8" i="11" s="1"/>
  <c r="H60" i="9"/>
  <c r="H4" i="11" s="1"/>
  <c r="Z51" i="9"/>
  <c r="Z5" i="10" s="1"/>
  <c r="V51" i="9"/>
  <c r="V5" i="10" s="1"/>
  <c r="AB53" i="9"/>
  <c r="AB7" i="10" s="1"/>
  <c r="X61" i="9"/>
  <c r="X5" i="11" s="1"/>
  <c r="H64" i="9"/>
  <c r="H8" i="11" s="1"/>
  <c r="K51" i="9"/>
  <c r="K5" i="10" s="1"/>
  <c r="H48" i="9"/>
  <c r="H2" i="10" s="1"/>
  <c r="R51" i="9"/>
  <c r="R5" i="10" s="1"/>
  <c r="H51" i="9"/>
  <c r="H5" i="10" s="1"/>
  <c r="D58" i="9"/>
  <c r="D2" i="11" s="1"/>
  <c r="J51" i="9"/>
  <c r="J5" i="10" s="1"/>
  <c r="F53" i="9"/>
  <c r="F7" i="10" s="1"/>
  <c r="E50" i="9"/>
  <c r="E4" i="10" s="1"/>
  <c r="G48" i="9"/>
  <c r="G2" i="10" s="1"/>
  <c r="O50" i="9"/>
  <c r="O4" i="10" s="1"/>
  <c r="Z49" i="9"/>
  <c r="Z3" i="10" s="1"/>
  <c r="C64" i="9"/>
  <c r="C8" i="11" s="1"/>
  <c r="K61" i="9"/>
  <c r="K5" i="11" s="1"/>
  <c r="Q64" i="9"/>
  <c r="S48" i="9"/>
  <c r="S2" i="10" s="1"/>
  <c r="T49" i="9"/>
  <c r="T3" i="10" s="1"/>
  <c r="S58" i="9"/>
  <c r="X63" i="9"/>
  <c r="X7" i="11" s="1"/>
  <c r="U61" i="9"/>
  <c r="U5" i="11" s="1"/>
  <c r="R61" i="9"/>
  <c r="R5" i="11" s="1"/>
  <c r="AB58" i="9"/>
  <c r="AB2" i="11" s="1"/>
  <c r="Y51" i="9"/>
  <c r="Y5" i="10" s="1"/>
  <c r="AB59" i="9"/>
  <c r="AB3" i="11" s="1"/>
  <c r="M48" i="9"/>
  <c r="M2" i="10" s="1"/>
  <c r="AA52" i="9"/>
  <c r="AA6" i="10" s="1"/>
  <c r="V54" i="9"/>
  <c r="V8" i="10" s="1"/>
  <c r="J58" i="9"/>
  <c r="J2" i="11" s="1"/>
  <c r="T51" i="9"/>
  <c r="T5" i="10" s="1"/>
  <c r="K58" i="9"/>
  <c r="I48" i="9"/>
  <c r="I2" i="10" s="1"/>
  <c r="C51" i="9"/>
  <c r="C5" i="10" s="1"/>
  <c r="Z48" i="9"/>
  <c r="Z2" i="10" s="1"/>
  <c r="N60" i="9"/>
  <c r="N4" i="11" s="1"/>
  <c r="D48" i="9"/>
  <c r="D2" i="10" s="1"/>
  <c r="Q58" i="9"/>
  <c r="Q2" i="11" s="1"/>
  <c r="I58" i="9"/>
  <c r="I2" i="11" s="1"/>
  <c r="U54" i="9"/>
  <c r="U8" i="10" s="1"/>
  <c r="X58" i="9"/>
  <c r="X2" i="11" s="1"/>
  <c r="C48" i="9"/>
  <c r="C2" i="10" s="1"/>
  <c r="U58" i="9"/>
  <c r="U2" i="11" s="1"/>
  <c r="M51" i="9"/>
  <c r="M5" i="10" s="1"/>
  <c r="I61" i="9"/>
  <c r="I5" i="11" s="1"/>
  <c r="Q51" i="9"/>
  <c r="Q5" i="10" s="1"/>
  <c r="W48" i="9"/>
  <c r="W2" i="10" s="1"/>
  <c r="AB63" i="9"/>
  <c r="AB7" i="11" s="1"/>
  <c r="J48" i="9"/>
  <c r="J2" i="10" s="1"/>
  <c r="D61" i="9"/>
  <c r="D5" i="11" s="1"/>
  <c r="R64" i="9"/>
  <c r="R8" i="11" s="1"/>
  <c r="F49" i="9"/>
  <c r="F3" i="10" s="1"/>
  <c r="U65" i="9"/>
  <c r="U9" i="11" s="1"/>
  <c r="Y48" i="9"/>
  <c r="M58" i="9"/>
  <c r="M2" i="11" s="1"/>
  <c r="J61" i="9"/>
  <c r="J5" i="11" s="1"/>
  <c r="L51" i="9"/>
  <c r="L5" i="10" s="1"/>
  <c r="K54" i="9"/>
  <c r="AA63" i="9"/>
  <c r="AA7" i="11" s="1"/>
  <c r="F61" i="9"/>
  <c r="F5" i="11" s="1"/>
  <c r="X65" i="9"/>
  <c r="X9" i="11" s="1"/>
  <c r="G55" i="9"/>
  <c r="G9" i="10" s="1"/>
  <c r="V59" i="9"/>
  <c r="V3" i="11" s="1"/>
  <c r="G65" i="9"/>
  <c r="G9" i="11" s="1"/>
  <c r="Z65" i="9"/>
  <c r="Z9" i="11" s="1"/>
  <c r="D59" i="9"/>
  <c r="D3" i="11" s="1"/>
  <c r="E61" i="9"/>
  <c r="E5" i="11" s="1"/>
  <c r="W55" i="9"/>
  <c r="W9" i="10" s="1"/>
  <c r="R65" i="9"/>
  <c r="R9" i="11" s="1"/>
  <c r="T52" i="9"/>
  <c r="T6" i="10" s="1"/>
  <c r="R49" i="9"/>
  <c r="R3" i="10" s="1"/>
  <c r="O65" i="9"/>
  <c r="O9" i="11" s="1"/>
  <c r="V55" i="9"/>
  <c r="V9" i="10" s="1"/>
  <c r="K55" i="9"/>
  <c r="K9" i="10" s="1"/>
  <c r="D49" i="9"/>
  <c r="D3" i="10" s="1"/>
  <c r="I49" i="9"/>
  <c r="I3" i="10" s="1"/>
  <c r="F50" i="9"/>
  <c r="H54" i="9"/>
  <c r="Z55" i="9"/>
  <c r="Z9" i="10" s="1"/>
  <c r="M65" i="9"/>
  <c r="M9" i="11" s="1"/>
  <c r="L59" i="9"/>
  <c r="L3" i="11" s="1"/>
  <c r="D64" i="9"/>
  <c r="D8" i="11" s="1"/>
  <c r="V65" i="9"/>
  <c r="V9" i="11" s="1"/>
  <c r="S54" i="9"/>
  <c r="S8" i="10" s="1"/>
  <c r="AA64" i="9"/>
  <c r="AA8" i="11" s="1"/>
  <c r="AB65" i="9"/>
  <c r="AB9" i="11" s="1"/>
  <c r="H55" i="9"/>
  <c r="H9" i="10" s="1"/>
  <c r="N52" i="9"/>
  <c r="N6" i="10" s="1"/>
  <c r="U55" i="9"/>
  <c r="U9" i="10" s="1"/>
  <c r="X55" i="9"/>
  <c r="S65" i="9"/>
  <c r="S9" i="11" s="1"/>
  <c r="W54" i="9"/>
  <c r="D65" i="9"/>
  <c r="D9" i="11" s="1"/>
  <c r="X52" i="9"/>
  <c r="X6" i="10" s="1"/>
  <c r="AB50" i="9"/>
  <c r="AB4" i="10" s="1"/>
  <c r="B65" i="9"/>
  <c r="B9" i="11" s="1"/>
  <c r="E60" i="9"/>
  <c r="E4" i="11" s="1"/>
  <c r="M55" i="9"/>
  <c r="M9" i="10" s="1"/>
  <c r="D52" i="9"/>
  <c r="D6" i="10" s="1"/>
  <c r="F65" i="9"/>
  <c r="F9" i="11" s="1"/>
  <c r="Q49" i="9"/>
  <c r="Q3" i="10" s="1"/>
  <c r="R55" i="9"/>
  <c r="R9" i="10" s="1"/>
  <c r="AA55" i="9"/>
  <c r="AA9" i="10" s="1"/>
  <c r="X50" i="9"/>
  <c r="X4" i="10" s="1"/>
  <c r="J59" i="9"/>
  <c r="J3" i="11" s="1"/>
  <c r="X64" i="9"/>
  <c r="X8" i="11" s="1"/>
  <c r="K60" i="9"/>
  <c r="L61" i="9"/>
  <c r="L5" i="11" s="1"/>
  <c r="AA51" i="9"/>
  <c r="AA5" i="10" s="1"/>
  <c r="AA65" i="9"/>
  <c r="AA9" i="11" s="1"/>
  <c r="U62" i="9"/>
  <c r="U6" i="11" s="1"/>
  <c r="E65" i="9"/>
  <c r="E9" i="11" s="1"/>
  <c r="V64" i="9"/>
  <c r="AB51" i="9"/>
  <c r="AB5" i="10" s="1"/>
  <c r="W65" i="9"/>
  <c r="W9" i="11" s="1"/>
  <c r="Q50" i="9"/>
  <c r="Q4" i="10" s="1"/>
  <c r="Z61" i="9"/>
  <c r="Z5" i="11" s="1"/>
  <c r="J64" i="9"/>
  <c r="E58" i="9"/>
  <c r="E2" i="11" s="1"/>
  <c r="AA50" i="9"/>
  <c r="AA4" i="10" s="1"/>
  <c r="O61" i="9"/>
  <c r="O5" i="11" s="1"/>
  <c r="E54" i="9"/>
  <c r="E8" i="10" s="1"/>
  <c r="Q61" i="9"/>
  <c r="Q5" i="11" s="1"/>
  <c r="G54" i="9"/>
  <c r="G8" i="10" s="1"/>
  <c r="F51" i="9"/>
  <c r="F5" i="10" s="1"/>
  <c r="B55" i="9"/>
  <c r="B9" i="10" s="1"/>
  <c r="T65" i="9"/>
  <c r="T9" i="11" s="1"/>
  <c r="J55" i="9"/>
  <c r="J9" i="10" s="1"/>
  <c r="B61" i="9"/>
  <c r="B5" i="11" s="1"/>
  <c r="N51" i="9"/>
  <c r="N5" i="10" s="1"/>
  <c r="F48" i="9"/>
  <c r="F2" i="10" s="1"/>
  <c r="J65" i="9"/>
  <c r="J9" i="11" s="1"/>
  <c r="L55" i="9"/>
  <c r="L9" i="10" s="1"/>
  <c r="E52" i="9"/>
  <c r="E6" i="10" s="1"/>
  <c r="M59" i="9"/>
  <c r="M3" i="11" s="1"/>
  <c r="O49" i="9"/>
  <c r="O3" i="10" s="1"/>
  <c r="F59" i="9"/>
  <c r="F3" i="11" s="1"/>
  <c r="U60" i="9"/>
  <c r="U4" i="11" s="1"/>
  <c r="T55" i="9"/>
  <c r="T9" i="10" s="1"/>
  <c r="W50" i="9"/>
  <c r="W4" i="10" s="1"/>
  <c r="W51" i="9"/>
  <c r="W5" i="10" s="1"/>
  <c r="AB54" i="9"/>
  <c r="AB8" i="10" s="1"/>
  <c r="H65" i="9"/>
  <c r="H9" i="11" s="1"/>
  <c r="S50" i="9"/>
  <c r="S4" i="10" s="1"/>
  <c r="K65" i="9"/>
  <c r="O64" i="9"/>
  <c r="O62" i="9"/>
  <c r="O6" i="11" s="1"/>
  <c r="N65" i="9"/>
  <c r="N9" i="11" s="1"/>
  <c r="I50" i="9"/>
  <c r="I4" i="10" s="1"/>
  <c r="D51" i="9"/>
  <c r="D5" i="10" s="1"/>
  <c r="U64" i="9"/>
  <c r="U8" i="11" s="1"/>
  <c r="E55" i="9"/>
  <c r="E9" i="10" s="1"/>
  <c r="Z54" i="9"/>
  <c r="F54" i="9"/>
  <c r="F8" i="10" s="1"/>
  <c r="B51" i="9"/>
  <c r="B5" i="10" s="1"/>
  <c r="M64" i="9"/>
  <c r="M8" i="11" s="1"/>
  <c r="V49" i="9"/>
  <c r="V3" i="10" s="1"/>
  <c r="C59" i="9"/>
  <c r="C3" i="11" s="1"/>
  <c r="Q65" i="9"/>
  <c r="Q9" i="11" s="1"/>
  <c r="I65" i="9"/>
  <c r="I9" i="11" s="1"/>
  <c r="E64" i="9"/>
  <c r="E8" i="11" s="1"/>
  <c r="AA59" i="9"/>
  <c r="AA3" i="11" s="1"/>
  <c r="AB48" i="9"/>
  <c r="AB2" i="10" s="1"/>
  <c r="E48" i="9"/>
  <c r="E2" i="10" s="1"/>
  <c r="N64" i="9"/>
  <c r="P60" i="9"/>
  <c r="P4" i="11" s="1"/>
  <c r="N59" i="9"/>
  <c r="N3" i="11" s="1"/>
  <c r="P64" i="9"/>
  <c r="P8" i="11" s="1"/>
  <c r="AB64" i="9"/>
  <c r="AB8" i="11" s="1"/>
  <c r="I55" i="9"/>
  <c r="I9" i="10" s="1"/>
  <c r="AB55" i="9"/>
  <c r="AB9" i="10" s="1"/>
  <c r="Y65" i="9"/>
  <c r="Y9" i="11" s="1"/>
  <c r="AA54" i="9"/>
  <c r="AA8" i="10" s="1"/>
  <c r="S60" i="9"/>
  <c r="S4" i="11" s="1"/>
  <c r="T64" i="9"/>
  <c r="T8" i="11" s="1"/>
  <c r="C55" i="9"/>
  <c r="C9" i="10" s="1"/>
  <c r="D54" i="9"/>
  <c r="X51" i="9"/>
  <c r="X5" i="10" s="1"/>
  <c r="L65" i="9"/>
  <c r="L9" i="11" s="1"/>
  <c r="H61" i="9"/>
  <c r="H5" i="11" s="1"/>
  <c r="Q54" i="9"/>
  <c r="Q8" i="10" s="1"/>
  <c r="Y60" i="9"/>
  <c r="Y4" i="11" s="1"/>
  <c r="AA53" i="9"/>
  <c r="AA7" i="10" s="1"/>
  <c r="C65" i="9"/>
  <c r="C9" i="11" s="1"/>
  <c r="B59" i="9"/>
  <c r="B3" i="11" s="1"/>
  <c r="C63" i="9"/>
  <c r="C7" i="11" s="1"/>
  <c r="S55" i="9"/>
  <c r="S9" i="10" s="1"/>
  <c r="B54" i="9"/>
  <c r="B8" i="10" s="1"/>
  <c r="L64" i="9"/>
  <c r="I62" i="9"/>
  <c r="I6" i="11" s="1"/>
  <c r="J62" i="9"/>
  <c r="J6" i="11" s="1"/>
  <c r="P52" i="9"/>
  <c r="P6" i="10" s="1"/>
  <c r="E62" i="9"/>
  <c r="E6" i="11" s="1"/>
  <c r="S62" i="9"/>
  <c r="S6" i="11" s="1"/>
  <c r="AB62" i="9"/>
  <c r="AB6" i="11" s="1"/>
  <c r="AA49" i="9"/>
  <c r="AA3" i="10" s="1"/>
  <c r="H53" i="9"/>
  <c r="H7" i="10" s="1"/>
  <c r="R62" i="9"/>
  <c r="R6" i="11" s="1"/>
  <c r="AA4" i="11"/>
  <c r="AB49" i="9"/>
  <c r="AB3" i="10" s="1"/>
  <c r="S52" i="9"/>
  <c r="S6" i="10" s="1"/>
  <c r="G62" i="9"/>
  <c r="G6" i="11" s="1"/>
  <c r="Z62" i="9"/>
  <c r="Z6" i="11" s="1"/>
  <c r="Y62" i="9"/>
  <c r="Y6" i="11" s="1"/>
  <c r="F52" i="9"/>
  <c r="F6" i="10" s="1"/>
  <c r="N55" i="9"/>
  <c r="N9" i="10" s="1"/>
  <c r="N49" i="9"/>
  <c r="N3" i="10" s="1"/>
  <c r="N53" i="9"/>
  <c r="N7" i="10" s="1"/>
  <c r="M53" i="9"/>
  <c r="M7" i="10" s="1"/>
  <c r="Q63" i="9"/>
  <c r="Q7" i="11" s="1"/>
  <c r="R63" i="9"/>
  <c r="R7" i="11" s="1"/>
  <c r="N62" i="9"/>
  <c r="N6" i="11" s="1"/>
  <c r="Q53" i="9"/>
  <c r="Q7" i="10" s="1"/>
  <c r="C62" i="9"/>
  <c r="C6" i="11" s="1"/>
  <c r="O63" i="9"/>
  <c r="O7" i="11" s="1"/>
  <c r="Q52" i="9"/>
  <c r="Q6" i="10" s="1"/>
  <c r="P65" i="9"/>
  <c r="P9" i="11" s="1"/>
  <c r="Q59" i="9"/>
  <c r="Q3" i="11" s="1"/>
  <c r="L49" i="9"/>
  <c r="L3" i="10" s="1"/>
  <c r="K49" i="9"/>
  <c r="K3" i="10" s="1"/>
  <c r="M49" i="9"/>
  <c r="M3" i="10" s="1"/>
  <c r="P50" i="9"/>
  <c r="P49" i="9"/>
  <c r="P3" i="10" s="1"/>
  <c r="T62" i="9"/>
  <c r="T6" i="11" s="1"/>
  <c r="U52" i="9"/>
  <c r="U6" i="10" s="1"/>
  <c r="J53" i="9"/>
  <c r="J7" i="10" s="1"/>
  <c r="J49" i="9"/>
  <c r="J3" i="10" s="1"/>
  <c r="K62" i="9"/>
  <c r="K6" i="11" s="1"/>
  <c r="Z63" i="9"/>
  <c r="Z7" i="11" s="1"/>
  <c r="D62" i="9"/>
  <c r="D6" i="11" s="1"/>
  <c r="Q62" i="9"/>
  <c r="Q6" i="11" s="1"/>
  <c r="M62" i="9"/>
  <c r="M6" i="11" s="1"/>
  <c r="AB52" i="9"/>
  <c r="AB6" i="10" s="1"/>
  <c r="U49" i="9"/>
  <c r="U3" i="10" s="1"/>
  <c r="U53" i="9"/>
  <c r="U7" i="10" s="1"/>
  <c r="Y52" i="9"/>
  <c r="Y6" i="10" s="1"/>
  <c r="K59" i="9"/>
  <c r="K3" i="11" s="1"/>
  <c r="O52" i="9"/>
  <c r="O6" i="10" s="1"/>
  <c r="D63" i="9"/>
  <c r="D7" i="11" s="1"/>
  <c r="N61" i="9"/>
  <c r="N5" i="11" s="1"/>
  <c r="G63" i="9"/>
  <c r="G7" i="11" s="1"/>
  <c r="B52" i="9"/>
  <c r="B6" i="10" s="1"/>
  <c r="M52" i="9"/>
  <c r="M6" i="10" s="1"/>
  <c r="H59" i="9"/>
  <c r="H3" i="11" s="1"/>
  <c r="G59" i="9"/>
  <c r="G3" i="11" s="1"/>
  <c r="Z59" i="9"/>
  <c r="Z3" i="11" s="1"/>
  <c r="Z53" i="9"/>
  <c r="Z7" i="10" s="1"/>
  <c r="R59" i="9"/>
  <c r="R3" i="11" s="1"/>
  <c r="Z52" i="9"/>
  <c r="Z6" i="10" s="1"/>
  <c r="C52" i="9"/>
  <c r="C6" i="10" s="1"/>
  <c r="N63" i="9"/>
  <c r="N7" i="11" s="1"/>
  <c r="H63" i="9"/>
  <c r="H7" i="11" s="1"/>
  <c r="X59" i="9"/>
  <c r="X3" i="11" s="1"/>
  <c r="L62" i="9"/>
  <c r="L6" i="11" s="1"/>
  <c r="W63" i="9"/>
  <c r="W7" i="11" s="1"/>
  <c r="O58" i="9"/>
  <c r="H49" i="9"/>
  <c r="H3" i="10" s="1"/>
  <c r="E63" i="9"/>
  <c r="E7" i="11" s="1"/>
  <c r="V52" i="9"/>
  <c r="V6" i="10" s="1"/>
  <c r="J52" i="9"/>
  <c r="J6" i="10" s="1"/>
  <c r="X49" i="9"/>
  <c r="X3" i="10" s="1"/>
  <c r="L52" i="9"/>
  <c r="L6" i="10" s="1"/>
  <c r="K52" i="9"/>
  <c r="K6" i="10" s="1"/>
  <c r="E49" i="9"/>
  <c r="E3" i="10" s="1"/>
  <c r="F63" i="9"/>
  <c r="F7" i="11" s="1"/>
  <c r="Y59" i="9"/>
  <c r="Y3" i="11" s="1"/>
  <c r="H52" i="9"/>
  <c r="H6" i="10" s="1"/>
  <c r="F62" i="9"/>
  <c r="F6" i="11" s="1"/>
  <c r="P55" i="9"/>
  <c r="P9" i="10" s="1"/>
  <c r="P54" i="9"/>
  <c r="P53" i="9"/>
  <c r="P7" i="10" s="1"/>
  <c r="P59" i="9"/>
  <c r="P3" i="11" s="1"/>
  <c r="P48" i="9"/>
  <c r="B49" i="9"/>
  <c r="B3" i="10" s="1"/>
  <c r="X53" i="9"/>
  <c r="X7" i="10" s="1"/>
  <c r="I59" i="9"/>
  <c r="I3" i="11" s="1"/>
  <c r="B53" i="9"/>
  <c r="B7" i="10" s="1"/>
  <c r="N54" i="9"/>
  <c r="R53" i="9"/>
  <c r="R7" i="10" s="1"/>
  <c r="U59" i="9"/>
  <c r="U3" i="11" s="1"/>
  <c r="P62" i="9"/>
  <c r="P6" i="11" s="1"/>
  <c r="R52" i="9"/>
  <c r="R6" i="10" s="1"/>
  <c r="B62" i="9"/>
  <c r="B6" i="11" s="1"/>
  <c r="X62" i="9"/>
  <c r="X6" i="11" s="1"/>
  <c r="V62" i="9"/>
  <c r="V6" i="11" s="1"/>
  <c r="W62" i="9"/>
  <c r="W6" i="11" s="1"/>
  <c r="I52" i="9"/>
  <c r="I6" i="10" s="1"/>
  <c r="P61" i="9"/>
  <c r="P5" i="11" s="1"/>
  <c r="S49" i="9"/>
  <c r="S3" i="10" s="1"/>
  <c r="E59" i="9"/>
  <c r="E3" i="11" s="1"/>
  <c r="O54" i="9"/>
  <c r="O53" i="9"/>
  <c r="O7" i="10" s="1"/>
  <c r="W49" i="9"/>
  <c r="W3" i="10" s="1"/>
  <c r="W59" i="9"/>
  <c r="W3" i="11" s="1"/>
  <c r="P51" i="9"/>
  <c r="P5" i="10" s="1"/>
  <c r="N58" i="9"/>
  <c r="G52" i="9"/>
  <c r="G6" i="10" s="1"/>
  <c r="E53" i="9"/>
  <c r="E7" i="10" s="1"/>
  <c r="V53" i="9"/>
  <c r="V7" i="10" s="1"/>
  <c r="P63" i="9"/>
  <c r="P7" i="11" s="1"/>
  <c r="S53" i="9"/>
  <c r="S7" i="10" s="1"/>
  <c r="W52" i="9"/>
  <c r="W6" i="10" s="1"/>
  <c r="O59" i="9"/>
  <c r="O3" i="11" s="1"/>
  <c r="S71" i="9" l="1"/>
  <c r="Z68" i="9"/>
  <c r="V73" i="9"/>
  <c r="J73" i="9"/>
  <c r="R68" i="9"/>
  <c r="V8" i="11"/>
  <c r="AB73" i="9"/>
  <c r="T71" i="9"/>
  <c r="Y68" i="9"/>
  <c r="B71" i="9"/>
  <c r="Q68" i="9"/>
  <c r="K70" i="9"/>
  <c r="D73" i="9"/>
  <c r="F71" i="9"/>
  <c r="N73" i="9"/>
  <c r="F73" i="9"/>
  <c r="N8" i="11"/>
  <c r="G68" i="9"/>
  <c r="U70" i="9"/>
  <c r="M70" i="9"/>
  <c r="B2" i="11"/>
  <c r="R2" i="10"/>
  <c r="K8" i="10"/>
  <c r="K69" i="9"/>
  <c r="M8" i="10"/>
  <c r="T68" i="9"/>
  <c r="AA71" i="9"/>
  <c r="C71" i="9"/>
  <c r="X68" i="9"/>
  <c r="Y2" i="10"/>
  <c r="B70" i="9"/>
  <c r="B68" i="9"/>
  <c r="C73" i="9"/>
  <c r="B72" i="9"/>
  <c r="AA70" i="9"/>
  <c r="H73" i="9"/>
  <c r="I72" i="9"/>
  <c r="J71" i="9"/>
  <c r="W71" i="9"/>
  <c r="K71" i="9"/>
  <c r="AA72" i="9"/>
  <c r="Y70" i="9"/>
  <c r="K72" i="9"/>
  <c r="AA69" i="9"/>
  <c r="K2" i="11"/>
  <c r="Z71" i="9"/>
  <c r="O73" i="9"/>
  <c r="Q73" i="9"/>
  <c r="C68" i="9"/>
  <c r="M73" i="9"/>
  <c r="Y73" i="9"/>
  <c r="S2" i="11"/>
  <c r="W73" i="9"/>
  <c r="T69" i="9"/>
  <c r="I69" i="9"/>
  <c r="V70" i="9"/>
  <c r="Q70" i="9"/>
  <c r="F70" i="9"/>
  <c r="O8" i="11"/>
  <c r="I70" i="9"/>
  <c r="R70" i="9"/>
  <c r="C70" i="9"/>
  <c r="J70" i="9"/>
  <c r="T72" i="9"/>
  <c r="V68" i="9"/>
  <c r="I73" i="9"/>
  <c r="S70" i="9"/>
  <c r="R69" i="9"/>
  <c r="U73" i="9"/>
  <c r="M71" i="9"/>
  <c r="J72" i="9"/>
  <c r="N72" i="9"/>
  <c r="Q8" i="11"/>
  <c r="G70" i="9"/>
  <c r="AB71" i="9"/>
  <c r="V71" i="9"/>
  <c r="F69" i="9"/>
  <c r="T70" i="9"/>
  <c r="S73" i="9"/>
  <c r="E73" i="9"/>
  <c r="Z70" i="9"/>
  <c r="Z8" i="10"/>
  <c r="M68" i="9"/>
  <c r="K9" i="11"/>
  <c r="K73" i="9"/>
  <c r="E70" i="9"/>
  <c r="C72" i="9"/>
  <c r="M69" i="9"/>
  <c r="K4" i="11"/>
  <c r="D71" i="9"/>
  <c r="AB70" i="9"/>
  <c r="G69" i="9"/>
  <c r="L69" i="9"/>
  <c r="H8" i="10"/>
  <c r="H70" i="9"/>
  <c r="D68" i="9"/>
  <c r="F68" i="9"/>
  <c r="N69" i="9"/>
  <c r="R72" i="9"/>
  <c r="L71" i="9"/>
  <c r="I68" i="9"/>
  <c r="G72" i="9"/>
  <c r="D69" i="9"/>
  <c r="E71" i="9"/>
  <c r="T73" i="9"/>
  <c r="C69" i="9"/>
  <c r="G73" i="9"/>
  <c r="U68" i="9"/>
  <c r="P73" i="9"/>
  <c r="D8" i="10"/>
  <c r="D70" i="9"/>
  <c r="W70" i="9"/>
  <c r="W8" i="10"/>
  <c r="E69" i="9"/>
  <c r="Z73" i="9"/>
  <c r="O69" i="9"/>
  <c r="AA73" i="9"/>
  <c r="B73" i="9"/>
  <c r="X73" i="9"/>
  <c r="J8" i="11"/>
  <c r="O68" i="9"/>
  <c r="Y72" i="9"/>
  <c r="X9" i="10"/>
  <c r="X70" i="9"/>
  <c r="F4" i="10"/>
  <c r="U72" i="9"/>
  <c r="B69" i="9"/>
  <c r="L70" i="9"/>
  <c r="L8" i="11"/>
  <c r="L73" i="9"/>
  <c r="R73" i="9"/>
  <c r="O2" i="11"/>
  <c r="O71" i="9"/>
  <c r="X71" i="9"/>
  <c r="U71" i="9"/>
  <c r="S68" i="9"/>
  <c r="H69" i="9"/>
  <c r="D72" i="9"/>
  <c r="AA68" i="9"/>
  <c r="I71" i="9"/>
  <c r="U69" i="9"/>
  <c r="S72" i="9"/>
  <c r="X72" i="9"/>
  <c r="P72" i="9"/>
  <c r="Z69" i="9"/>
  <c r="AB69" i="9"/>
  <c r="J68" i="9"/>
  <c r="N8" i="10"/>
  <c r="N70" i="9"/>
  <c r="Y69" i="9"/>
  <c r="Z72" i="9"/>
  <c r="Q69" i="9"/>
  <c r="Q72" i="9"/>
  <c r="S69" i="9"/>
  <c r="L72" i="9"/>
  <c r="E72" i="9"/>
  <c r="Y71" i="9"/>
  <c r="L68" i="9"/>
  <c r="W72" i="9"/>
  <c r="O8" i="10"/>
  <c r="O70" i="9"/>
  <c r="R71" i="9"/>
  <c r="J69" i="9"/>
  <c r="H68" i="9"/>
  <c r="F72" i="9"/>
  <c r="K68" i="9"/>
  <c r="V72" i="9"/>
  <c r="O72" i="9"/>
  <c r="AB68" i="9"/>
  <c r="P68" i="9"/>
  <c r="P2" i="10"/>
  <c r="X69" i="9"/>
  <c r="M72" i="9"/>
  <c r="N68" i="9"/>
  <c r="G71" i="9"/>
  <c r="Q71" i="9"/>
  <c r="AB72" i="9"/>
  <c r="E68" i="9"/>
  <c r="W68" i="9"/>
  <c r="H71" i="9"/>
  <c r="V69" i="9"/>
  <c r="H72" i="9"/>
  <c r="P69" i="9"/>
  <c r="P4" i="10"/>
  <c r="P71" i="9"/>
  <c r="N2" i="11"/>
  <c r="N71" i="9"/>
  <c r="P8" i="10"/>
  <c r="P70" i="9"/>
  <c r="W69" i="9"/>
</calcChain>
</file>

<file path=xl/sharedStrings.xml><?xml version="1.0" encoding="utf-8"?>
<sst xmlns="http://schemas.openxmlformats.org/spreadsheetml/2006/main" count="5677" uniqueCount="335">
  <si>
    <t>BDbDT  -  BAU Deaths by Demographic Trait (state, 2024-2050)</t>
  </si>
  <si>
    <t>Alabama</t>
  </si>
  <si>
    <t>State code (derived):</t>
  </si>
  <si>
    <t>Active state:</t>
  </si>
  <si>
    <t>Methodology (see docs/methodology/BDbDT.md):</t>
  </si>
  <si>
    <t xml:space="preserve">  state_trait_deaths[year]</t>
  </si>
  <si>
    <t xml:space="preserve">    = US_trait_deaths[year]</t>
  </si>
  <si>
    <t xml:space="preserve">      * (state_total_pop[year] / US_total_pop[year])</t>
  </si>
  <si>
    <t xml:space="preserve">      * K_trait</t>
  </si>
  <si>
    <t xml:space="preserve">  K_trait = (state_pop_in_trait[2024] / state_total_pop[2024])</t>
  </si>
  <si>
    <t xml:space="preserve">            / (US_pop_in_trait[2024] / US_total_pop[2024])</t>
  </si>
  <si>
    <t>Trait definitions (parallel layout - hispanic/nonhispanic are separate from race rows;</t>
  </si>
  <si>
    <t>race rows include all Hispanic origin per legacy BDbDT convention):</t>
  </si>
  <si>
    <t xml:space="preserve">  male, female              = SEX column</t>
  </si>
  <si>
    <t xml:space="preserve">  white, black, asian       = Census race-alone (any Hispanic origin)</t>
  </si>
  <si>
    <t xml:space="preserve">  other race                = American Indian/AK Native + NH/PI + Two-or-more races</t>
  </si>
  <si>
    <t xml:space="preserve">  hispanic, nonhispanic     = Census origin (any race)</t>
  </si>
  <si>
    <t>Sources (all embedded as raw tabs):</t>
  </si>
  <si>
    <t xml:space="preserve">  - NP2023 deaths:  Census Bureau, 2023 National Population Projections, Main Series</t>
  </si>
  <si>
    <t xml:space="preserve">      https://www.census.gov/data/datasets/2023/demo/popproj/2023-popproj.html</t>
  </si>
  <si>
    <t xml:space="preserve">      np2023_d3_mid.csv (filtered to 2024-2050, TOTAL_DEATHS column only)</t>
  </si>
  <si>
    <t xml:space="preserve">  - NP2023 pop:     Census Bureau, 2023 NP Projections, np2023_d1_mid.csv (same filter)</t>
  </si>
  <si>
    <t xml:space="preserve">  - SCE 2024:       Census Bureau, Vintage 2024 State Characteristics Estimates</t>
  </si>
  <si>
    <t xml:space="preserve">      https://www.census.gov/data/datasets/time-series/demo/popest/2020s-state-detail.html</t>
  </si>
  <si>
    <t xml:space="preserve">      sc-est2024-alldata6.csv (aggregated across AGE for state x sex x origin x race)</t>
  </si>
  <si>
    <t xml:space="preserve">  - State pop totals 2020-2025: Census Vintage 2025 (NST-EST2025-POP.xlsx)</t>
  </si>
  <si>
    <t xml:space="preserve">  - State pop totals 2030/2040/2050: UVA Cooper Center July 2024 release</t>
  </si>
  <si>
    <t xml:space="preserve">      https://demographics.coopercenter.org/national-population-projections</t>
  </si>
  <si>
    <t>Per organizational guidance: framed as input for staff review. Per-state values</t>
  </si>
  <si>
    <t>should be cross-checked against current Census + CDC NCHS publications before</t>
  </si>
  <si>
    <t>external use.</t>
  </si>
  <si>
    <t>Build: outputs/BDbDT/_build_bdbdt_workbook.py</t>
  </si>
  <si>
    <t>state_fips</t>
  </si>
  <si>
    <t>state_abbr</t>
  </si>
  <si>
    <t>state_name</t>
  </si>
  <si>
    <t>division_num</t>
  </si>
  <si>
    <t>division_name</t>
  </si>
  <si>
    <t>01</t>
  </si>
  <si>
    <t>AL</t>
  </si>
  <si>
    <t>East South Central</t>
  </si>
  <si>
    <t>04</t>
  </si>
  <si>
    <t>AZ</t>
  </si>
  <si>
    <t>Arizona</t>
  </si>
  <si>
    <t>Mountain South</t>
  </si>
  <si>
    <t>05</t>
  </si>
  <si>
    <t>AR</t>
  </si>
  <si>
    <t>Arkansas</t>
  </si>
  <si>
    <t>West South Central</t>
  </si>
  <si>
    <t>06</t>
  </si>
  <si>
    <t>CA</t>
  </si>
  <si>
    <t>California</t>
  </si>
  <si>
    <t>Pacific</t>
  </si>
  <si>
    <t>08</t>
  </si>
  <si>
    <t>CO</t>
  </si>
  <si>
    <t>Colorado</t>
  </si>
  <si>
    <t>Mountain North</t>
  </si>
  <si>
    <t>09</t>
  </si>
  <si>
    <t>CT</t>
  </si>
  <si>
    <t>Connecticut</t>
  </si>
  <si>
    <t>New England</t>
  </si>
  <si>
    <t>10</t>
  </si>
  <si>
    <t>DE</t>
  </si>
  <si>
    <t>Delaware</t>
  </si>
  <si>
    <t>South Atlantic</t>
  </si>
  <si>
    <t>12</t>
  </si>
  <si>
    <t>FL</t>
  </si>
  <si>
    <t>Florida</t>
  </si>
  <si>
    <t>13</t>
  </si>
  <si>
    <t>GA</t>
  </si>
  <si>
    <t>Georgia</t>
  </si>
  <si>
    <t>16</t>
  </si>
  <si>
    <t>ID</t>
  </si>
  <si>
    <t>Idaho</t>
  </si>
  <si>
    <t>17</t>
  </si>
  <si>
    <t>IL</t>
  </si>
  <si>
    <t>Illinois</t>
  </si>
  <si>
    <t>East North Central</t>
  </si>
  <si>
    <t>18</t>
  </si>
  <si>
    <t>IN</t>
  </si>
  <si>
    <t>Indiana</t>
  </si>
  <si>
    <t>19</t>
  </si>
  <si>
    <t>IA</t>
  </si>
  <si>
    <t>Iowa</t>
  </si>
  <si>
    <t>West North Central</t>
  </si>
  <si>
    <t>20</t>
  </si>
  <si>
    <t>KS</t>
  </si>
  <si>
    <t>Kansas</t>
  </si>
  <si>
    <t>21</t>
  </si>
  <si>
    <t>KY</t>
  </si>
  <si>
    <t>Kentucky</t>
  </si>
  <si>
    <t>22</t>
  </si>
  <si>
    <t>LA</t>
  </si>
  <si>
    <t>Louisiana</t>
  </si>
  <si>
    <t>23</t>
  </si>
  <si>
    <t>ME</t>
  </si>
  <si>
    <t>Maine</t>
  </si>
  <si>
    <t>24</t>
  </si>
  <si>
    <t>MD</t>
  </si>
  <si>
    <t>Maryland</t>
  </si>
  <si>
    <t>25</t>
  </si>
  <si>
    <t>MA</t>
  </si>
  <si>
    <t>Massachusetts</t>
  </si>
  <si>
    <t>26</t>
  </si>
  <si>
    <t>MI</t>
  </si>
  <si>
    <t>Michigan</t>
  </si>
  <si>
    <t>27</t>
  </si>
  <si>
    <t>MN</t>
  </si>
  <si>
    <t>Minnesota</t>
  </si>
  <si>
    <t>28</t>
  </si>
  <si>
    <t>MS</t>
  </si>
  <si>
    <t>Mississippi</t>
  </si>
  <si>
    <t>29</t>
  </si>
  <si>
    <t>MO</t>
  </si>
  <si>
    <t>Missouri</t>
  </si>
  <si>
    <t>30</t>
  </si>
  <si>
    <t>MT</t>
  </si>
  <si>
    <t>Montana</t>
  </si>
  <si>
    <t>31</t>
  </si>
  <si>
    <t>NE</t>
  </si>
  <si>
    <t>Nebraska</t>
  </si>
  <si>
    <t>32</t>
  </si>
  <si>
    <t>NV</t>
  </si>
  <si>
    <t>Nevada</t>
  </si>
  <si>
    <t>33</t>
  </si>
  <si>
    <t>NH</t>
  </si>
  <si>
    <t>New Hampshire</t>
  </si>
  <si>
    <t>34</t>
  </si>
  <si>
    <t>NJ</t>
  </si>
  <si>
    <t>New Jersey</t>
  </si>
  <si>
    <t>Middle Atlantic</t>
  </si>
  <si>
    <t>35</t>
  </si>
  <si>
    <t>NM</t>
  </si>
  <si>
    <t>New Mexico</t>
  </si>
  <si>
    <t>36</t>
  </si>
  <si>
    <t>NY</t>
  </si>
  <si>
    <t>New York</t>
  </si>
  <si>
    <t>37</t>
  </si>
  <si>
    <t>NC</t>
  </si>
  <si>
    <t>North Carolina</t>
  </si>
  <si>
    <t>38</t>
  </si>
  <si>
    <t>ND</t>
  </si>
  <si>
    <t>North Dakota</t>
  </si>
  <si>
    <t>39</t>
  </si>
  <si>
    <t>OH</t>
  </si>
  <si>
    <t>Ohio</t>
  </si>
  <si>
    <t>40</t>
  </si>
  <si>
    <t>OK</t>
  </si>
  <si>
    <t>Oklahoma</t>
  </si>
  <si>
    <t>41</t>
  </si>
  <si>
    <t>OR</t>
  </si>
  <si>
    <t>Oregon</t>
  </si>
  <si>
    <t>42</t>
  </si>
  <si>
    <t>PA</t>
  </si>
  <si>
    <t>Pennsylvania</t>
  </si>
  <si>
    <t>44</t>
  </si>
  <si>
    <t>RI</t>
  </si>
  <si>
    <t>Rhode Island</t>
  </si>
  <si>
    <t>45</t>
  </si>
  <si>
    <t>SC</t>
  </si>
  <si>
    <t>South Carolina</t>
  </si>
  <si>
    <t>46</t>
  </si>
  <si>
    <t>SD</t>
  </si>
  <si>
    <t>South Dakota</t>
  </si>
  <si>
    <t>47</t>
  </si>
  <si>
    <t>TN</t>
  </si>
  <si>
    <t>Tennessee</t>
  </si>
  <si>
    <t>48</t>
  </si>
  <si>
    <t>TX</t>
  </si>
  <si>
    <t>Texas</t>
  </si>
  <si>
    <t>49</t>
  </si>
  <si>
    <t>UT</t>
  </si>
  <si>
    <t>Utah</t>
  </si>
  <si>
    <t>50</t>
  </si>
  <si>
    <t>VT</t>
  </si>
  <si>
    <t>Vermont</t>
  </si>
  <si>
    <t>51</t>
  </si>
  <si>
    <t>VA</t>
  </si>
  <si>
    <t>Virginia</t>
  </si>
  <si>
    <t>53</t>
  </si>
  <si>
    <t>WA</t>
  </si>
  <si>
    <t>Washington</t>
  </si>
  <si>
    <t>54</t>
  </si>
  <si>
    <t>WV</t>
  </si>
  <si>
    <t>West Virginia</t>
  </si>
  <si>
    <t>55</t>
  </si>
  <si>
    <t>WI</t>
  </si>
  <si>
    <t>Wisconsin</t>
  </si>
  <si>
    <t>56</t>
  </si>
  <si>
    <t>WY</t>
  </si>
  <si>
    <t>Wyoming</t>
  </si>
  <si>
    <t>trait</t>
  </si>
  <si>
    <t>d3_sex</t>
  </si>
  <si>
    <t>d3_rh_1</t>
  </si>
  <si>
    <t>d3_rh_2</t>
  </si>
  <si>
    <t>d3_rh_3</t>
  </si>
  <si>
    <t>d3_rh_4</t>
  </si>
  <si>
    <t>d3_rh_5</t>
  </si>
  <si>
    <t>d3_rh_6</t>
  </si>
  <si>
    <t>sce_sex</t>
  </si>
  <si>
    <t>sce_origin</t>
  </si>
  <si>
    <t>sce_race_1</t>
  </si>
  <si>
    <t>sce_race_2</t>
  </si>
  <si>
    <t>sce_race_3</t>
  </si>
  <si>
    <t>sce_race_4</t>
  </si>
  <si>
    <t>sce_race_5</t>
  </si>
  <si>
    <t>sce_race_6</t>
  </si>
  <si>
    <t>d1_sex</t>
  </si>
  <si>
    <t>d1_origin</t>
  </si>
  <si>
    <t>d1_race_1</t>
  </si>
  <si>
    <t>d1_race_2</t>
  </si>
  <si>
    <t>d1_race_3</t>
  </si>
  <si>
    <t>d1_race_4</t>
  </si>
  <si>
    <t>d1_race_5</t>
  </si>
  <si>
    <t>d1_race_6</t>
  </si>
  <si>
    <t>notes</t>
  </si>
  <si>
    <t>male</t>
  </si>
  <si>
    <t>female</t>
  </si>
  <si>
    <t>white</t>
  </si>
  <si>
    <t>black</t>
  </si>
  <si>
    <t>asian</t>
  </si>
  <si>
    <t>other race</t>
  </si>
  <si>
    <t>hispanic</t>
  </si>
  <si>
    <t>nonhispanic</t>
  </si>
  <si>
    <t>RACE_HISP</t>
  </si>
  <si>
    <t>SEX</t>
  </si>
  <si>
    <t>YEAR</t>
  </si>
  <si>
    <t>TOTAL_DEATHS</t>
  </si>
  <si>
    <t>DTH_0_INFANT</t>
  </si>
  <si>
    <t>DTH_1PLUS_OTHER</t>
  </si>
  <si>
    <t>ORIGIN</t>
  </si>
  <si>
    <t>RACE</t>
  </si>
  <si>
    <t>TOTAL_POP</t>
  </si>
  <si>
    <t>STATE_FIPS</t>
  </si>
  <si>
    <t>STATE_NAME</t>
  </si>
  <si>
    <t>POP_2024</t>
  </si>
  <si>
    <t>table with row headers in column A and column headers in rows 3 through 4. (leading dots indicate sub-parts)</t>
  </si>
  <si>
    <t>Annual Estimates of the Resident Population for the United States, Regions, States, District of Columbia, and Puerto Rico: April 1, 2020
 to July 1, 2025</t>
  </si>
  <si>
    <t>Geographic Area</t>
  </si>
  <si>
    <t>April 1, 2020 Estimates Base</t>
  </si>
  <si>
    <t>Population Estimate (as of July 1)</t>
  </si>
  <si>
    <t>United States</t>
  </si>
  <si>
    <t>Northeast</t>
  </si>
  <si>
    <t>Midwest</t>
  </si>
  <si>
    <t>South</t>
  </si>
  <si>
    <t>West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</si>
  <si>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</si>
  <si>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</si>
  <si>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</si>
  <si>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</si>
  <si>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</si>
  <si>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</si>
  <si>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</si>
  <si>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</si>
  <si>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</si>
  <si>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</si>
  <si>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</si>
  <si>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</si>
  <si>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</si>
  <si>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</si>
  <si>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</si>
  <si>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</si>
  <si>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</si>
  <si>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</si>
  <si>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</si>
  <si>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</si>
  <si>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</si>
  <si>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</si>
  <si>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</si>
  <si>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</si>
  <si>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</si>
  <si>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</si>
  <si>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</si>
  <si>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</si>
  <si>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</si>
  <si>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</si>
  <si>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</si>
  <si>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</si>
  <si>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</si>
  <si>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</si>
  <si>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</si>
  <si>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</si>
  <si>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</si>
  <si>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</si>
  <si>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</si>
  <si>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</si>
  <si>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</si>
  <si>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</si>
  <si>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</si>
  <si>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</si>
  <si>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</si>
  <si>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</si>
  <si>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</si>
  <si>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</si>
  <si>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</si>
  <si>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</si>
  <si>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</si>
  <si>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.Puerto Rico</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</si>
  <si>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</si>
  <si>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The estimates are based on the 2020 Modified Age and Race Census (MARC) file and include changes from Count Question Resolution, the Post-Census Group Quarters Review, and geographic revisions. For population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 All geographic boundaries for the 2025 population estimates series are as of January 1, 2025.</t>
  </si>
  <si>
    <t>Suggested Citation:</t>
  </si>
  <si>
    <t>Annual Estimates of the Resident Population for the United States, Regions, States, District of Columbia, and Puerto Rico: April 1, 2020 to July 1, 2025 (NST-EST2025-POP)</t>
  </si>
  <si>
    <t>Source: U.S. Census Bureau, Population Division</t>
  </si>
  <si>
    <t>Release Date: January 2026</t>
  </si>
  <si>
    <t>Total Population for the U.S., the 50 States, and the District of Columbia: Census 2020 and Projections 2030-2050</t>
  </si>
  <si>
    <t>Released on July 1, 2024 by the University of Virginia, Weldon Cooper Center for Public Service, https://www.coopercenter.org/national-population-projections</t>
  </si>
  <si>
    <t>FIPS</t>
  </si>
  <si>
    <t>Geography Name</t>
  </si>
  <si>
    <t>Total Population</t>
  </si>
  <si>
    <t>Alaska</t>
  </si>
  <si>
    <t>District of Columbia</t>
  </si>
  <si>
    <t>Hawaii</t>
  </si>
  <si>
    <t>Subgroups may not sum to total due to rounding</t>
  </si>
  <si>
    <t>BDbDT_calcs  -  state deaths by trait, 2024-2050 (active state from About!B1)</t>
  </si>
  <si>
    <t>year -&gt;</t>
  </si>
  <si>
    <t>state_pop_in_trait_2024</t>
  </si>
  <si>
    <t>state_total_pop_2024</t>
  </si>
  <si>
    <t>US_pop_in_trait_2024</t>
  </si>
  <si>
    <t>US_total_pop_2024</t>
  </si>
  <si>
    <t>K_trait</t>
  </si>
  <si>
    <t>Total population trajectory (state + US, by year)</t>
  </si>
  <si>
    <t>state_total_pop</t>
  </si>
  <si>
    <t>US_total_pop</t>
  </si>
  <si>
    <t>share = state/US</t>
  </si>
  <si>
    <t>US TOTAL deaths by trait by year (SUMIFS over NP2023_deaths col D)</t>
  </si>
  <si>
    <t>US INFANT (age 0) deaths by trait by year (SUMIFS over NP2023_deaths col E)</t>
  </si>
  <si>
    <t>US OTHER (age 1+) deaths by trait by year  =  row18-25 (TOTAL) - row28-35 (INFANT)</t>
  </si>
  <si>
    <t>STATE INFANT deaths  =  US_infant * (state_pop / US_pop) * K_trait  -&gt; BDbDT-infant</t>
  </si>
  <si>
    <t>STATE OTHER (age 1+) deaths  =  US_other * (state_pop / US_pop) * K_trait  -&gt; BDbDT-other</t>
  </si>
  <si>
    <t>DIAGNOSTIC axis sums per age band (sex | race | origin) - differ by K_trait, not an identity</t>
  </si>
  <si>
    <t>INFANT sex-sum</t>
  </si>
  <si>
    <t>INFANT race-sum</t>
  </si>
  <si>
    <t>INFANT origin-sum</t>
  </si>
  <si>
    <t>OTHER sex-sum</t>
  </si>
  <si>
    <t>OTHER race-sum</t>
  </si>
  <si>
    <t>OTHER origin-sum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</si>
</sst>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_-;\-* #,##0_-;_-* &quot;-&quot;??_-;_-@_-"/>
    <numFmt numFmtId="165" formatCode="0.0000"/>
    <numFmt numFmtId="166" formatCode="0.000000"/>
  </numFmts>
  <fonts count="18" x14ac:knownFonts="1">
    <font>
      <sz val="11"/>
      <color theme="1"/>
      <name val="Calibri"/>
      <family val="2"/>
      <scheme val="minor"/>
    </font>
    <font>
      <b/>
      <sz val="14"/>
      <name val="Calibri"/>
    </font>
    <font>
      <b/>
      <sz val="12"/>
      <name val="Calibri"/>
    </font>
    <font>
      <i/>
      <sz val="11"/>
      <color rgb="FF666666"/>
      <name val="Calibri"/>
    </font>
    <font>
      <b/>
      <sz val="11"/>
      <name val="Calibri"/>
    </font>
    <font>
      <sz val="10"/>
      <color indexed="9"/>
      <name val="MS sans serif"/>
    </font>
    <font>
      <b/>
      <sz val="10"/>
      <name val="MS sans serif"/>
    </font>
    <font>
      <b/>
      <sz val="10"/>
      <color theme="1"/>
      <name val="MS sans serif"/>
    </font>
    <font>
      <sz val="10"/>
      <color theme="1"/>
      <name val="MS sans serif"/>
    </font>
    <font>
      <b/>
      <sz val="10"/>
      <color indexed="9"/>
      <name val="MS sans serif"/>
    </font>
    <font>
      <sz val="8"/>
      <name val="arial"/>
      <family val="2"/>
    </font>
    <font>
      <b/>
      <sz val="8"/>
      <color theme="1"/>
      <name val="arial"/>
      <family val="2"/>
    </font>
    <font>
      <b/>
      <sz val="14"/>
      <color theme="3"/>
      <name val="Calibri"/>
      <family val="2"/>
    </font>
    <font>
      <sz val="11"/>
      <color theme="1" tint="0.34998626667073579"/>
      <name val="Calibri"/>
      <family val="2"/>
    </font>
    <font>
      <b/>
      <sz val="11"/>
      <name val="Calibri"/>
      <family val="2"/>
    </font>
    <font>
      <sz val="11"/>
      <name val="Calibri"/>
    </font>
    <font>
      <sz val="11"/>
      <name val="Calibri"/>
      <family val="2"/>
    </font>
    <font>
      <i/>
      <sz val="11"/>
      <name val="Calibri"/>
      <family val="2"/>
    </font>
  </fonts>
  <fills count="8">
    <fill>
      <patternFill patternType="none"/>
    </fill>
    <fill>
      <patternFill patternType="gray125"/>
    </fill>
    <fill>
      <patternFill patternType="solid">
        <fgColor rgb="FFFFF59D"/>
        <bgColor rgb="FFFFF59D"/>
      </patternFill>
    </fill>
    <fill>
      <patternFill patternType="solid">
        <fgColor rgb="FFD9E1F2"/>
        <bgColor rgb="FFD9E1F2"/>
      </patternFill>
    </fill>
    <fill>
      <patternFill patternType="solid">
        <fgColor indexed="9"/>
        <bgColor indexed="64"/>
      </patternFill>
    </fill>
    <fill>
      <patternFill patternType="solid">
        <fgColor indexed="43"/>
        <bgColor indexed="64"/>
      </patternFill>
    </fill>
    <fill>
      <patternFill patternType="solid">
        <fgColor theme="0"/>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41">
    <xf numFmtId="0" fontId="0" fillId="0" borderId="0" xfId="0"/>
    <xf numFmtId="0" fontId="1" fillId="0" borderId="0" xfId="0" applyFont="1"/>
    <xf numFmtId="0" fontId="2" fillId="2" borderId="0" xfId="0" applyFont="1" applyFill="1"/>
    <xf numFmtId="0" fontId="3" fillId="0" borderId="0" xfId="0" applyFont="1"/>
    <xf numFmtId="0" fontId="4" fillId="0" borderId="0" xfId="0" applyFont="1"/>
    <xf numFmtId="0" fontId="4" fillId="3" borderId="0" xfId="0" applyFont="1" applyFill="1"/>
    <xf numFmtId="0" fontId="0" fillId="2" borderId="0" xfId="0" applyFill="1"/>
    <xf numFmtId="0" fontId="5" fillId="4" borderId="0" xfId="0" applyFont="1" applyFill="1" applyAlignment="1">
      <alignment horizontal="center" vertical="center"/>
    </xf>
    <xf numFmtId="0" fontId="6" fillId="4" borderId="0" xfId="0" applyFont="1" applyFill="1" applyAlignment="1">
      <alignment horizontal="left" vertical="center" wrapText="1"/>
    </xf>
    <xf numFmtId="0" fontId="6" fillId="4" borderId="0" xfId="0" applyFont="1" applyFill="1" applyAlignment="1">
      <alignment horizontal="center" vertical="center" wrapText="1"/>
    </xf>
    <xf numFmtId="0" fontId="7" fillId="4" borderId="0" xfId="0" applyFont="1" applyFill="1" applyAlignment="1">
      <alignment horizontal="center" vertical="center" wrapText="1"/>
    </xf>
    <xf numFmtId="0" fontId="7" fillId="0" borderId="0" xfId="0" applyFont="1" applyAlignment="1">
      <alignment horizontal="center" vertical="center" wrapText="1"/>
    </xf>
    <xf numFmtId="0" fontId="7" fillId="0" borderId="0" xfId="0" applyFont="1" applyAlignment="1">
      <alignment horizontal="left" indent="1"/>
    </xf>
    <xf numFmtId="3" fontId="8" fillId="0" borderId="0" xfId="0" applyNumberFormat="1" applyFont="1" applyAlignment="1">
      <alignment horizontal="right"/>
    </xf>
    <xf numFmtId="0" fontId="5" fillId="0" borderId="0" xfId="0" applyFont="1"/>
    <xf numFmtId="0" fontId="7" fillId="0" borderId="0" xfId="0" applyFont="1"/>
    <xf numFmtId="0" fontId="9" fillId="0" borderId="0" xfId="0" applyFont="1"/>
    <xf numFmtId="3" fontId="7" fillId="0" borderId="0" xfId="0" applyNumberFormat="1" applyFont="1" applyAlignment="1">
      <alignment horizontal="right"/>
    </xf>
    <xf numFmtId="0" fontId="10" fillId="0" borderId="0" xfId="0" applyFont="1" applyAlignment="1">
      <alignment wrapText="1"/>
    </xf>
    <xf numFmtId="0" fontId="11" fillId="5" borderId="0" xfId="0" applyFont="1" applyFill="1"/>
    <xf numFmtId="0" fontId="11" fillId="5" borderId="0" xfId="0" applyFont="1" applyFill="1" applyAlignment="1">
      <alignment wrapText="1"/>
    </xf>
    <xf numFmtId="0" fontId="12" fillId="6" borderId="0" xfId="0" applyFont="1" applyFill="1" applyAlignment="1">
      <alignment horizontal="left" vertical="center" wrapText="1"/>
    </xf>
    <xf numFmtId="0" fontId="13" fillId="6" borderId="0" xfId="0" applyFont="1" applyFill="1" applyAlignment="1">
      <alignment horizontal="left" vertical="center" wrapText="1"/>
    </xf>
    <xf numFmtId="0" fontId="14" fillId="6" borderId="0" xfId="0" applyFont="1" applyFill="1" applyAlignment="1">
      <alignment horizontal="center" vertical="center"/>
    </xf>
    <xf numFmtId="0" fontId="14" fillId="7" borderId="0" xfId="0" applyFont="1" applyFill="1" applyAlignment="1">
      <alignment horizontal="center"/>
    </xf>
    <xf numFmtId="0" fontId="15" fillId="0" borderId="0" xfId="0" applyFont="1"/>
    <xf numFmtId="0" fontId="16" fillId="6" borderId="0" xfId="0" applyFont="1" applyFill="1" applyAlignment="1">
      <alignment horizontal="center"/>
    </xf>
    <xf numFmtId="0" fontId="14" fillId="6" borderId="0" xfId="0" applyFont="1" applyFill="1" applyAlignment="1">
      <alignment horizontal="center"/>
    </xf>
    <xf numFmtId="0" fontId="14" fillId="6" borderId="0" xfId="0" applyFont="1" applyFill="1"/>
    <xf numFmtId="164" fontId="14" fillId="6" borderId="0" xfId="0" applyNumberFormat="1" applyFont="1" applyFill="1" applyAlignment="1">
      <alignment horizontal="right" indent="1"/>
    </xf>
    <xf numFmtId="3" fontId="14" fillId="6" borderId="0" xfId="0" applyNumberFormat="1" applyFont="1" applyFill="1" applyAlignment="1">
      <alignment horizontal="right" indent="1"/>
    </xf>
    <xf numFmtId="0" fontId="15" fillId="6" borderId="0" xfId="0" applyFont="1" applyFill="1"/>
    <xf numFmtId="164" fontId="16" fillId="6" borderId="0" xfId="0" applyNumberFormat="1" applyFont="1" applyFill="1" applyAlignment="1">
      <alignment horizontal="right" indent="1"/>
    </xf>
    <xf numFmtId="3" fontId="16" fillId="6" borderId="0" xfId="0" applyNumberFormat="1" applyFont="1" applyFill="1" applyAlignment="1">
      <alignment horizontal="right" indent="1"/>
    </xf>
    <xf numFmtId="0" fontId="17" fillId="6" borderId="0" xfId="0" applyFont="1" applyFill="1" applyAlignment="1">
      <alignment horizontal="left"/>
    </xf>
    <xf numFmtId="0" fontId="16" fillId="6" borderId="0" xfId="0" applyFont="1" applyFill="1" applyAlignment="1">
      <alignment horizontal="left"/>
    </xf>
    <xf numFmtId="3" fontId="15" fillId="6" borderId="0" xfId="0" applyNumberFormat="1" applyFont="1" applyFill="1"/>
    <xf numFmtId="3" fontId="0" fillId="0" borderId="0" xfId="0" applyNumberFormat="1"/>
    <xf numFmtId="165" fontId="0" fillId="0" borderId="0" xfId="0" applyNumberFormat="1"/>
    <xf numFmtId="166" fontId="0" fillId="0" borderId="0" xfId="0" applyNumberFormat="1"/>
    <xf numFmtId="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6"/>
  <sheetViews>
    <sheetView tabSelected="1" workbookViewId="0"/>
  </sheetViews>
  <sheetFormatPr defaultRowHeight="15" x14ac:dyDescent="0.25"/>
  <cols>
    <col min="1" max="1" width="90" customWidth="1"/>
    <col min="2" max="2" width="24" customWidth="1"/>
  </cols>
  <sheetData>
    <row r="1" spans="1:2" ht="18.75" x14ac:dyDescent="0.3">
      <c r="A1" s="1" t="s">
        <v>0</v>
      </c>
      <c r="B1" s="2" t="s">
        <v>180</v>
      </c>
    </row>
    <row r="2" spans="1:2" x14ac:dyDescent="0.25">
      <c r="A2" s="3" t="s">
        <v>2</v>
      </c>
      <c r="B2" s="4" t="str">
        <f>IFERROR(INDEX(Geography!B:B, MATCH($B$1, Geography!C:C, 0)), "")</f>
        <v>WA</v>
      </c>
    </row>
    <row r="3" spans="1:2" x14ac:dyDescent="0.25">
      <c r="A3" s="4" t="s">
        <v>3</v>
      </c>
    </row>
    <row r="5" spans="1:2" x14ac:dyDescent="0.25">
      <c r="A5" t="s">
        <v>4</v>
      </c>
    </row>
    <row r="6" spans="1:2" x14ac:dyDescent="0.25">
      <c r="A6" t="s">
        <v>5</v>
      </c>
    </row>
    <row r="7" spans="1:2" x14ac:dyDescent="0.25">
      <c r="A7" t="s">
        <v>6</v>
      </c>
    </row>
    <row r="8" spans="1:2" x14ac:dyDescent="0.25">
      <c r="A8" t="s">
        <v>7</v>
      </c>
    </row>
    <row r="9" spans="1:2" x14ac:dyDescent="0.25">
      <c r="A9" t="s">
        <v>8</v>
      </c>
    </row>
    <row r="10" spans="1:2" x14ac:dyDescent="0.25">
      <c r="A10" t="s">
        <v>9</v>
      </c>
    </row>
    <row r="11" spans="1:2" x14ac:dyDescent="0.25">
      <c r="A11" t="s">
        <v>10</v>
      </c>
    </row>
    <row r="13" spans="1:2" x14ac:dyDescent="0.25">
      <c r="A13" t="s">
        <v>11</v>
      </c>
    </row>
    <row r="14" spans="1:2" x14ac:dyDescent="0.25">
      <c r="A14" t="s">
        <v>12</v>
      </c>
    </row>
    <row r="15" spans="1:2" x14ac:dyDescent="0.25">
      <c r="A15" t="s">
        <v>13</v>
      </c>
    </row>
    <row r="16" spans="1:2" x14ac:dyDescent="0.25">
      <c r="A16" t="s">
        <v>14</v>
      </c>
    </row>
    <row r="17" spans="1:1" x14ac:dyDescent="0.25">
      <c r="A17" t="s">
        <v>15</v>
      </c>
    </row>
    <row r="18" spans="1:1" x14ac:dyDescent="0.25">
      <c r="A18" t="s">
        <v>16</v>
      </c>
    </row>
    <row r="20" spans="1:1" x14ac:dyDescent="0.25">
      <c r="A20" t="s">
        <v>17</v>
      </c>
    </row>
    <row r="21" spans="1:1" x14ac:dyDescent="0.25">
      <c r="A21" t="s">
        <v>18</v>
      </c>
    </row>
    <row r="22" spans="1:1" x14ac:dyDescent="0.25">
      <c r="A22" t="s">
        <v>19</v>
      </c>
    </row>
    <row r="23" spans="1:1" x14ac:dyDescent="0.25">
      <c r="A23" t="s">
        <v>20</v>
      </c>
    </row>
    <row r="24" spans="1:1" x14ac:dyDescent="0.25">
      <c r="A24" t="s">
        <v>21</v>
      </c>
    </row>
    <row r="25" spans="1:1" x14ac:dyDescent="0.25">
      <c r="A25" t="s">
        <v>22</v>
      </c>
    </row>
    <row r="26" spans="1:1" x14ac:dyDescent="0.25">
      <c r="A26" t="s">
        <v>23</v>
      </c>
    </row>
    <row r="27" spans="1:1" x14ac:dyDescent="0.25">
      <c r="A27" t="s">
        <v>24</v>
      </c>
    </row>
    <row r="28" spans="1:1" x14ac:dyDescent="0.25">
      <c r="A28" t="s">
        <v>25</v>
      </c>
    </row>
    <row r="29" spans="1:1" x14ac:dyDescent="0.25">
      <c r="A29" t="s">
        <v>26</v>
      </c>
    </row>
    <row r="30" spans="1:1" x14ac:dyDescent="0.25">
      <c r="A30" t="s">
        <v>27</v>
      </c>
    </row>
    <row r="32" spans="1:1" x14ac:dyDescent="0.25">
      <c r="A32" t="s">
        <v>28</v>
      </c>
    </row>
    <row r="33" spans="1:1" x14ac:dyDescent="0.25">
      <c r="A33" t="s">
        <v>29</v>
      </c>
    </row>
    <row r="34" spans="1:1" x14ac:dyDescent="0.25">
      <c r="A34" t="s">
        <v>30</v>
      </c>
    </row>
    <row r="36" spans="1:1" x14ac:dyDescent="0.25">
      <c r="A36" t="s">
        <v>31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9"/>
  <sheetViews>
    <sheetView workbookViewId="0">
      <pane ySplit="1" topLeftCell="A2" activePane="bottomLeft" state="frozen"/>
      <selection pane="bottomLeft"/>
    </sheetView>
  </sheetViews>
  <sheetFormatPr defaultRowHeight="15" x14ac:dyDescent="0.25"/>
  <cols>
    <col min="1" max="2" width="10" customWidth="1"/>
    <col min="3" max="3" width="22" customWidth="1"/>
    <col min="4" max="4" width="14" customWidth="1"/>
    <col min="5" max="5" width="22" customWidth="1"/>
  </cols>
  <sheetData>
    <row r="1" spans="1:5" x14ac:dyDescent="0.25">
      <c r="A1" s="5" t="s">
        <v>32</v>
      </c>
      <c r="B1" s="5" t="s">
        <v>33</v>
      </c>
      <c r="C1" s="5" t="s">
        <v>34</v>
      </c>
      <c r="D1" s="5" t="s">
        <v>35</v>
      </c>
      <c r="E1" s="5" t="s">
        <v>36</v>
      </c>
    </row>
    <row r="2" spans="1:5" x14ac:dyDescent="0.25">
      <c r="A2" t="s">
        <v>37</v>
      </c>
      <c r="B2" t="s">
        <v>38</v>
      </c>
      <c r="C2" t="s">
        <v>1</v>
      </c>
      <c r="D2">
        <v>6</v>
      </c>
      <c r="E2" t="s">
        <v>39</v>
      </c>
    </row>
    <row r="3" spans="1:5" x14ac:dyDescent="0.25">
      <c r="A3" t="s">
        <v>40</v>
      </c>
      <c r="B3" t="s">
        <v>41</v>
      </c>
      <c r="C3" t="s">
        <v>42</v>
      </c>
      <c r="D3">
        <v>9</v>
      </c>
      <c r="E3" t="s">
        <v>43</v>
      </c>
    </row>
    <row r="4" spans="1:5" x14ac:dyDescent="0.25">
      <c r="A4" t="s">
        <v>44</v>
      </c>
      <c r="B4" t="s">
        <v>45</v>
      </c>
      <c r="C4" t="s">
        <v>46</v>
      </c>
      <c r="D4">
        <v>7</v>
      </c>
      <c r="E4" t="s">
        <v>47</v>
      </c>
    </row>
    <row r="5" spans="1:5" x14ac:dyDescent="0.25">
      <c r="A5" t="s">
        <v>48</v>
      </c>
      <c r="B5" t="s">
        <v>49</v>
      </c>
      <c r="C5" t="s">
        <v>50</v>
      </c>
      <c r="D5">
        <v>10</v>
      </c>
      <c r="E5" t="s">
        <v>51</v>
      </c>
    </row>
    <row r="6" spans="1:5" x14ac:dyDescent="0.25">
      <c r="A6" t="s">
        <v>52</v>
      </c>
      <c r="B6" t="s">
        <v>53</v>
      </c>
      <c r="C6" t="s">
        <v>54</v>
      </c>
      <c r="D6">
        <v>8</v>
      </c>
      <c r="E6" t="s">
        <v>55</v>
      </c>
    </row>
    <row r="7" spans="1:5" x14ac:dyDescent="0.25">
      <c r="A7" t="s">
        <v>56</v>
      </c>
      <c r="B7" t="s">
        <v>57</v>
      </c>
      <c r="C7" t="s">
        <v>58</v>
      </c>
      <c r="D7">
        <v>1</v>
      </c>
      <c r="E7" t="s">
        <v>59</v>
      </c>
    </row>
    <row r="8" spans="1:5" x14ac:dyDescent="0.25">
      <c r="A8" t="s">
        <v>60</v>
      </c>
      <c r="B8" t="s">
        <v>61</v>
      </c>
      <c r="C8" t="s">
        <v>62</v>
      </c>
      <c r="D8">
        <v>5</v>
      </c>
      <c r="E8" t="s">
        <v>63</v>
      </c>
    </row>
    <row r="9" spans="1:5" x14ac:dyDescent="0.25">
      <c r="A9" t="s">
        <v>64</v>
      </c>
      <c r="B9" t="s">
        <v>65</v>
      </c>
      <c r="C9" t="s">
        <v>66</v>
      </c>
      <c r="D9">
        <v>5</v>
      </c>
      <c r="E9" t="s">
        <v>63</v>
      </c>
    </row>
    <row r="10" spans="1:5" x14ac:dyDescent="0.25">
      <c r="A10" t="s">
        <v>67</v>
      </c>
      <c r="B10" t="s">
        <v>68</v>
      </c>
      <c r="C10" t="s">
        <v>69</v>
      </c>
      <c r="D10">
        <v>5</v>
      </c>
      <c r="E10" t="s">
        <v>63</v>
      </c>
    </row>
    <row r="11" spans="1:5" x14ac:dyDescent="0.25">
      <c r="A11" t="s">
        <v>70</v>
      </c>
      <c r="B11" t="s">
        <v>71</v>
      </c>
      <c r="C11" t="s">
        <v>72</v>
      </c>
      <c r="D11">
        <v>8</v>
      </c>
      <c r="E11" t="s">
        <v>55</v>
      </c>
    </row>
    <row r="12" spans="1:5" x14ac:dyDescent="0.25">
      <c r="A12" t="s">
        <v>73</v>
      </c>
      <c r="B12" t="s">
        <v>74</v>
      </c>
      <c r="C12" t="s">
        <v>75</v>
      </c>
      <c r="D12">
        <v>3</v>
      </c>
      <c r="E12" t="s">
        <v>76</v>
      </c>
    </row>
    <row r="13" spans="1:5" x14ac:dyDescent="0.25">
      <c r="A13" t="s">
        <v>77</v>
      </c>
      <c r="B13" t="s">
        <v>78</v>
      </c>
      <c r="C13" t="s">
        <v>79</v>
      </c>
      <c r="D13">
        <v>3</v>
      </c>
      <c r="E13" t="s">
        <v>76</v>
      </c>
    </row>
    <row r="14" spans="1:5" x14ac:dyDescent="0.25">
      <c r="A14" t="s">
        <v>80</v>
      </c>
      <c r="B14" t="s">
        <v>81</v>
      </c>
      <c r="C14" t="s">
        <v>82</v>
      </c>
      <c r="D14">
        <v>4</v>
      </c>
      <c r="E14" t="s">
        <v>83</v>
      </c>
    </row>
    <row r="15" spans="1:5" x14ac:dyDescent="0.25">
      <c r="A15" t="s">
        <v>84</v>
      </c>
      <c r="B15" t="s">
        <v>85</v>
      </c>
      <c r="C15" t="s">
        <v>86</v>
      </c>
      <c r="D15">
        <v>4</v>
      </c>
      <c r="E15" t="s">
        <v>83</v>
      </c>
    </row>
    <row r="16" spans="1:5" x14ac:dyDescent="0.25">
      <c r="A16" t="s">
        <v>87</v>
      </c>
      <c r="B16" t="s">
        <v>88</v>
      </c>
      <c r="C16" t="s">
        <v>89</v>
      </c>
      <c r="D16">
        <v>6</v>
      </c>
      <c r="E16" t="s">
        <v>39</v>
      </c>
    </row>
    <row r="17" spans="1:5" x14ac:dyDescent="0.25">
      <c r="A17" t="s">
        <v>90</v>
      </c>
      <c r="B17" t="s">
        <v>91</v>
      </c>
      <c r="C17" t="s">
        <v>92</v>
      </c>
      <c r="D17">
        <v>7</v>
      </c>
      <c r="E17" t="s">
        <v>47</v>
      </c>
    </row>
    <row r="18" spans="1:5" x14ac:dyDescent="0.25">
      <c r="A18" t="s">
        <v>93</v>
      </c>
      <c r="B18" t="s">
        <v>94</v>
      </c>
      <c r="C18" t="s">
        <v>95</v>
      </c>
      <c r="D18">
        <v>1</v>
      </c>
      <c r="E18" t="s">
        <v>59</v>
      </c>
    </row>
    <row r="19" spans="1:5" x14ac:dyDescent="0.25">
      <c r="A19" t="s">
        <v>96</v>
      </c>
      <c r="B19" t="s">
        <v>97</v>
      </c>
      <c r="C19" t="s">
        <v>98</v>
      </c>
      <c r="D19">
        <v>5</v>
      </c>
      <c r="E19" t="s">
        <v>63</v>
      </c>
    </row>
    <row r="20" spans="1:5" x14ac:dyDescent="0.25">
      <c r="A20" t="s">
        <v>99</v>
      </c>
      <c r="B20" t="s">
        <v>100</v>
      </c>
      <c r="C20" t="s">
        <v>101</v>
      </c>
      <c r="D20">
        <v>1</v>
      </c>
      <c r="E20" t="s">
        <v>59</v>
      </c>
    </row>
    <row r="21" spans="1:5" x14ac:dyDescent="0.25">
      <c r="A21" t="s">
        <v>102</v>
      </c>
      <c r="B21" t="s">
        <v>103</v>
      </c>
      <c r="C21" t="s">
        <v>104</v>
      </c>
      <c r="D21">
        <v>3</v>
      </c>
      <c r="E21" t="s">
        <v>76</v>
      </c>
    </row>
    <row r="22" spans="1:5" x14ac:dyDescent="0.25">
      <c r="A22" t="s">
        <v>105</v>
      </c>
      <c r="B22" t="s">
        <v>106</v>
      </c>
      <c r="C22" t="s">
        <v>107</v>
      </c>
      <c r="D22">
        <v>4</v>
      </c>
      <c r="E22" t="s">
        <v>83</v>
      </c>
    </row>
    <row r="23" spans="1:5" x14ac:dyDescent="0.25">
      <c r="A23" t="s">
        <v>108</v>
      </c>
      <c r="B23" t="s">
        <v>109</v>
      </c>
      <c r="C23" t="s">
        <v>110</v>
      </c>
      <c r="D23">
        <v>6</v>
      </c>
      <c r="E23" t="s">
        <v>39</v>
      </c>
    </row>
    <row r="24" spans="1:5" x14ac:dyDescent="0.25">
      <c r="A24" t="s">
        <v>111</v>
      </c>
      <c r="B24" t="s">
        <v>112</v>
      </c>
      <c r="C24" t="s">
        <v>113</v>
      </c>
      <c r="D24">
        <v>4</v>
      </c>
      <c r="E24" t="s">
        <v>83</v>
      </c>
    </row>
    <row r="25" spans="1:5" x14ac:dyDescent="0.25">
      <c r="A25" t="s">
        <v>114</v>
      </c>
      <c r="B25" t="s">
        <v>115</v>
      </c>
      <c r="C25" t="s">
        <v>116</v>
      </c>
      <c r="D25">
        <v>8</v>
      </c>
      <c r="E25" t="s">
        <v>55</v>
      </c>
    </row>
    <row r="26" spans="1:5" x14ac:dyDescent="0.25">
      <c r="A26" t="s">
        <v>117</v>
      </c>
      <c r="B26" t="s">
        <v>118</v>
      </c>
      <c r="C26" t="s">
        <v>119</v>
      </c>
      <c r="D26">
        <v>4</v>
      </c>
      <c r="E26" t="s">
        <v>83</v>
      </c>
    </row>
    <row r="27" spans="1:5" x14ac:dyDescent="0.25">
      <c r="A27" t="s">
        <v>120</v>
      </c>
      <c r="B27" t="s">
        <v>121</v>
      </c>
      <c r="C27" t="s">
        <v>122</v>
      </c>
      <c r="D27">
        <v>9</v>
      </c>
      <c r="E27" t="s">
        <v>43</v>
      </c>
    </row>
    <row r="28" spans="1:5" x14ac:dyDescent="0.25">
      <c r="A28" t="s">
        <v>123</v>
      </c>
      <c r="B28" t="s">
        <v>124</v>
      </c>
      <c r="C28" t="s">
        <v>125</v>
      </c>
      <c r="D28">
        <v>1</v>
      </c>
      <c r="E28" t="s">
        <v>59</v>
      </c>
    </row>
    <row r="29" spans="1:5" x14ac:dyDescent="0.25">
      <c r="A29" t="s">
        <v>126</v>
      </c>
      <c r="B29" t="s">
        <v>127</v>
      </c>
      <c r="C29" t="s">
        <v>128</v>
      </c>
      <c r="D29">
        <v>2</v>
      </c>
      <c r="E29" t="s">
        <v>129</v>
      </c>
    </row>
    <row r="30" spans="1:5" x14ac:dyDescent="0.25">
      <c r="A30" t="s">
        <v>130</v>
      </c>
      <c r="B30" t="s">
        <v>131</v>
      </c>
      <c r="C30" t="s">
        <v>132</v>
      </c>
      <c r="D30">
        <v>9</v>
      </c>
      <c r="E30" t="s">
        <v>43</v>
      </c>
    </row>
    <row r="31" spans="1:5" x14ac:dyDescent="0.25">
      <c r="A31" t="s">
        <v>133</v>
      </c>
      <c r="B31" t="s">
        <v>134</v>
      </c>
      <c r="C31" t="s">
        <v>135</v>
      </c>
      <c r="D31">
        <v>2</v>
      </c>
      <c r="E31" t="s">
        <v>129</v>
      </c>
    </row>
    <row r="32" spans="1:5" x14ac:dyDescent="0.25">
      <c r="A32" t="s">
        <v>136</v>
      </c>
      <c r="B32" t="s">
        <v>137</v>
      </c>
      <c r="C32" t="s">
        <v>138</v>
      </c>
      <c r="D32">
        <v>5</v>
      </c>
      <c r="E32" t="s">
        <v>63</v>
      </c>
    </row>
    <row r="33" spans="1:5" x14ac:dyDescent="0.25">
      <c r="A33" t="s">
        <v>139</v>
      </c>
      <c r="B33" t="s">
        <v>140</v>
      </c>
      <c r="C33" t="s">
        <v>141</v>
      </c>
      <c r="D33">
        <v>4</v>
      </c>
      <c r="E33" t="s">
        <v>83</v>
      </c>
    </row>
    <row r="34" spans="1:5" x14ac:dyDescent="0.25">
      <c r="A34" t="s">
        <v>142</v>
      </c>
      <c r="B34" t="s">
        <v>143</v>
      </c>
      <c r="C34" t="s">
        <v>144</v>
      </c>
      <c r="D34">
        <v>3</v>
      </c>
      <c r="E34" t="s">
        <v>76</v>
      </c>
    </row>
    <row r="35" spans="1:5" x14ac:dyDescent="0.25">
      <c r="A35" t="s">
        <v>145</v>
      </c>
      <c r="B35" t="s">
        <v>146</v>
      </c>
      <c r="C35" t="s">
        <v>147</v>
      </c>
      <c r="D35">
        <v>7</v>
      </c>
      <c r="E35" t="s">
        <v>47</v>
      </c>
    </row>
    <row r="36" spans="1:5" x14ac:dyDescent="0.25">
      <c r="A36" t="s">
        <v>148</v>
      </c>
      <c r="B36" t="s">
        <v>149</v>
      </c>
      <c r="C36" t="s">
        <v>150</v>
      </c>
      <c r="D36">
        <v>10</v>
      </c>
      <c r="E36" t="s">
        <v>51</v>
      </c>
    </row>
    <row r="37" spans="1:5" x14ac:dyDescent="0.25">
      <c r="A37" t="s">
        <v>151</v>
      </c>
      <c r="B37" t="s">
        <v>152</v>
      </c>
      <c r="C37" t="s">
        <v>153</v>
      </c>
      <c r="D37">
        <v>2</v>
      </c>
      <c r="E37" t="s">
        <v>129</v>
      </c>
    </row>
    <row r="38" spans="1:5" x14ac:dyDescent="0.25">
      <c r="A38" t="s">
        <v>154</v>
      </c>
      <c r="B38" t="s">
        <v>155</v>
      </c>
      <c r="C38" t="s">
        <v>156</v>
      </c>
      <c r="D38">
        <v>1</v>
      </c>
      <c r="E38" t="s">
        <v>59</v>
      </c>
    </row>
    <row r="39" spans="1:5" x14ac:dyDescent="0.25">
      <c r="A39" t="s">
        <v>157</v>
      </c>
      <c r="B39" t="s">
        <v>158</v>
      </c>
      <c r="C39" t="s">
        <v>159</v>
      </c>
      <c r="D39">
        <v>5</v>
      </c>
      <c r="E39" t="s">
        <v>63</v>
      </c>
    </row>
    <row r="40" spans="1:5" x14ac:dyDescent="0.25">
      <c r="A40" t="s">
        <v>160</v>
      </c>
      <c r="B40" t="s">
        <v>161</v>
      </c>
      <c r="C40" t="s">
        <v>162</v>
      </c>
      <c r="D40">
        <v>4</v>
      </c>
      <c r="E40" t="s">
        <v>83</v>
      </c>
    </row>
    <row r="41" spans="1:5" x14ac:dyDescent="0.25">
      <c r="A41" t="s">
        <v>163</v>
      </c>
      <c r="B41" t="s">
        <v>164</v>
      </c>
      <c r="C41" t="s">
        <v>165</v>
      </c>
      <c r="D41">
        <v>6</v>
      </c>
      <c r="E41" t="s">
        <v>39</v>
      </c>
    </row>
    <row r="42" spans="1:5" x14ac:dyDescent="0.25">
      <c r="A42" t="s">
        <v>166</v>
      </c>
      <c r="B42" t="s">
        <v>167</v>
      </c>
      <c r="C42" t="s">
        <v>168</v>
      </c>
      <c r="D42">
        <v>7</v>
      </c>
      <c r="E42" t="s">
        <v>47</v>
      </c>
    </row>
    <row r="43" spans="1:5" x14ac:dyDescent="0.25">
      <c r="A43" t="s">
        <v>169</v>
      </c>
      <c r="B43" t="s">
        <v>170</v>
      </c>
      <c r="C43" t="s">
        <v>171</v>
      </c>
      <c r="D43">
        <v>8</v>
      </c>
      <c r="E43" t="s">
        <v>55</v>
      </c>
    </row>
    <row r="44" spans="1:5" x14ac:dyDescent="0.25">
      <c r="A44" t="s">
        <v>172</v>
      </c>
      <c r="B44" t="s">
        <v>173</v>
      </c>
      <c r="C44" t="s">
        <v>174</v>
      </c>
      <c r="D44">
        <v>1</v>
      </c>
      <c r="E44" t="s">
        <v>59</v>
      </c>
    </row>
    <row r="45" spans="1:5" x14ac:dyDescent="0.25">
      <c r="A45" t="s">
        <v>175</v>
      </c>
      <c r="B45" t="s">
        <v>176</v>
      </c>
      <c r="C45" t="s">
        <v>177</v>
      </c>
      <c r="D45">
        <v>5</v>
      </c>
      <c r="E45" t="s">
        <v>63</v>
      </c>
    </row>
    <row r="46" spans="1:5" x14ac:dyDescent="0.25">
      <c r="A46" t="s">
        <v>178</v>
      </c>
      <c r="B46" t="s">
        <v>179</v>
      </c>
      <c r="C46" t="s">
        <v>180</v>
      </c>
      <c r="D46">
        <v>10</v>
      </c>
      <c r="E46" t="s">
        <v>51</v>
      </c>
    </row>
    <row r="47" spans="1:5" x14ac:dyDescent="0.25">
      <c r="A47" t="s">
        <v>181</v>
      </c>
      <c r="B47" t="s">
        <v>182</v>
      </c>
      <c r="C47" t="s">
        <v>183</v>
      </c>
      <c r="D47">
        <v>5</v>
      </c>
      <c r="E47" t="s">
        <v>63</v>
      </c>
    </row>
    <row r="48" spans="1:5" x14ac:dyDescent="0.25">
      <c r="A48" t="s">
        <v>184</v>
      </c>
      <c r="B48" t="s">
        <v>185</v>
      </c>
      <c r="C48" t="s">
        <v>186</v>
      </c>
      <c r="D48">
        <v>3</v>
      </c>
      <c r="E48" t="s">
        <v>76</v>
      </c>
    </row>
    <row r="49" spans="1:5" x14ac:dyDescent="0.25">
      <c r="A49" t="s">
        <v>187</v>
      </c>
      <c r="B49" t="s">
        <v>188</v>
      </c>
      <c r="C49" t="s">
        <v>189</v>
      </c>
      <c r="D49">
        <v>8</v>
      </c>
      <c r="E49" t="s">
        <v>55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9"/>
  <sheetViews>
    <sheetView workbookViewId="0">
      <pane xSplit="1" ySplit="1" topLeftCell="B2" activePane="bottomRight" state="frozen"/>
      <selection pane="topRight"/>
      <selection pane="bottomLeft"/>
      <selection pane="bottomRight"/>
    </sheetView>
  </sheetViews>
  <sheetFormatPr defaultRowHeight="15" x14ac:dyDescent="0.25"/>
  <cols>
    <col min="1" max="1" width="14" customWidth="1"/>
    <col min="2" max="25" width="10" customWidth="1"/>
  </cols>
  <sheetData>
    <row r="1" spans="1:25" x14ac:dyDescent="0.25">
      <c r="A1" s="5" t="s">
        <v>190</v>
      </c>
      <c r="B1" s="5" t="s">
        <v>191</v>
      </c>
      <c r="C1" s="5" t="s">
        <v>192</v>
      </c>
      <c r="D1" s="5" t="s">
        <v>193</v>
      </c>
      <c r="E1" s="5" t="s">
        <v>194</v>
      </c>
      <c r="F1" s="5" t="s">
        <v>195</v>
      </c>
      <c r="G1" s="5" t="s">
        <v>196</v>
      </c>
      <c r="H1" s="5" t="s">
        <v>197</v>
      </c>
      <c r="I1" s="5" t="s">
        <v>198</v>
      </c>
      <c r="J1" s="5" t="s">
        <v>199</v>
      </c>
      <c r="K1" s="5" t="s">
        <v>200</v>
      </c>
      <c r="L1" s="5" t="s">
        <v>201</v>
      </c>
      <c r="M1" s="5" t="s">
        <v>202</v>
      </c>
      <c r="N1" s="5" t="s">
        <v>203</v>
      </c>
      <c r="O1" s="5" t="s">
        <v>204</v>
      </c>
      <c r="P1" s="5" t="s">
        <v>205</v>
      </c>
      <c r="Q1" s="5" t="s">
        <v>206</v>
      </c>
      <c r="R1" s="5" t="s">
        <v>207</v>
      </c>
      <c r="S1" s="5" t="s">
        <v>208</v>
      </c>
      <c r="T1" s="5" t="s">
        <v>209</v>
      </c>
      <c r="U1" s="5" t="s">
        <v>210</v>
      </c>
      <c r="V1" s="5" t="s">
        <v>211</v>
      </c>
      <c r="W1" s="5" t="s">
        <v>212</v>
      </c>
      <c r="X1" s="5" t="s">
        <v>213</v>
      </c>
      <c r="Y1" s="5" t="s">
        <v>214</v>
      </c>
    </row>
    <row r="2" spans="1:25" x14ac:dyDescent="0.25">
      <c r="A2" s="4" t="s">
        <v>215</v>
      </c>
      <c r="B2" s="6">
        <v>1</v>
      </c>
      <c r="C2" s="6">
        <v>0</v>
      </c>
      <c r="I2" s="6">
        <v>1</v>
      </c>
      <c r="J2" s="6">
        <v>0</v>
      </c>
      <c r="K2" s="6">
        <v>1</v>
      </c>
      <c r="L2" s="6">
        <v>2</v>
      </c>
      <c r="M2" s="6">
        <v>3</v>
      </c>
      <c r="N2" s="6">
        <v>4</v>
      </c>
      <c r="O2" s="6">
        <v>5</v>
      </c>
      <c r="P2" s="6">
        <v>6</v>
      </c>
      <c r="Q2" s="6">
        <v>1</v>
      </c>
      <c r="R2" s="6">
        <v>0</v>
      </c>
      <c r="S2" s="6">
        <v>0</v>
      </c>
    </row>
    <row r="3" spans="1:25" x14ac:dyDescent="0.25">
      <c r="A3" s="4" t="s">
        <v>216</v>
      </c>
      <c r="B3" s="6">
        <v>2</v>
      </c>
      <c r="C3" s="6">
        <v>0</v>
      </c>
      <c r="I3" s="6">
        <v>2</v>
      </c>
      <c r="J3" s="6">
        <v>0</v>
      </c>
      <c r="K3" s="6">
        <v>1</v>
      </c>
      <c r="L3" s="6">
        <v>2</v>
      </c>
      <c r="M3" s="6">
        <v>3</v>
      </c>
      <c r="N3" s="6">
        <v>4</v>
      </c>
      <c r="O3" s="6">
        <v>5</v>
      </c>
      <c r="P3" s="6">
        <v>6</v>
      </c>
      <c r="Q3" s="6">
        <v>2</v>
      </c>
      <c r="R3" s="6">
        <v>0</v>
      </c>
      <c r="S3" s="6">
        <v>0</v>
      </c>
    </row>
    <row r="4" spans="1:25" x14ac:dyDescent="0.25">
      <c r="A4" s="4" t="s">
        <v>217</v>
      </c>
      <c r="B4" s="6">
        <v>0</v>
      </c>
      <c r="C4" s="6">
        <v>1</v>
      </c>
      <c r="I4" s="6">
        <v>0</v>
      </c>
      <c r="J4" s="6">
        <v>0</v>
      </c>
      <c r="K4" s="6">
        <v>1</v>
      </c>
      <c r="Q4" s="6">
        <v>0</v>
      </c>
      <c r="R4" s="6">
        <v>0</v>
      </c>
      <c r="S4" s="6">
        <v>1</v>
      </c>
    </row>
    <row r="5" spans="1:25" x14ac:dyDescent="0.25">
      <c r="A5" s="4" t="s">
        <v>218</v>
      </c>
      <c r="B5" s="6">
        <v>0</v>
      </c>
      <c r="C5" s="6">
        <v>2</v>
      </c>
      <c r="I5" s="6">
        <v>0</v>
      </c>
      <c r="J5" s="6">
        <v>0</v>
      </c>
      <c r="K5" s="6">
        <v>2</v>
      </c>
      <c r="Q5" s="6">
        <v>0</v>
      </c>
      <c r="R5" s="6">
        <v>0</v>
      </c>
      <c r="S5" s="6">
        <v>2</v>
      </c>
    </row>
    <row r="6" spans="1:25" x14ac:dyDescent="0.25">
      <c r="A6" s="4" t="s">
        <v>219</v>
      </c>
      <c r="B6" s="6">
        <v>0</v>
      </c>
      <c r="C6" s="6">
        <v>4</v>
      </c>
      <c r="I6" s="6">
        <v>0</v>
      </c>
      <c r="J6" s="6">
        <v>0</v>
      </c>
      <c r="K6" s="6">
        <v>4</v>
      </c>
      <c r="Q6" s="6">
        <v>0</v>
      </c>
      <c r="R6" s="6">
        <v>0</v>
      </c>
      <c r="S6" s="6">
        <v>4</v>
      </c>
    </row>
    <row r="7" spans="1:25" x14ac:dyDescent="0.25">
      <c r="A7" s="4" t="s">
        <v>220</v>
      </c>
      <c r="B7" s="6">
        <v>0</v>
      </c>
      <c r="C7" s="6">
        <v>3</v>
      </c>
      <c r="D7" s="6">
        <v>5</v>
      </c>
      <c r="E7" s="6">
        <v>6</v>
      </c>
      <c r="I7" s="6">
        <v>0</v>
      </c>
      <c r="J7" s="6">
        <v>0</v>
      </c>
      <c r="K7" s="6">
        <v>3</v>
      </c>
      <c r="L7" s="6">
        <v>5</v>
      </c>
      <c r="M7" s="6">
        <v>6</v>
      </c>
      <c r="Q7" s="6">
        <v>0</v>
      </c>
      <c r="R7" s="6">
        <v>0</v>
      </c>
      <c r="S7" s="6">
        <v>3</v>
      </c>
      <c r="T7" s="6">
        <v>5</v>
      </c>
      <c r="U7" s="6">
        <v>6</v>
      </c>
    </row>
    <row r="8" spans="1:25" x14ac:dyDescent="0.25">
      <c r="A8" s="4" t="s">
        <v>221</v>
      </c>
      <c r="B8" s="6">
        <v>0</v>
      </c>
      <c r="C8" s="6">
        <v>8</v>
      </c>
      <c r="I8" s="6">
        <v>0</v>
      </c>
      <c r="J8" s="6">
        <v>2</v>
      </c>
      <c r="K8" s="6">
        <v>1</v>
      </c>
      <c r="L8" s="6">
        <v>2</v>
      </c>
      <c r="M8" s="6">
        <v>3</v>
      </c>
      <c r="N8" s="6">
        <v>4</v>
      </c>
      <c r="O8" s="6">
        <v>5</v>
      </c>
      <c r="P8" s="6">
        <v>6</v>
      </c>
      <c r="Q8" s="6">
        <v>0</v>
      </c>
      <c r="R8" s="6">
        <v>2</v>
      </c>
      <c r="S8" s="6">
        <v>0</v>
      </c>
    </row>
    <row r="9" spans="1:25" x14ac:dyDescent="0.25">
      <c r="A9" s="4" t="s">
        <v>222</v>
      </c>
      <c r="B9" s="6">
        <v>0</v>
      </c>
      <c r="C9" s="6">
        <v>7</v>
      </c>
      <c r="I9" s="6">
        <v>0</v>
      </c>
      <c r="J9" s="6">
        <v>1</v>
      </c>
      <c r="K9" s="6">
        <v>1</v>
      </c>
      <c r="L9" s="6">
        <v>2</v>
      </c>
      <c r="M9" s="6">
        <v>3</v>
      </c>
      <c r="N9" s="6">
        <v>4</v>
      </c>
      <c r="O9" s="6">
        <v>5</v>
      </c>
      <c r="P9" s="6">
        <v>6</v>
      </c>
      <c r="Q9" s="6">
        <v>0</v>
      </c>
      <c r="R9" s="6">
        <v>1</v>
      </c>
      <c r="S9" s="6">
        <v>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811"/>
  <sheetViews>
    <sheetView workbookViewId="0">
      <pane ySplit="1" topLeftCell="A2" activePane="bottomLeft" state="frozen"/>
      <selection pane="bottomLeft"/>
    </sheetView>
  </sheetViews>
  <sheetFormatPr defaultRowHeight="15" x14ac:dyDescent="0.25"/>
  <cols>
    <col min="1" max="1" width="12" customWidth="1"/>
    <col min="2" max="3" width="8" customWidth="1"/>
    <col min="4" max="4" width="16" customWidth="1"/>
    <col min="5" max="5" width="14" customWidth="1"/>
    <col min="6" max="6" width="18" customWidth="1"/>
  </cols>
  <sheetData>
    <row r="1" spans="1:6" x14ac:dyDescent="0.25">
      <c r="A1" s="5" t="s">
        <v>223</v>
      </c>
      <c r="B1" s="5" t="s">
        <v>224</v>
      </c>
      <c r="C1" s="5" t="s">
        <v>225</v>
      </c>
      <c r="D1" s="5" t="s">
        <v>226</v>
      </c>
      <c r="E1" s="5" t="s">
        <v>227</v>
      </c>
      <c r="F1" s="5" t="s">
        <v>228</v>
      </c>
    </row>
    <row r="2" spans="1:6" x14ac:dyDescent="0.25">
      <c r="A2">
        <v>0</v>
      </c>
      <c r="B2">
        <v>0</v>
      </c>
      <c r="C2">
        <v>2024</v>
      </c>
      <c r="D2">
        <v>2911571</v>
      </c>
      <c r="E2">
        <v>16915</v>
      </c>
      <c r="F2">
        <f t="shared" ref="F2:F65" si="0">D2-E2</f>
        <v>2894656</v>
      </c>
    </row>
    <row r="3" spans="1:6" x14ac:dyDescent="0.25">
      <c r="A3">
        <v>0</v>
      </c>
      <c r="B3">
        <v>0</v>
      </c>
      <c r="C3">
        <v>2025</v>
      </c>
      <c r="D3">
        <v>2960487</v>
      </c>
      <c r="E3">
        <v>16803</v>
      </c>
      <c r="F3">
        <f t="shared" si="0"/>
        <v>2943684</v>
      </c>
    </row>
    <row r="4" spans="1:6" x14ac:dyDescent="0.25">
      <c r="A4">
        <v>0</v>
      </c>
      <c r="B4">
        <v>0</v>
      </c>
      <c r="C4">
        <v>2026</v>
      </c>
      <c r="D4">
        <v>3009069</v>
      </c>
      <c r="E4">
        <v>16690</v>
      </c>
      <c r="F4">
        <f t="shared" si="0"/>
        <v>2992379</v>
      </c>
    </row>
    <row r="5" spans="1:6" x14ac:dyDescent="0.25">
      <c r="A5">
        <v>0</v>
      </c>
      <c r="B5">
        <v>0</v>
      </c>
      <c r="C5">
        <v>2027</v>
      </c>
      <c r="D5">
        <v>3058180</v>
      </c>
      <c r="E5">
        <v>16576</v>
      </c>
      <c r="F5">
        <f t="shared" si="0"/>
        <v>3041604</v>
      </c>
    </row>
    <row r="6" spans="1:6" x14ac:dyDescent="0.25">
      <c r="A6">
        <v>0</v>
      </c>
      <c r="B6">
        <v>0</v>
      </c>
      <c r="C6">
        <v>2028</v>
      </c>
      <c r="D6">
        <v>3108324</v>
      </c>
      <c r="E6">
        <v>16458</v>
      </c>
      <c r="F6">
        <f t="shared" si="0"/>
        <v>3091866</v>
      </c>
    </row>
    <row r="7" spans="1:6" x14ac:dyDescent="0.25">
      <c r="A7">
        <v>0</v>
      </c>
      <c r="B7">
        <v>0</v>
      </c>
      <c r="C7">
        <v>2029</v>
      </c>
      <c r="D7">
        <v>3159601</v>
      </c>
      <c r="E7">
        <v>16338</v>
      </c>
      <c r="F7">
        <f t="shared" si="0"/>
        <v>3143263</v>
      </c>
    </row>
    <row r="8" spans="1:6" x14ac:dyDescent="0.25">
      <c r="A8">
        <v>0</v>
      </c>
      <c r="B8">
        <v>0</v>
      </c>
      <c r="C8">
        <v>2030</v>
      </c>
      <c r="D8">
        <v>3211992</v>
      </c>
      <c r="E8">
        <v>16215</v>
      </c>
      <c r="F8">
        <f t="shared" si="0"/>
        <v>3195777</v>
      </c>
    </row>
    <row r="9" spans="1:6" x14ac:dyDescent="0.25">
      <c r="A9">
        <v>0</v>
      </c>
      <c r="B9">
        <v>0</v>
      </c>
      <c r="C9">
        <v>2031</v>
      </c>
      <c r="D9">
        <v>3265202</v>
      </c>
      <c r="E9">
        <v>16090</v>
      </c>
      <c r="F9">
        <f t="shared" si="0"/>
        <v>3249112</v>
      </c>
    </row>
    <row r="10" spans="1:6" x14ac:dyDescent="0.25">
      <c r="A10">
        <v>0</v>
      </c>
      <c r="B10">
        <v>0</v>
      </c>
      <c r="C10">
        <v>2032</v>
      </c>
      <c r="D10">
        <v>3318855</v>
      </c>
      <c r="E10">
        <v>15961</v>
      </c>
      <c r="F10">
        <f t="shared" si="0"/>
        <v>3302894</v>
      </c>
    </row>
    <row r="11" spans="1:6" x14ac:dyDescent="0.25">
      <c r="A11">
        <v>0</v>
      </c>
      <c r="B11">
        <v>0</v>
      </c>
      <c r="C11">
        <v>2033</v>
      </c>
      <c r="D11">
        <v>3372599</v>
      </c>
      <c r="E11">
        <v>15827</v>
      </c>
      <c r="F11">
        <f t="shared" si="0"/>
        <v>3356772</v>
      </c>
    </row>
    <row r="12" spans="1:6" x14ac:dyDescent="0.25">
      <c r="A12">
        <v>0</v>
      </c>
      <c r="B12">
        <v>0</v>
      </c>
      <c r="C12">
        <v>2034</v>
      </c>
      <c r="D12">
        <v>3426224</v>
      </c>
      <c r="E12">
        <v>15689</v>
      </c>
      <c r="F12">
        <f t="shared" si="0"/>
        <v>3410535</v>
      </c>
    </row>
    <row r="13" spans="1:6" x14ac:dyDescent="0.25">
      <c r="A13">
        <v>0</v>
      </c>
      <c r="B13">
        <v>0</v>
      </c>
      <c r="C13">
        <v>2035</v>
      </c>
      <c r="D13">
        <v>3479569</v>
      </c>
      <c r="E13">
        <v>15546</v>
      </c>
      <c r="F13">
        <f t="shared" si="0"/>
        <v>3464023</v>
      </c>
    </row>
    <row r="14" spans="1:6" x14ac:dyDescent="0.25">
      <c r="A14">
        <v>0</v>
      </c>
      <c r="B14">
        <v>0</v>
      </c>
      <c r="C14">
        <v>2036</v>
      </c>
      <c r="D14">
        <v>3532067</v>
      </c>
      <c r="E14">
        <v>15400</v>
      </c>
      <c r="F14">
        <f t="shared" si="0"/>
        <v>3516667</v>
      </c>
    </row>
    <row r="15" spans="1:6" x14ac:dyDescent="0.25">
      <c r="A15">
        <v>0</v>
      </c>
      <c r="B15">
        <v>0</v>
      </c>
      <c r="C15">
        <v>2037</v>
      </c>
      <c r="D15">
        <v>3583275</v>
      </c>
      <c r="E15">
        <v>15247</v>
      </c>
      <c r="F15">
        <f t="shared" si="0"/>
        <v>3568028</v>
      </c>
    </row>
    <row r="16" spans="1:6" x14ac:dyDescent="0.25">
      <c r="A16">
        <v>0</v>
      </c>
      <c r="B16">
        <v>0</v>
      </c>
      <c r="C16">
        <v>2038</v>
      </c>
      <c r="D16">
        <v>3632858</v>
      </c>
      <c r="E16">
        <v>15087</v>
      </c>
      <c r="F16">
        <f t="shared" si="0"/>
        <v>3617771</v>
      </c>
    </row>
    <row r="17" spans="1:6" x14ac:dyDescent="0.25">
      <c r="A17">
        <v>0</v>
      </c>
      <c r="B17">
        <v>0</v>
      </c>
      <c r="C17">
        <v>2039</v>
      </c>
      <c r="D17">
        <v>3680277</v>
      </c>
      <c r="E17">
        <v>14923</v>
      </c>
      <c r="F17">
        <f t="shared" si="0"/>
        <v>3665354</v>
      </c>
    </row>
    <row r="18" spans="1:6" x14ac:dyDescent="0.25">
      <c r="A18">
        <v>0</v>
      </c>
      <c r="B18">
        <v>0</v>
      </c>
      <c r="C18">
        <v>2040</v>
      </c>
      <c r="D18">
        <v>3725098</v>
      </c>
      <c r="E18">
        <v>14753</v>
      </c>
      <c r="F18">
        <f t="shared" si="0"/>
        <v>3710345</v>
      </c>
    </row>
    <row r="19" spans="1:6" x14ac:dyDescent="0.25">
      <c r="A19">
        <v>0</v>
      </c>
      <c r="B19">
        <v>0</v>
      </c>
      <c r="C19">
        <v>2041</v>
      </c>
      <c r="D19">
        <v>3767003</v>
      </c>
      <c r="E19">
        <v>14580</v>
      </c>
      <c r="F19">
        <f t="shared" si="0"/>
        <v>3752423</v>
      </c>
    </row>
    <row r="20" spans="1:6" x14ac:dyDescent="0.25">
      <c r="A20">
        <v>0</v>
      </c>
      <c r="B20">
        <v>0</v>
      </c>
      <c r="C20">
        <v>2042</v>
      </c>
      <c r="D20">
        <v>3805762</v>
      </c>
      <c r="E20">
        <v>14405</v>
      </c>
      <c r="F20">
        <f t="shared" si="0"/>
        <v>3791357</v>
      </c>
    </row>
    <row r="21" spans="1:6" x14ac:dyDescent="0.25">
      <c r="A21">
        <v>0</v>
      </c>
      <c r="B21">
        <v>0</v>
      </c>
      <c r="C21">
        <v>2043</v>
      </c>
      <c r="D21">
        <v>3841315</v>
      </c>
      <c r="E21">
        <v>14230</v>
      </c>
      <c r="F21">
        <f t="shared" si="0"/>
        <v>3827085</v>
      </c>
    </row>
    <row r="22" spans="1:6" x14ac:dyDescent="0.25">
      <c r="A22">
        <v>0</v>
      </c>
      <c r="B22">
        <v>0</v>
      </c>
      <c r="C22">
        <v>2044</v>
      </c>
      <c r="D22">
        <v>3872793</v>
      </c>
      <c r="E22">
        <v>14057</v>
      </c>
      <c r="F22">
        <f t="shared" si="0"/>
        <v>3858736</v>
      </c>
    </row>
    <row r="23" spans="1:6" x14ac:dyDescent="0.25">
      <c r="A23">
        <v>0</v>
      </c>
      <c r="B23">
        <v>0</v>
      </c>
      <c r="C23">
        <v>2045</v>
      </c>
      <c r="D23">
        <v>3899954</v>
      </c>
      <c r="E23">
        <v>13886</v>
      </c>
      <c r="F23">
        <f t="shared" si="0"/>
        <v>3886068</v>
      </c>
    </row>
    <row r="24" spans="1:6" x14ac:dyDescent="0.25">
      <c r="A24">
        <v>0</v>
      </c>
      <c r="B24">
        <v>0</v>
      </c>
      <c r="C24">
        <v>2046</v>
      </c>
      <c r="D24">
        <v>3922831</v>
      </c>
      <c r="E24">
        <v>13722</v>
      </c>
      <c r="F24">
        <f t="shared" si="0"/>
        <v>3909109</v>
      </c>
    </row>
    <row r="25" spans="1:6" x14ac:dyDescent="0.25">
      <c r="A25">
        <v>0</v>
      </c>
      <c r="B25">
        <v>0</v>
      </c>
      <c r="C25">
        <v>2047</v>
      </c>
      <c r="D25">
        <v>3943154</v>
      </c>
      <c r="E25">
        <v>13562</v>
      </c>
      <c r="F25">
        <f t="shared" si="0"/>
        <v>3929592</v>
      </c>
    </row>
    <row r="26" spans="1:6" x14ac:dyDescent="0.25">
      <c r="A26">
        <v>0</v>
      </c>
      <c r="B26">
        <v>0</v>
      </c>
      <c r="C26">
        <v>2048</v>
      </c>
      <c r="D26">
        <v>3959396</v>
      </c>
      <c r="E26">
        <v>13406</v>
      </c>
      <c r="F26">
        <f t="shared" si="0"/>
        <v>3945990</v>
      </c>
    </row>
    <row r="27" spans="1:6" x14ac:dyDescent="0.25">
      <c r="A27">
        <v>0</v>
      </c>
      <c r="B27">
        <v>0</v>
      </c>
      <c r="C27">
        <v>2049</v>
      </c>
      <c r="D27">
        <v>3971410</v>
      </c>
      <c r="E27">
        <v>13254</v>
      </c>
      <c r="F27">
        <f t="shared" si="0"/>
        <v>3958156</v>
      </c>
    </row>
    <row r="28" spans="1:6" x14ac:dyDescent="0.25">
      <c r="A28">
        <v>0</v>
      </c>
      <c r="B28">
        <v>0</v>
      </c>
      <c r="C28">
        <v>2050</v>
      </c>
      <c r="D28">
        <v>3979447</v>
      </c>
      <c r="E28">
        <v>13108</v>
      </c>
      <c r="F28">
        <f t="shared" si="0"/>
        <v>3966339</v>
      </c>
    </row>
    <row r="29" spans="1:6" x14ac:dyDescent="0.25">
      <c r="A29">
        <v>0</v>
      </c>
      <c r="B29">
        <v>1</v>
      </c>
      <c r="C29">
        <v>2024</v>
      </c>
      <c r="D29">
        <v>1501749</v>
      </c>
      <c r="E29">
        <v>9411</v>
      </c>
      <c r="F29">
        <f t="shared" si="0"/>
        <v>1492338</v>
      </c>
    </row>
    <row r="30" spans="1:6" x14ac:dyDescent="0.25">
      <c r="A30">
        <v>0</v>
      </c>
      <c r="B30">
        <v>1</v>
      </c>
      <c r="C30">
        <v>2025</v>
      </c>
      <c r="D30">
        <v>1528861</v>
      </c>
      <c r="E30">
        <v>9340</v>
      </c>
      <c r="F30">
        <f t="shared" si="0"/>
        <v>1519521</v>
      </c>
    </row>
    <row r="31" spans="1:6" x14ac:dyDescent="0.25">
      <c r="A31">
        <v>0</v>
      </c>
      <c r="B31">
        <v>1</v>
      </c>
      <c r="C31">
        <v>2026</v>
      </c>
      <c r="D31">
        <v>1555747</v>
      </c>
      <c r="E31">
        <v>9268</v>
      </c>
      <c r="F31">
        <f t="shared" si="0"/>
        <v>1546479</v>
      </c>
    </row>
    <row r="32" spans="1:6" x14ac:dyDescent="0.25">
      <c r="A32">
        <v>0</v>
      </c>
      <c r="B32">
        <v>1</v>
      </c>
      <c r="C32">
        <v>2027</v>
      </c>
      <c r="D32">
        <v>1582523</v>
      </c>
      <c r="E32">
        <v>9196</v>
      </c>
      <c r="F32">
        <f t="shared" si="0"/>
        <v>1573327</v>
      </c>
    </row>
    <row r="33" spans="1:6" x14ac:dyDescent="0.25">
      <c r="A33">
        <v>0</v>
      </c>
      <c r="B33">
        <v>1</v>
      </c>
      <c r="C33">
        <v>2028</v>
      </c>
      <c r="D33">
        <v>1609298</v>
      </c>
      <c r="E33">
        <v>9122</v>
      </c>
      <c r="F33">
        <f t="shared" si="0"/>
        <v>1600176</v>
      </c>
    </row>
    <row r="34" spans="1:6" x14ac:dyDescent="0.25">
      <c r="A34">
        <v>0</v>
      </c>
      <c r="B34">
        <v>1</v>
      </c>
      <c r="C34">
        <v>2029</v>
      </c>
      <c r="D34">
        <v>1636103</v>
      </c>
      <c r="E34">
        <v>9046</v>
      </c>
      <c r="F34">
        <f t="shared" si="0"/>
        <v>1627057</v>
      </c>
    </row>
    <row r="35" spans="1:6" x14ac:dyDescent="0.25">
      <c r="A35">
        <v>0</v>
      </c>
      <c r="B35">
        <v>1</v>
      </c>
      <c r="C35">
        <v>2030</v>
      </c>
      <c r="D35">
        <v>1662801</v>
      </c>
      <c r="E35">
        <v>8968</v>
      </c>
      <c r="F35">
        <f t="shared" si="0"/>
        <v>1653833</v>
      </c>
    </row>
    <row r="36" spans="1:6" x14ac:dyDescent="0.25">
      <c r="A36">
        <v>0</v>
      </c>
      <c r="B36">
        <v>1</v>
      </c>
      <c r="C36">
        <v>2031</v>
      </c>
      <c r="D36">
        <v>1689271</v>
      </c>
      <c r="E36">
        <v>8893</v>
      </c>
      <c r="F36">
        <f t="shared" si="0"/>
        <v>1680378</v>
      </c>
    </row>
    <row r="37" spans="1:6" x14ac:dyDescent="0.25">
      <c r="A37">
        <v>0</v>
      </c>
      <c r="B37">
        <v>1</v>
      </c>
      <c r="C37">
        <v>2032</v>
      </c>
      <c r="D37">
        <v>1715233</v>
      </c>
      <c r="E37">
        <v>8811</v>
      </c>
      <c r="F37">
        <f t="shared" si="0"/>
        <v>1706422</v>
      </c>
    </row>
    <row r="38" spans="1:6" x14ac:dyDescent="0.25">
      <c r="A38">
        <v>0</v>
      </c>
      <c r="B38">
        <v>1</v>
      </c>
      <c r="C38">
        <v>2033</v>
      </c>
      <c r="D38">
        <v>1740709</v>
      </c>
      <c r="E38">
        <v>8730</v>
      </c>
      <c r="F38">
        <f t="shared" si="0"/>
        <v>1731979</v>
      </c>
    </row>
    <row r="39" spans="1:6" x14ac:dyDescent="0.25">
      <c r="A39">
        <v>0</v>
      </c>
      <c r="B39">
        <v>1</v>
      </c>
      <c r="C39">
        <v>2034</v>
      </c>
      <c r="D39">
        <v>1765529</v>
      </c>
      <c r="E39">
        <v>8643</v>
      </c>
      <c r="F39">
        <f t="shared" si="0"/>
        <v>1756886</v>
      </c>
    </row>
    <row r="40" spans="1:6" x14ac:dyDescent="0.25">
      <c r="A40">
        <v>0</v>
      </c>
      <c r="B40">
        <v>1</v>
      </c>
      <c r="C40">
        <v>2035</v>
      </c>
      <c r="D40">
        <v>1789655</v>
      </c>
      <c r="E40">
        <v>8557</v>
      </c>
      <c r="F40">
        <f t="shared" si="0"/>
        <v>1781098</v>
      </c>
    </row>
    <row r="41" spans="1:6" x14ac:dyDescent="0.25">
      <c r="A41">
        <v>0</v>
      </c>
      <c r="B41">
        <v>1</v>
      </c>
      <c r="C41">
        <v>2036</v>
      </c>
      <c r="D41">
        <v>1812892</v>
      </c>
      <c r="E41">
        <v>8473</v>
      </c>
      <c r="F41">
        <f t="shared" si="0"/>
        <v>1804419</v>
      </c>
    </row>
    <row r="42" spans="1:6" x14ac:dyDescent="0.25">
      <c r="A42">
        <v>0</v>
      </c>
      <c r="B42">
        <v>1</v>
      </c>
      <c r="C42">
        <v>2037</v>
      </c>
      <c r="D42">
        <v>1835144</v>
      </c>
      <c r="E42">
        <v>8377</v>
      </c>
      <c r="F42">
        <f t="shared" si="0"/>
        <v>1826767</v>
      </c>
    </row>
    <row r="43" spans="1:6" x14ac:dyDescent="0.25">
      <c r="A43">
        <v>0</v>
      </c>
      <c r="B43">
        <v>1</v>
      </c>
      <c r="C43">
        <v>2038</v>
      </c>
      <c r="D43">
        <v>1856180</v>
      </c>
      <c r="E43">
        <v>8284</v>
      </c>
      <c r="F43">
        <f t="shared" si="0"/>
        <v>1847896</v>
      </c>
    </row>
    <row r="44" spans="1:6" x14ac:dyDescent="0.25">
      <c r="A44">
        <v>0</v>
      </c>
      <c r="B44">
        <v>1</v>
      </c>
      <c r="C44">
        <v>2039</v>
      </c>
      <c r="D44">
        <v>1875946</v>
      </c>
      <c r="E44">
        <v>8185</v>
      </c>
      <c r="F44">
        <f t="shared" si="0"/>
        <v>1867761</v>
      </c>
    </row>
    <row r="45" spans="1:6" x14ac:dyDescent="0.25">
      <c r="A45">
        <v>0</v>
      </c>
      <c r="B45">
        <v>1</v>
      </c>
      <c r="C45">
        <v>2040</v>
      </c>
      <c r="D45">
        <v>1894159</v>
      </c>
      <c r="E45">
        <v>8085</v>
      </c>
      <c r="F45">
        <f t="shared" si="0"/>
        <v>1886074</v>
      </c>
    </row>
    <row r="46" spans="1:6" x14ac:dyDescent="0.25">
      <c r="A46">
        <v>0</v>
      </c>
      <c r="B46">
        <v>1</v>
      </c>
      <c r="C46">
        <v>2041</v>
      </c>
      <c r="D46">
        <v>1910832</v>
      </c>
      <c r="E46">
        <v>7982</v>
      </c>
      <c r="F46">
        <f t="shared" si="0"/>
        <v>1902850</v>
      </c>
    </row>
    <row r="47" spans="1:6" x14ac:dyDescent="0.25">
      <c r="A47">
        <v>0</v>
      </c>
      <c r="B47">
        <v>1</v>
      </c>
      <c r="C47">
        <v>2042</v>
      </c>
      <c r="D47">
        <v>1925870</v>
      </c>
      <c r="E47">
        <v>7879</v>
      </c>
      <c r="F47">
        <f t="shared" si="0"/>
        <v>1917991</v>
      </c>
    </row>
    <row r="48" spans="1:6" x14ac:dyDescent="0.25">
      <c r="A48">
        <v>0</v>
      </c>
      <c r="B48">
        <v>1</v>
      </c>
      <c r="C48">
        <v>2043</v>
      </c>
      <c r="D48">
        <v>1939381</v>
      </c>
      <c r="E48">
        <v>7776</v>
      </c>
      <c r="F48">
        <f t="shared" si="0"/>
        <v>1931605</v>
      </c>
    </row>
    <row r="49" spans="1:6" x14ac:dyDescent="0.25">
      <c r="A49">
        <v>0</v>
      </c>
      <c r="B49">
        <v>1</v>
      </c>
      <c r="C49">
        <v>2044</v>
      </c>
      <c r="D49">
        <v>1950913</v>
      </c>
      <c r="E49">
        <v>7673</v>
      </c>
      <c r="F49">
        <f t="shared" si="0"/>
        <v>1943240</v>
      </c>
    </row>
    <row r="50" spans="1:6" x14ac:dyDescent="0.25">
      <c r="A50">
        <v>0</v>
      </c>
      <c r="B50">
        <v>1</v>
      </c>
      <c r="C50">
        <v>2045</v>
      </c>
      <c r="D50">
        <v>1960597</v>
      </c>
      <c r="E50">
        <v>7571</v>
      </c>
      <c r="F50">
        <f t="shared" si="0"/>
        <v>1953026</v>
      </c>
    </row>
    <row r="51" spans="1:6" x14ac:dyDescent="0.25">
      <c r="A51">
        <v>0</v>
      </c>
      <c r="B51">
        <v>1</v>
      </c>
      <c r="C51">
        <v>2046</v>
      </c>
      <c r="D51">
        <v>1968350</v>
      </c>
      <c r="E51">
        <v>7477</v>
      </c>
      <c r="F51">
        <f t="shared" si="0"/>
        <v>1960873</v>
      </c>
    </row>
    <row r="52" spans="1:6" x14ac:dyDescent="0.25">
      <c r="A52">
        <v>0</v>
      </c>
      <c r="B52">
        <v>1</v>
      </c>
      <c r="C52">
        <v>2047</v>
      </c>
      <c r="D52">
        <v>1974982</v>
      </c>
      <c r="E52">
        <v>7383</v>
      </c>
      <c r="F52">
        <f t="shared" si="0"/>
        <v>1967599</v>
      </c>
    </row>
    <row r="53" spans="1:6" x14ac:dyDescent="0.25">
      <c r="A53">
        <v>0</v>
      </c>
      <c r="B53">
        <v>1</v>
      </c>
      <c r="C53">
        <v>2048</v>
      </c>
      <c r="D53">
        <v>1979798</v>
      </c>
      <c r="E53">
        <v>7294</v>
      </c>
      <c r="F53">
        <f t="shared" si="0"/>
        <v>1972504</v>
      </c>
    </row>
    <row r="54" spans="1:6" x14ac:dyDescent="0.25">
      <c r="A54">
        <v>0</v>
      </c>
      <c r="B54">
        <v>1</v>
      </c>
      <c r="C54">
        <v>2049</v>
      </c>
      <c r="D54">
        <v>1982934</v>
      </c>
      <c r="E54">
        <v>7206</v>
      </c>
      <c r="F54">
        <f t="shared" si="0"/>
        <v>1975728</v>
      </c>
    </row>
    <row r="55" spans="1:6" x14ac:dyDescent="0.25">
      <c r="A55">
        <v>0</v>
      </c>
      <c r="B55">
        <v>1</v>
      </c>
      <c r="C55">
        <v>2050</v>
      </c>
      <c r="D55">
        <v>1984587</v>
      </c>
      <c r="E55">
        <v>7118</v>
      </c>
      <c r="F55">
        <f t="shared" si="0"/>
        <v>1977469</v>
      </c>
    </row>
    <row r="56" spans="1:6" x14ac:dyDescent="0.25">
      <c r="A56">
        <v>0</v>
      </c>
      <c r="B56">
        <v>2</v>
      </c>
      <c r="C56">
        <v>2024</v>
      </c>
      <c r="D56">
        <v>1409822</v>
      </c>
      <c r="E56">
        <v>7504</v>
      </c>
      <c r="F56">
        <f t="shared" si="0"/>
        <v>1402318</v>
      </c>
    </row>
    <row r="57" spans="1:6" x14ac:dyDescent="0.25">
      <c r="A57">
        <v>0</v>
      </c>
      <c r="B57">
        <v>2</v>
      </c>
      <c r="C57">
        <v>2025</v>
      </c>
      <c r="D57">
        <v>1431626</v>
      </c>
      <c r="E57">
        <v>7463</v>
      </c>
      <c r="F57">
        <f t="shared" si="0"/>
        <v>1424163</v>
      </c>
    </row>
    <row r="58" spans="1:6" x14ac:dyDescent="0.25">
      <c r="A58">
        <v>0</v>
      </c>
      <c r="B58">
        <v>2</v>
      </c>
      <c r="C58">
        <v>2026</v>
      </c>
      <c r="D58">
        <v>1453322</v>
      </c>
      <c r="E58">
        <v>7422</v>
      </c>
      <c r="F58">
        <f t="shared" si="0"/>
        <v>1445900</v>
      </c>
    </row>
    <row r="59" spans="1:6" x14ac:dyDescent="0.25">
      <c r="A59">
        <v>0</v>
      </c>
      <c r="B59">
        <v>2</v>
      </c>
      <c r="C59">
        <v>2027</v>
      </c>
      <c r="D59">
        <v>1475657</v>
      </c>
      <c r="E59">
        <v>7380</v>
      </c>
      <c r="F59">
        <f t="shared" si="0"/>
        <v>1468277</v>
      </c>
    </row>
    <row r="60" spans="1:6" x14ac:dyDescent="0.25">
      <c r="A60">
        <v>0</v>
      </c>
      <c r="B60">
        <v>2</v>
      </c>
      <c r="C60">
        <v>2028</v>
      </c>
      <c r="D60">
        <v>1499026</v>
      </c>
      <c r="E60">
        <v>7336</v>
      </c>
      <c r="F60">
        <f t="shared" si="0"/>
        <v>1491690</v>
      </c>
    </row>
    <row r="61" spans="1:6" x14ac:dyDescent="0.25">
      <c r="A61">
        <v>0</v>
      </c>
      <c r="B61">
        <v>2</v>
      </c>
      <c r="C61">
        <v>2029</v>
      </c>
      <c r="D61">
        <v>1523498</v>
      </c>
      <c r="E61">
        <v>7292</v>
      </c>
      <c r="F61">
        <f t="shared" si="0"/>
        <v>1516206</v>
      </c>
    </row>
    <row r="62" spans="1:6" x14ac:dyDescent="0.25">
      <c r="A62">
        <v>0</v>
      </c>
      <c r="B62">
        <v>2</v>
      </c>
      <c r="C62">
        <v>2030</v>
      </c>
      <c r="D62">
        <v>1549191</v>
      </c>
      <c r="E62">
        <v>7247</v>
      </c>
      <c r="F62">
        <f t="shared" si="0"/>
        <v>1541944</v>
      </c>
    </row>
    <row r="63" spans="1:6" x14ac:dyDescent="0.25">
      <c r="A63">
        <v>0</v>
      </c>
      <c r="B63">
        <v>2</v>
      </c>
      <c r="C63">
        <v>2031</v>
      </c>
      <c r="D63">
        <v>1575931</v>
      </c>
      <c r="E63">
        <v>7197</v>
      </c>
      <c r="F63">
        <f t="shared" si="0"/>
        <v>1568734</v>
      </c>
    </row>
    <row r="64" spans="1:6" x14ac:dyDescent="0.25">
      <c r="A64">
        <v>0</v>
      </c>
      <c r="B64">
        <v>2</v>
      </c>
      <c r="C64">
        <v>2032</v>
      </c>
      <c r="D64">
        <v>1603622</v>
      </c>
      <c r="E64">
        <v>7150</v>
      </c>
      <c r="F64">
        <f t="shared" si="0"/>
        <v>1596472</v>
      </c>
    </row>
    <row r="65" spans="1:6" x14ac:dyDescent="0.25">
      <c r="A65">
        <v>0</v>
      </c>
      <c r="B65">
        <v>2</v>
      </c>
      <c r="C65">
        <v>2033</v>
      </c>
      <c r="D65">
        <v>1631890</v>
      </c>
      <c r="E65">
        <v>7097</v>
      </c>
      <c r="F65">
        <f t="shared" si="0"/>
        <v>1624793</v>
      </c>
    </row>
    <row r="66" spans="1:6" x14ac:dyDescent="0.25">
      <c r="A66">
        <v>0</v>
      </c>
      <c r="B66">
        <v>2</v>
      </c>
      <c r="C66">
        <v>2034</v>
      </c>
      <c r="D66">
        <v>1660695</v>
      </c>
      <c r="E66">
        <v>7046</v>
      </c>
      <c r="F66">
        <f t="shared" ref="F66:F129" si="1">D66-E66</f>
        <v>1653649</v>
      </c>
    </row>
    <row r="67" spans="1:6" x14ac:dyDescent="0.25">
      <c r="A67">
        <v>0</v>
      </c>
      <c r="B67">
        <v>2</v>
      </c>
      <c r="C67">
        <v>2035</v>
      </c>
      <c r="D67">
        <v>1689914</v>
      </c>
      <c r="E67">
        <v>6989</v>
      </c>
      <c r="F67">
        <f t="shared" si="1"/>
        <v>1682925</v>
      </c>
    </row>
    <row r="68" spans="1:6" x14ac:dyDescent="0.25">
      <c r="A68">
        <v>0</v>
      </c>
      <c r="B68">
        <v>2</v>
      </c>
      <c r="C68">
        <v>2036</v>
      </c>
      <c r="D68">
        <v>1719175</v>
      </c>
      <c r="E68">
        <v>6927</v>
      </c>
      <c r="F68">
        <f t="shared" si="1"/>
        <v>1712248</v>
      </c>
    </row>
    <row r="69" spans="1:6" x14ac:dyDescent="0.25">
      <c r="A69">
        <v>0</v>
      </c>
      <c r="B69">
        <v>2</v>
      </c>
      <c r="C69">
        <v>2037</v>
      </c>
      <c r="D69">
        <v>1748131</v>
      </c>
      <c r="E69">
        <v>6870</v>
      </c>
      <c r="F69">
        <f t="shared" si="1"/>
        <v>1741261</v>
      </c>
    </row>
    <row r="70" spans="1:6" x14ac:dyDescent="0.25">
      <c r="A70">
        <v>0</v>
      </c>
      <c r="B70">
        <v>2</v>
      </c>
      <c r="C70">
        <v>2038</v>
      </c>
      <c r="D70">
        <v>1776678</v>
      </c>
      <c r="E70">
        <v>6803</v>
      </c>
      <c r="F70">
        <f t="shared" si="1"/>
        <v>1769875</v>
      </c>
    </row>
    <row r="71" spans="1:6" x14ac:dyDescent="0.25">
      <c r="A71">
        <v>0</v>
      </c>
      <c r="B71">
        <v>2</v>
      </c>
      <c r="C71">
        <v>2039</v>
      </c>
      <c r="D71">
        <v>1804331</v>
      </c>
      <c r="E71">
        <v>6738</v>
      </c>
      <c r="F71">
        <f t="shared" si="1"/>
        <v>1797593</v>
      </c>
    </row>
    <row r="72" spans="1:6" x14ac:dyDescent="0.25">
      <c r="A72">
        <v>0</v>
      </c>
      <c r="B72">
        <v>2</v>
      </c>
      <c r="C72">
        <v>2040</v>
      </c>
      <c r="D72">
        <v>1830939</v>
      </c>
      <c r="E72">
        <v>6668</v>
      </c>
      <c r="F72">
        <f t="shared" si="1"/>
        <v>1824271</v>
      </c>
    </row>
    <row r="73" spans="1:6" x14ac:dyDescent="0.25">
      <c r="A73">
        <v>0</v>
      </c>
      <c r="B73">
        <v>2</v>
      </c>
      <c r="C73">
        <v>2041</v>
      </c>
      <c r="D73">
        <v>1856171</v>
      </c>
      <c r="E73">
        <v>6598</v>
      </c>
      <c r="F73">
        <f t="shared" si="1"/>
        <v>1849573</v>
      </c>
    </row>
    <row r="74" spans="1:6" x14ac:dyDescent="0.25">
      <c r="A74">
        <v>0</v>
      </c>
      <c r="B74">
        <v>2</v>
      </c>
      <c r="C74">
        <v>2042</v>
      </c>
      <c r="D74">
        <v>1879892</v>
      </c>
      <c r="E74">
        <v>6526</v>
      </c>
      <c r="F74">
        <f t="shared" si="1"/>
        <v>1873366</v>
      </c>
    </row>
    <row r="75" spans="1:6" x14ac:dyDescent="0.25">
      <c r="A75">
        <v>0</v>
      </c>
      <c r="B75">
        <v>2</v>
      </c>
      <c r="C75">
        <v>2043</v>
      </c>
      <c r="D75">
        <v>1901934</v>
      </c>
      <c r="E75">
        <v>6454</v>
      </c>
      <c r="F75">
        <f t="shared" si="1"/>
        <v>1895480</v>
      </c>
    </row>
    <row r="76" spans="1:6" x14ac:dyDescent="0.25">
      <c r="A76">
        <v>0</v>
      </c>
      <c r="B76">
        <v>2</v>
      </c>
      <c r="C76">
        <v>2044</v>
      </c>
      <c r="D76">
        <v>1921880</v>
      </c>
      <c r="E76">
        <v>6384</v>
      </c>
      <c r="F76">
        <f t="shared" si="1"/>
        <v>1915496</v>
      </c>
    </row>
    <row r="77" spans="1:6" x14ac:dyDescent="0.25">
      <c r="A77">
        <v>0</v>
      </c>
      <c r="B77">
        <v>2</v>
      </c>
      <c r="C77">
        <v>2045</v>
      </c>
      <c r="D77">
        <v>1939357</v>
      </c>
      <c r="E77">
        <v>6315</v>
      </c>
      <c r="F77">
        <f t="shared" si="1"/>
        <v>1933042</v>
      </c>
    </row>
    <row r="78" spans="1:6" x14ac:dyDescent="0.25">
      <c r="A78">
        <v>0</v>
      </c>
      <c r="B78">
        <v>2</v>
      </c>
      <c r="C78">
        <v>2046</v>
      </c>
      <c r="D78">
        <v>1954481</v>
      </c>
      <c r="E78">
        <v>6245</v>
      </c>
      <c r="F78">
        <f t="shared" si="1"/>
        <v>1948236</v>
      </c>
    </row>
    <row r="79" spans="1:6" x14ac:dyDescent="0.25">
      <c r="A79">
        <v>0</v>
      </c>
      <c r="B79">
        <v>2</v>
      </c>
      <c r="C79">
        <v>2047</v>
      </c>
      <c r="D79">
        <v>1968172</v>
      </c>
      <c r="E79">
        <v>6179</v>
      </c>
      <c r="F79">
        <f t="shared" si="1"/>
        <v>1961993</v>
      </c>
    </row>
    <row r="80" spans="1:6" x14ac:dyDescent="0.25">
      <c r="A80">
        <v>0</v>
      </c>
      <c r="B80">
        <v>2</v>
      </c>
      <c r="C80">
        <v>2048</v>
      </c>
      <c r="D80">
        <v>1979598</v>
      </c>
      <c r="E80">
        <v>6112</v>
      </c>
      <c r="F80">
        <f t="shared" si="1"/>
        <v>1973486</v>
      </c>
    </row>
    <row r="81" spans="1:6" x14ac:dyDescent="0.25">
      <c r="A81">
        <v>0</v>
      </c>
      <c r="B81">
        <v>2</v>
      </c>
      <c r="C81">
        <v>2049</v>
      </c>
      <c r="D81">
        <v>1988476</v>
      </c>
      <c r="E81">
        <v>6048</v>
      </c>
      <c r="F81">
        <f t="shared" si="1"/>
        <v>1982428</v>
      </c>
    </row>
    <row r="82" spans="1:6" x14ac:dyDescent="0.25">
      <c r="A82">
        <v>0</v>
      </c>
      <c r="B82">
        <v>2</v>
      </c>
      <c r="C82">
        <v>2050</v>
      </c>
      <c r="D82">
        <v>1994860</v>
      </c>
      <c r="E82">
        <v>5990</v>
      </c>
      <c r="F82">
        <f t="shared" si="1"/>
        <v>1988870</v>
      </c>
    </row>
    <row r="83" spans="1:6" x14ac:dyDescent="0.25">
      <c r="A83">
        <v>1</v>
      </c>
      <c r="B83">
        <v>0</v>
      </c>
      <c r="C83">
        <v>2024</v>
      </c>
      <c r="D83">
        <v>2354064</v>
      </c>
      <c r="E83">
        <v>9858</v>
      </c>
      <c r="F83">
        <f t="shared" si="1"/>
        <v>2344206</v>
      </c>
    </row>
    <row r="84" spans="1:6" x14ac:dyDescent="0.25">
      <c r="A84">
        <v>1</v>
      </c>
      <c r="B84">
        <v>0</v>
      </c>
      <c r="C84">
        <v>2025</v>
      </c>
      <c r="D84">
        <v>2393222</v>
      </c>
      <c r="E84">
        <v>9793</v>
      </c>
      <c r="F84">
        <f t="shared" si="1"/>
        <v>2383429</v>
      </c>
    </row>
    <row r="85" spans="1:6" x14ac:dyDescent="0.25">
      <c r="A85">
        <v>1</v>
      </c>
      <c r="B85">
        <v>0</v>
      </c>
      <c r="C85">
        <v>2026</v>
      </c>
      <c r="D85">
        <v>2431915</v>
      </c>
      <c r="E85">
        <v>9729</v>
      </c>
      <c r="F85">
        <f t="shared" si="1"/>
        <v>2422186</v>
      </c>
    </row>
    <row r="86" spans="1:6" x14ac:dyDescent="0.25">
      <c r="A86">
        <v>1</v>
      </c>
      <c r="B86">
        <v>0</v>
      </c>
      <c r="C86">
        <v>2027</v>
      </c>
      <c r="D86">
        <v>2470805</v>
      </c>
      <c r="E86">
        <v>9663</v>
      </c>
      <c r="F86">
        <f t="shared" si="1"/>
        <v>2461142</v>
      </c>
    </row>
    <row r="87" spans="1:6" x14ac:dyDescent="0.25">
      <c r="A87">
        <v>1</v>
      </c>
      <c r="B87">
        <v>0</v>
      </c>
      <c r="C87">
        <v>2028</v>
      </c>
      <c r="D87">
        <v>2510363</v>
      </c>
      <c r="E87">
        <v>9596</v>
      </c>
      <c r="F87">
        <f t="shared" si="1"/>
        <v>2500767</v>
      </c>
    </row>
    <row r="88" spans="1:6" x14ac:dyDescent="0.25">
      <c r="A88">
        <v>1</v>
      </c>
      <c r="B88">
        <v>0</v>
      </c>
      <c r="C88">
        <v>2029</v>
      </c>
      <c r="D88">
        <v>2550579</v>
      </c>
      <c r="E88">
        <v>9529</v>
      </c>
      <c r="F88">
        <f t="shared" si="1"/>
        <v>2541050</v>
      </c>
    </row>
    <row r="89" spans="1:6" x14ac:dyDescent="0.25">
      <c r="A89">
        <v>1</v>
      </c>
      <c r="B89">
        <v>0</v>
      </c>
      <c r="C89">
        <v>2030</v>
      </c>
      <c r="D89">
        <v>2591506</v>
      </c>
      <c r="E89">
        <v>9458</v>
      </c>
      <c r="F89">
        <f t="shared" si="1"/>
        <v>2582048</v>
      </c>
    </row>
    <row r="90" spans="1:6" x14ac:dyDescent="0.25">
      <c r="A90">
        <v>1</v>
      </c>
      <c r="B90">
        <v>0</v>
      </c>
      <c r="C90">
        <v>2031</v>
      </c>
      <c r="D90">
        <v>2632857</v>
      </c>
      <c r="E90">
        <v>9388</v>
      </c>
      <c r="F90">
        <f t="shared" si="1"/>
        <v>2623469</v>
      </c>
    </row>
    <row r="91" spans="1:6" x14ac:dyDescent="0.25">
      <c r="A91">
        <v>1</v>
      </c>
      <c r="B91">
        <v>0</v>
      </c>
      <c r="C91">
        <v>2032</v>
      </c>
      <c r="D91">
        <v>2674359</v>
      </c>
      <c r="E91">
        <v>9313</v>
      </c>
      <c r="F91">
        <f t="shared" si="1"/>
        <v>2665046</v>
      </c>
    </row>
    <row r="92" spans="1:6" x14ac:dyDescent="0.25">
      <c r="A92">
        <v>1</v>
      </c>
      <c r="B92">
        <v>0</v>
      </c>
      <c r="C92">
        <v>2033</v>
      </c>
      <c r="D92">
        <v>2715613</v>
      </c>
      <c r="E92">
        <v>9234</v>
      </c>
      <c r="F92">
        <f t="shared" si="1"/>
        <v>2706379</v>
      </c>
    </row>
    <row r="93" spans="1:6" x14ac:dyDescent="0.25">
      <c r="A93">
        <v>1</v>
      </c>
      <c r="B93">
        <v>0</v>
      </c>
      <c r="C93">
        <v>2034</v>
      </c>
      <c r="D93">
        <v>2756451</v>
      </c>
      <c r="E93">
        <v>9150</v>
      </c>
      <c r="F93">
        <f t="shared" si="1"/>
        <v>2747301</v>
      </c>
    </row>
    <row r="94" spans="1:6" x14ac:dyDescent="0.25">
      <c r="A94">
        <v>1</v>
      </c>
      <c r="B94">
        <v>0</v>
      </c>
      <c r="C94">
        <v>2035</v>
      </c>
      <c r="D94">
        <v>2796744</v>
      </c>
      <c r="E94">
        <v>9061</v>
      </c>
      <c r="F94">
        <f t="shared" si="1"/>
        <v>2787683</v>
      </c>
    </row>
    <row r="95" spans="1:6" x14ac:dyDescent="0.25">
      <c r="A95">
        <v>1</v>
      </c>
      <c r="B95">
        <v>0</v>
      </c>
      <c r="C95">
        <v>2036</v>
      </c>
      <c r="D95">
        <v>2835966</v>
      </c>
      <c r="E95">
        <v>8967</v>
      </c>
      <c r="F95">
        <f t="shared" si="1"/>
        <v>2826999</v>
      </c>
    </row>
    <row r="96" spans="1:6" x14ac:dyDescent="0.25">
      <c r="A96">
        <v>1</v>
      </c>
      <c r="B96">
        <v>0</v>
      </c>
      <c r="C96">
        <v>2037</v>
      </c>
      <c r="D96">
        <v>2873812</v>
      </c>
      <c r="E96">
        <v>8865</v>
      </c>
      <c r="F96">
        <f t="shared" si="1"/>
        <v>2864947</v>
      </c>
    </row>
    <row r="97" spans="1:6" x14ac:dyDescent="0.25">
      <c r="A97">
        <v>1</v>
      </c>
      <c r="B97">
        <v>0</v>
      </c>
      <c r="C97">
        <v>2038</v>
      </c>
      <c r="D97">
        <v>2909899</v>
      </c>
      <c r="E97">
        <v>8759</v>
      </c>
      <c r="F97">
        <f t="shared" si="1"/>
        <v>2901140</v>
      </c>
    </row>
    <row r="98" spans="1:6" x14ac:dyDescent="0.25">
      <c r="A98">
        <v>1</v>
      </c>
      <c r="B98">
        <v>0</v>
      </c>
      <c r="C98">
        <v>2039</v>
      </c>
      <c r="D98">
        <v>2943824</v>
      </c>
      <c r="E98">
        <v>8648</v>
      </c>
      <c r="F98">
        <f t="shared" si="1"/>
        <v>2935176</v>
      </c>
    </row>
    <row r="99" spans="1:6" x14ac:dyDescent="0.25">
      <c r="A99">
        <v>1</v>
      </c>
      <c r="B99">
        <v>0</v>
      </c>
      <c r="C99">
        <v>2040</v>
      </c>
      <c r="D99">
        <v>2975204</v>
      </c>
      <c r="E99">
        <v>8532</v>
      </c>
      <c r="F99">
        <f t="shared" si="1"/>
        <v>2966672</v>
      </c>
    </row>
    <row r="100" spans="1:6" x14ac:dyDescent="0.25">
      <c r="A100">
        <v>1</v>
      </c>
      <c r="B100">
        <v>0</v>
      </c>
      <c r="C100">
        <v>2041</v>
      </c>
      <c r="D100">
        <v>3003782</v>
      </c>
      <c r="E100">
        <v>8413</v>
      </c>
      <c r="F100">
        <f t="shared" si="1"/>
        <v>2995369</v>
      </c>
    </row>
    <row r="101" spans="1:6" x14ac:dyDescent="0.25">
      <c r="A101">
        <v>1</v>
      </c>
      <c r="B101">
        <v>0</v>
      </c>
      <c r="C101">
        <v>2042</v>
      </c>
      <c r="D101">
        <v>3029391</v>
      </c>
      <c r="E101">
        <v>8294</v>
      </c>
      <c r="F101">
        <f t="shared" si="1"/>
        <v>3021097</v>
      </c>
    </row>
    <row r="102" spans="1:6" x14ac:dyDescent="0.25">
      <c r="A102">
        <v>1</v>
      </c>
      <c r="B102">
        <v>0</v>
      </c>
      <c r="C102">
        <v>2043</v>
      </c>
      <c r="D102">
        <v>3052031</v>
      </c>
      <c r="E102">
        <v>8175</v>
      </c>
      <c r="F102">
        <f t="shared" si="1"/>
        <v>3043856</v>
      </c>
    </row>
    <row r="103" spans="1:6" x14ac:dyDescent="0.25">
      <c r="A103">
        <v>1</v>
      </c>
      <c r="B103">
        <v>0</v>
      </c>
      <c r="C103">
        <v>2044</v>
      </c>
      <c r="D103">
        <v>3070908</v>
      </c>
      <c r="E103">
        <v>8057</v>
      </c>
      <c r="F103">
        <f t="shared" si="1"/>
        <v>3062851</v>
      </c>
    </row>
    <row r="104" spans="1:6" x14ac:dyDescent="0.25">
      <c r="A104">
        <v>1</v>
      </c>
      <c r="B104">
        <v>0</v>
      </c>
      <c r="C104">
        <v>2045</v>
      </c>
      <c r="D104">
        <v>3085815</v>
      </c>
      <c r="E104">
        <v>7942</v>
      </c>
      <c r="F104">
        <f t="shared" si="1"/>
        <v>3077873</v>
      </c>
    </row>
    <row r="105" spans="1:6" x14ac:dyDescent="0.25">
      <c r="A105">
        <v>1</v>
      </c>
      <c r="B105">
        <v>0</v>
      </c>
      <c r="C105">
        <v>2046</v>
      </c>
      <c r="D105">
        <v>3096843</v>
      </c>
      <c r="E105">
        <v>7831</v>
      </c>
      <c r="F105">
        <f t="shared" si="1"/>
        <v>3089012</v>
      </c>
    </row>
    <row r="106" spans="1:6" x14ac:dyDescent="0.25">
      <c r="A106">
        <v>1</v>
      </c>
      <c r="B106">
        <v>0</v>
      </c>
      <c r="C106">
        <v>2047</v>
      </c>
      <c r="D106">
        <v>3105579</v>
      </c>
      <c r="E106">
        <v>7722</v>
      </c>
      <c r="F106">
        <f t="shared" si="1"/>
        <v>3097857</v>
      </c>
    </row>
    <row r="107" spans="1:6" x14ac:dyDescent="0.25">
      <c r="A107">
        <v>1</v>
      </c>
      <c r="B107">
        <v>0</v>
      </c>
      <c r="C107">
        <v>2048</v>
      </c>
      <c r="D107">
        <v>3110665</v>
      </c>
      <c r="E107">
        <v>7616</v>
      </c>
      <c r="F107">
        <f t="shared" si="1"/>
        <v>3103049</v>
      </c>
    </row>
    <row r="108" spans="1:6" x14ac:dyDescent="0.25">
      <c r="A108">
        <v>1</v>
      </c>
      <c r="B108">
        <v>0</v>
      </c>
      <c r="C108">
        <v>2049</v>
      </c>
      <c r="D108">
        <v>3111939</v>
      </c>
      <c r="E108">
        <v>7515</v>
      </c>
      <c r="F108">
        <f t="shared" si="1"/>
        <v>3104424</v>
      </c>
    </row>
    <row r="109" spans="1:6" x14ac:dyDescent="0.25">
      <c r="A109">
        <v>1</v>
      </c>
      <c r="B109">
        <v>0</v>
      </c>
      <c r="C109">
        <v>2050</v>
      </c>
      <c r="D109">
        <v>3109692</v>
      </c>
      <c r="E109">
        <v>7417</v>
      </c>
      <c r="F109">
        <f t="shared" si="1"/>
        <v>3102275</v>
      </c>
    </row>
    <row r="110" spans="1:6" x14ac:dyDescent="0.25">
      <c r="A110">
        <v>1</v>
      </c>
      <c r="B110">
        <v>1</v>
      </c>
      <c r="C110">
        <v>2024</v>
      </c>
      <c r="D110">
        <v>1212022</v>
      </c>
      <c r="E110">
        <v>5520</v>
      </c>
      <c r="F110">
        <f t="shared" si="1"/>
        <v>1206502</v>
      </c>
    </row>
    <row r="111" spans="1:6" x14ac:dyDescent="0.25">
      <c r="A111">
        <v>1</v>
      </c>
      <c r="B111">
        <v>1</v>
      </c>
      <c r="C111">
        <v>2025</v>
      </c>
      <c r="D111">
        <v>1234368</v>
      </c>
      <c r="E111">
        <v>5477</v>
      </c>
      <c r="F111">
        <f t="shared" si="1"/>
        <v>1228891</v>
      </c>
    </row>
    <row r="112" spans="1:6" x14ac:dyDescent="0.25">
      <c r="A112">
        <v>1</v>
      </c>
      <c r="B112">
        <v>1</v>
      </c>
      <c r="C112">
        <v>2026</v>
      </c>
      <c r="D112">
        <v>1256441</v>
      </c>
      <c r="E112">
        <v>5434</v>
      </c>
      <c r="F112">
        <f t="shared" si="1"/>
        <v>1251007</v>
      </c>
    </row>
    <row r="113" spans="1:6" x14ac:dyDescent="0.25">
      <c r="A113">
        <v>1</v>
      </c>
      <c r="B113">
        <v>1</v>
      </c>
      <c r="C113">
        <v>2027</v>
      </c>
      <c r="D113">
        <v>1278288</v>
      </c>
      <c r="E113">
        <v>5391</v>
      </c>
      <c r="F113">
        <f t="shared" si="1"/>
        <v>1272897</v>
      </c>
    </row>
    <row r="114" spans="1:6" x14ac:dyDescent="0.25">
      <c r="A114">
        <v>1</v>
      </c>
      <c r="B114">
        <v>1</v>
      </c>
      <c r="C114">
        <v>2028</v>
      </c>
      <c r="D114">
        <v>1300087</v>
      </c>
      <c r="E114">
        <v>5346</v>
      </c>
      <c r="F114">
        <f t="shared" si="1"/>
        <v>1294741</v>
      </c>
    </row>
    <row r="115" spans="1:6" x14ac:dyDescent="0.25">
      <c r="A115">
        <v>1</v>
      </c>
      <c r="B115">
        <v>1</v>
      </c>
      <c r="C115">
        <v>2029</v>
      </c>
      <c r="D115">
        <v>1321760</v>
      </c>
      <c r="E115">
        <v>5302</v>
      </c>
      <c r="F115">
        <f t="shared" si="1"/>
        <v>1316458</v>
      </c>
    </row>
    <row r="116" spans="1:6" x14ac:dyDescent="0.25">
      <c r="A116">
        <v>1</v>
      </c>
      <c r="B116">
        <v>1</v>
      </c>
      <c r="C116">
        <v>2030</v>
      </c>
      <c r="D116">
        <v>1343244</v>
      </c>
      <c r="E116">
        <v>5255</v>
      </c>
      <c r="F116">
        <f t="shared" si="1"/>
        <v>1337989</v>
      </c>
    </row>
    <row r="117" spans="1:6" x14ac:dyDescent="0.25">
      <c r="A117">
        <v>1</v>
      </c>
      <c r="B117">
        <v>1</v>
      </c>
      <c r="C117">
        <v>2031</v>
      </c>
      <c r="D117">
        <v>1364375</v>
      </c>
      <c r="E117">
        <v>5210</v>
      </c>
      <c r="F117">
        <f t="shared" si="1"/>
        <v>1359165</v>
      </c>
    </row>
    <row r="118" spans="1:6" x14ac:dyDescent="0.25">
      <c r="A118">
        <v>1</v>
      </c>
      <c r="B118">
        <v>1</v>
      </c>
      <c r="C118">
        <v>2032</v>
      </c>
      <c r="D118">
        <v>1385003</v>
      </c>
      <c r="E118">
        <v>5162</v>
      </c>
      <c r="F118">
        <f t="shared" si="1"/>
        <v>1379841</v>
      </c>
    </row>
    <row r="119" spans="1:6" x14ac:dyDescent="0.25">
      <c r="A119">
        <v>1</v>
      </c>
      <c r="B119">
        <v>1</v>
      </c>
      <c r="C119">
        <v>2033</v>
      </c>
      <c r="D119">
        <v>1405000</v>
      </c>
      <c r="E119">
        <v>5112</v>
      </c>
      <c r="F119">
        <f t="shared" si="1"/>
        <v>1399888</v>
      </c>
    </row>
    <row r="120" spans="1:6" x14ac:dyDescent="0.25">
      <c r="A120">
        <v>1</v>
      </c>
      <c r="B120">
        <v>1</v>
      </c>
      <c r="C120">
        <v>2034</v>
      </c>
      <c r="D120">
        <v>1424320</v>
      </c>
      <c r="E120">
        <v>5059</v>
      </c>
      <c r="F120">
        <f t="shared" si="1"/>
        <v>1419261</v>
      </c>
    </row>
    <row r="121" spans="1:6" x14ac:dyDescent="0.25">
      <c r="A121">
        <v>1</v>
      </c>
      <c r="B121">
        <v>1</v>
      </c>
      <c r="C121">
        <v>2035</v>
      </c>
      <c r="D121">
        <v>1442894</v>
      </c>
      <c r="E121">
        <v>5004</v>
      </c>
      <c r="F121">
        <f t="shared" si="1"/>
        <v>1437890</v>
      </c>
    </row>
    <row r="122" spans="1:6" x14ac:dyDescent="0.25">
      <c r="A122">
        <v>1</v>
      </c>
      <c r="B122">
        <v>1</v>
      </c>
      <c r="C122">
        <v>2036</v>
      </c>
      <c r="D122">
        <v>1460568</v>
      </c>
      <c r="E122">
        <v>4947</v>
      </c>
      <c r="F122">
        <f t="shared" si="1"/>
        <v>1455621</v>
      </c>
    </row>
    <row r="123" spans="1:6" x14ac:dyDescent="0.25">
      <c r="A123">
        <v>1</v>
      </c>
      <c r="B123">
        <v>1</v>
      </c>
      <c r="C123">
        <v>2037</v>
      </c>
      <c r="D123">
        <v>1477214</v>
      </c>
      <c r="E123">
        <v>4885</v>
      </c>
      <c r="F123">
        <f t="shared" si="1"/>
        <v>1472329</v>
      </c>
    </row>
    <row r="124" spans="1:6" x14ac:dyDescent="0.25">
      <c r="A124">
        <v>1</v>
      </c>
      <c r="B124">
        <v>1</v>
      </c>
      <c r="C124">
        <v>2038</v>
      </c>
      <c r="D124">
        <v>1492698</v>
      </c>
      <c r="E124">
        <v>4820</v>
      </c>
      <c r="F124">
        <f t="shared" si="1"/>
        <v>1487878</v>
      </c>
    </row>
    <row r="125" spans="1:6" x14ac:dyDescent="0.25">
      <c r="A125">
        <v>1</v>
      </c>
      <c r="B125">
        <v>1</v>
      </c>
      <c r="C125">
        <v>2039</v>
      </c>
      <c r="D125">
        <v>1506864</v>
      </c>
      <c r="E125">
        <v>4754</v>
      </c>
      <c r="F125">
        <f t="shared" si="1"/>
        <v>1502110</v>
      </c>
    </row>
    <row r="126" spans="1:6" x14ac:dyDescent="0.25">
      <c r="A126">
        <v>1</v>
      </c>
      <c r="B126">
        <v>1</v>
      </c>
      <c r="C126">
        <v>2040</v>
      </c>
      <c r="D126">
        <v>1519618</v>
      </c>
      <c r="E126">
        <v>4685</v>
      </c>
      <c r="F126">
        <f t="shared" si="1"/>
        <v>1514933</v>
      </c>
    </row>
    <row r="127" spans="1:6" x14ac:dyDescent="0.25">
      <c r="A127">
        <v>1</v>
      </c>
      <c r="B127">
        <v>1</v>
      </c>
      <c r="C127">
        <v>2041</v>
      </c>
      <c r="D127">
        <v>1530876</v>
      </c>
      <c r="E127">
        <v>4615</v>
      </c>
      <c r="F127">
        <f t="shared" si="1"/>
        <v>1526261</v>
      </c>
    </row>
    <row r="128" spans="1:6" x14ac:dyDescent="0.25">
      <c r="A128">
        <v>1</v>
      </c>
      <c r="B128">
        <v>1</v>
      </c>
      <c r="C128">
        <v>2042</v>
      </c>
      <c r="D128">
        <v>1540599</v>
      </c>
      <c r="E128">
        <v>4545</v>
      </c>
      <c r="F128">
        <f t="shared" si="1"/>
        <v>1536054</v>
      </c>
    </row>
    <row r="129" spans="1:6" x14ac:dyDescent="0.25">
      <c r="A129">
        <v>1</v>
      </c>
      <c r="B129">
        <v>1</v>
      </c>
      <c r="C129">
        <v>2043</v>
      </c>
      <c r="D129">
        <v>1548827</v>
      </c>
      <c r="E129">
        <v>4475</v>
      </c>
      <c r="F129">
        <f t="shared" si="1"/>
        <v>1544352</v>
      </c>
    </row>
    <row r="130" spans="1:6" x14ac:dyDescent="0.25">
      <c r="A130">
        <v>1</v>
      </c>
      <c r="B130">
        <v>1</v>
      </c>
      <c r="C130">
        <v>2044</v>
      </c>
      <c r="D130">
        <v>1555290</v>
      </c>
      <c r="E130">
        <v>4406</v>
      </c>
      <c r="F130">
        <f t="shared" ref="F130:F193" si="2">D130-E130</f>
        <v>1550884</v>
      </c>
    </row>
    <row r="131" spans="1:6" x14ac:dyDescent="0.25">
      <c r="A131">
        <v>1</v>
      </c>
      <c r="B131">
        <v>1</v>
      </c>
      <c r="C131">
        <v>2045</v>
      </c>
      <c r="D131">
        <v>1559960</v>
      </c>
      <c r="E131">
        <v>4338</v>
      </c>
      <c r="F131">
        <f t="shared" si="2"/>
        <v>1555622</v>
      </c>
    </row>
    <row r="132" spans="1:6" x14ac:dyDescent="0.25">
      <c r="A132">
        <v>1</v>
      </c>
      <c r="B132">
        <v>1</v>
      </c>
      <c r="C132">
        <v>2046</v>
      </c>
      <c r="D132">
        <v>1562876</v>
      </c>
      <c r="E132">
        <v>4272</v>
      </c>
      <c r="F132">
        <f t="shared" si="2"/>
        <v>1558604</v>
      </c>
    </row>
    <row r="133" spans="1:6" x14ac:dyDescent="0.25">
      <c r="A133">
        <v>1</v>
      </c>
      <c r="B133">
        <v>1</v>
      </c>
      <c r="C133">
        <v>2047</v>
      </c>
      <c r="D133">
        <v>1564685</v>
      </c>
      <c r="E133">
        <v>4209</v>
      </c>
      <c r="F133">
        <f t="shared" si="2"/>
        <v>1560476</v>
      </c>
    </row>
    <row r="134" spans="1:6" x14ac:dyDescent="0.25">
      <c r="A134">
        <v>1</v>
      </c>
      <c r="B134">
        <v>1</v>
      </c>
      <c r="C134">
        <v>2048</v>
      </c>
      <c r="D134">
        <v>1564906</v>
      </c>
      <c r="E134">
        <v>4147</v>
      </c>
      <c r="F134">
        <f t="shared" si="2"/>
        <v>1560759</v>
      </c>
    </row>
    <row r="135" spans="1:6" x14ac:dyDescent="0.25">
      <c r="A135">
        <v>1</v>
      </c>
      <c r="B135">
        <v>1</v>
      </c>
      <c r="C135">
        <v>2049</v>
      </c>
      <c r="D135">
        <v>1563542</v>
      </c>
      <c r="E135">
        <v>4088</v>
      </c>
      <c r="F135">
        <f t="shared" si="2"/>
        <v>1559454</v>
      </c>
    </row>
    <row r="136" spans="1:6" x14ac:dyDescent="0.25">
      <c r="A136">
        <v>1</v>
      </c>
      <c r="B136">
        <v>1</v>
      </c>
      <c r="C136">
        <v>2050</v>
      </c>
      <c r="D136">
        <v>1560793</v>
      </c>
      <c r="E136">
        <v>4030</v>
      </c>
      <c r="F136">
        <f t="shared" si="2"/>
        <v>1556763</v>
      </c>
    </row>
    <row r="137" spans="1:6" x14ac:dyDescent="0.25">
      <c r="A137">
        <v>1</v>
      </c>
      <c r="B137">
        <v>2</v>
      </c>
      <c r="C137">
        <v>2024</v>
      </c>
      <c r="D137">
        <v>1142042</v>
      </c>
      <c r="E137">
        <v>4338</v>
      </c>
      <c r="F137">
        <f t="shared" si="2"/>
        <v>1137704</v>
      </c>
    </row>
    <row r="138" spans="1:6" x14ac:dyDescent="0.25">
      <c r="A138">
        <v>1</v>
      </c>
      <c r="B138">
        <v>2</v>
      </c>
      <c r="C138">
        <v>2025</v>
      </c>
      <c r="D138">
        <v>1158854</v>
      </c>
      <c r="E138">
        <v>4316</v>
      </c>
      <c r="F138">
        <f t="shared" si="2"/>
        <v>1154538</v>
      </c>
    </row>
    <row r="139" spans="1:6" x14ac:dyDescent="0.25">
      <c r="A139">
        <v>1</v>
      </c>
      <c r="B139">
        <v>2</v>
      </c>
      <c r="C139">
        <v>2026</v>
      </c>
      <c r="D139">
        <v>1175474</v>
      </c>
      <c r="E139">
        <v>4295</v>
      </c>
      <c r="F139">
        <f t="shared" si="2"/>
        <v>1171179</v>
      </c>
    </row>
    <row r="140" spans="1:6" x14ac:dyDescent="0.25">
      <c r="A140">
        <v>1</v>
      </c>
      <c r="B140">
        <v>2</v>
      </c>
      <c r="C140">
        <v>2027</v>
      </c>
      <c r="D140">
        <v>1192517</v>
      </c>
      <c r="E140">
        <v>4272</v>
      </c>
      <c r="F140">
        <f t="shared" si="2"/>
        <v>1188245</v>
      </c>
    </row>
    <row r="141" spans="1:6" x14ac:dyDescent="0.25">
      <c r="A141">
        <v>1</v>
      </c>
      <c r="B141">
        <v>2</v>
      </c>
      <c r="C141">
        <v>2028</v>
      </c>
      <c r="D141">
        <v>1210276</v>
      </c>
      <c r="E141">
        <v>4250</v>
      </c>
      <c r="F141">
        <f t="shared" si="2"/>
        <v>1206026</v>
      </c>
    </row>
    <row r="142" spans="1:6" x14ac:dyDescent="0.25">
      <c r="A142">
        <v>1</v>
      </c>
      <c r="B142">
        <v>2</v>
      </c>
      <c r="C142">
        <v>2029</v>
      </c>
      <c r="D142">
        <v>1228819</v>
      </c>
      <c r="E142">
        <v>4227</v>
      </c>
      <c r="F142">
        <f t="shared" si="2"/>
        <v>1224592</v>
      </c>
    </row>
    <row r="143" spans="1:6" x14ac:dyDescent="0.25">
      <c r="A143">
        <v>1</v>
      </c>
      <c r="B143">
        <v>2</v>
      </c>
      <c r="C143">
        <v>2030</v>
      </c>
      <c r="D143">
        <v>1248262</v>
      </c>
      <c r="E143">
        <v>4203</v>
      </c>
      <c r="F143">
        <f t="shared" si="2"/>
        <v>1244059</v>
      </c>
    </row>
    <row r="144" spans="1:6" x14ac:dyDescent="0.25">
      <c r="A144">
        <v>1</v>
      </c>
      <c r="B144">
        <v>2</v>
      </c>
      <c r="C144">
        <v>2031</v>
      </c>
      <c r="D144">
        <v>1268482</v>
      </c>
      <c r="E144">
        <v>4178</v>
      </c>
      <c r="F144">
        <f t="shared" si="2"/>
        <v>1264304</v>
      </c>
    </row>
    <row r="145" spans="1:6" x14ac:dyDescent="0.25">
      <c r="A145">
        <v>1</v>
      </c>
      <c r="B145">
        <v>2</v>
      </c>
      <c r="C145">
        <v>2032</v>
      </c>
      <c r="D145">
        <v>1289356</v>
      </c>
      <c r="E145">
        <v>4151</v>
      </c>
      <c r="F145">
        <f t="shared" si="2"/>
        <v>1285205</v>
      </c>
    </row>
    <row r="146" spans="1:6" x14ac:dyDescent="0.25">
      <c r="A146">
        <v>1</v>
      </c>
      <c r="B146">
        <v>2</v>
      </c>
      <c r="C146">
        <v>2033</v>
      </c>
      <c r="D146">
        <v>1310613</v>
      </c>
      <c r="E146">
        <v>4122</v>
      </c>
      <c r="F146">
        <f t="shared" si="2"/>
        <v>1306491</v>
      </c>
    </row>
    <row r="147" spans="1:6" x14ac:dyDescent="0.25">
      <c r="A147">
        <v>1</v>
      </c>
      <c r="B147">
        <v>2</v>
      </c>
      <c r="C147">
        <v>2034</v>
      </c>
      <c r="D147">
        <v>1332131</v>
      </c>
      <c r="E147">
        <v>4091</v>
      </c>
      <c r="F147">
        <f t="shared" si="2"/>
        <v>1328040</v>
      </c>
    </row>
    <row r="148" spans="1:6" x14ac:dyDescent="0.25">
      <c r="A148">
        <v>1</v>
      </c>
      <c r="B148">
        <v>2</v>
      </c>
      <c r="C148">
        <v>2035</v>
      </c>
      <c r="D148">
        <v>1353850</v>
      </c>
      <c r="E148">
        <v>4057</v>
      </c>
      <c r="F148">
        <f t="shared" si="2"/>
        <v>1349793</v>
      </c>
    </row>
    <row r="149" spans="1:6" x14ac:dyDescent="0.25">
      <c r="A149">
        <v>1</v>
      </c>
      <c r="B149">
        <v>2</v>
      </c>
      <c r="C149">
        <v>2036</v>
      </c>
      <c r="D149">
        <v>1375398</v>
      </c>
      <c r="E149">
        <v>4020</v>
      </c>
      <c r="F149">
        <f t="shared" si="2"/>
        <v>1371378</v>
      </c>
    </row>
    <row r="150" spans="1:6" x14ac:dyDescent="0.25">
      <c r="A150">
        <v>1</v>
      </c>
      <c r="B150">
        <v>2</v>
      </c>
      <c r="C150">
        <v>2037</v>
      </c>
      <c r="D150">
        <v>1396598</v>
      </c>
      <c r="E150">
        <v>3980</v>
      </c>
      <c r="F150">
        <f t="shared" si="2"/>
        <v>1392618</v>
      </c>
    </row>
    <row r="151" spans="1:6" x14ac:dyDescent="0.25">
      <c r="A151">
        <v>1</v>
      </c>
      <c r="B151">
        <v>2</v>
      </c>
      <c r="C151">
        <v>2038</v>
      </c>
      <c r="D151">
        <v>1417201</v>
      </c>
      <c r="E151">
        <v>3939</v>
      </c>
      <c r="F151">
        <f t="shared" si="2"/>
        <v>1413262</v>
      </c>
    </row>
    <row r="152" spans="1:6" x14ac:dyDescent="0.25">
      <c r="A152">
        <v>1</v>
      </c>
      <c r="B152">
        <v>2</v>
      </c>
      <c r="C152">
        <v>2039</v>
      </c>
      <c r="D152">
        <v>1436960</v>
      </c>
      <c r="E152">
        <v>3894</v>
      </c>
      <c r="F152">
        <f t="shared" si="2"/>
        <v>1433066</v>
      </c>
    </row>
    <row r="153" spans="1:6" x14ac:dyDescent="0.25">
      <c r="A153">
        <v>1</v>
      </c>
      <c r="B153">
        <v>2</v>
      </c>
      <c r="C153">
        <v>2040</v>
      </c>
      <c r="D153">
        <v>1455586</v>
      </c>
      <c r="E153">
        <v>3847</v>
      </c>
      <c r="F153">
        <f t="shared" si="2"/>
        <v>1451739</v>
      </c>
    </row>
    <row r="154" spans="1:6" x14ac:dyDescent="0.25">
      <c r="A154">
        <v>1</v>
      </c>
      <c r="B154">
        <v>2</v>
      </c>
      <c r="C154">
        <v>2041</v>
      </c>
      <c r="D154">
        <v>1472906</v>
      </c>
      <c r="E154">
        <v>3798</v>
      </c>
      <c r="F154">
        <f t="shared" si="2"/>
        <v>1469108</v>
      </c>
    </row>
    <row r="155" spans="1:6" x14ac:dyDescent="0.25">
      <c r="A155">
        <v>1</v>
      </c>
      <c r="B155">
        <v>2</v>
      </c>
      <c r="C155">
        <v>2042</v>
      </c>
      <c r="D155">
        <v>1488792</v>
      </c>
      <c r="E155">
        <v>3749</v>
      </c>
      <c r="F155">
        <f t="shared" si="2"/>
        <v>1485043</v>
      </c>
    </row>
    <row r="156" spans="1:6" x14ac:dyDescent="0.25">
      <c r="A156">
        <v>1</v>
      </c>
      <c r="B156">
        <v>2</v>
      </c>
      <c r="C156">
        <v>2043</v>
      </c>
      <c r="D156">
        <v>1503204</v>
      </c>
      <c r="E156">
        <v>3700</v>
      </c>
      <c r="F156">
        <f t="shared" si="2"/>
        <v>1499504</v>
      </c>
    </row>
    <row r="157" spans="1:6" x14ac:dyDescent="0.25">
      <c r="A157">
        <v>1</v>
      </c>
      <c r="B157">
        <v>2</v>
      </c>
      <c r="C157">
        <v>2044</v>
      </c>
      <c r="D157">
        <v>1515618</v>
      </c>
      <c r="E157">
        <v>3651</v>
      </c>
      <c r="F157">
        <f t="shared" si="2"/>
        <v>1511967</v>
      </c>
    </row>
    <row r="158" spans="1:6" x14ac:dyDescent="0.25">
      <c r="A158">
        <v>1</v>
      </c>
      <c r="B158">
        <v>2</v>
      </c>
      <c r="C158">
        <v>2045</v>
      </c>
      <c r="D158">
        <v>1525855</v>
      </c>
      <c r="E158">
        <v>3604</v>
      </c>
      <c r="F158">
        <f t="shared" si="2"/>
        <v>1522251</v>
      </c>
    </row>
    <row r="159" spans="1:6" x14ac:dyDescent="0.25">
      <c r="A159">
        <v>1</v>
      </c>
      <c r="B159">
        <v>2</v>
      </c>
      <c r="C159">
        <v>2046</v>
      </c>
      <c r="D159">
        <v>1533967</v>
      </c>
      <c r="E159">
        <v>3559</v>
      </c>
      <c r="F159">
        <f t="shared" si="2"/>
        <v>1530408</v>
      </c>
    </row>
    <row r="160" spans="1:6" x14ac:dyDescent="0.25">
      <c r="A160">
        <v>1</v>
      </c>
      <c r="B160">
        <v>2</v>
      </c>
      <c r="C160">
        <v>2047</v>
      </c>
      <c r="D160">
        <v>1540894</v>
      </c>
      <c r="E160">
        <v>3513</v>
      </c>
      <c r="F160">
        <f t="shared" si="2"/>
        <v>1537381</v>
      </c>
    </row>
    <row r="161" spans="1:6" x14ac:dyDescent="0.25">
      <c r="A161">
        <v>1</v>
      </c>
      <c r="B161">
        <v>2</v>
      </c>
      <c r="C161">
        <v>2048</v>
      </c>
      <c r="D161">
        <v>1545759</v>
      </c>
      <c r="E161">
        <v>3469</v>
      </c>
      <c r="F161">
        <f t="shared" si="2"/>
        <v>1542290</v>
      </c>
    </row>
    <row r="162" spans="1:6" x14ac:dyDescent="0.25">
      <c r="A162">
        <v>1</v>
      </c>
      <c r="B162">
        <v>2</v>
      </c>
      <c r="C162">
        <v>2049</v>
      </c>
      <c r="D162">
        <v>1548397</v>
      </c>
      <c r="E162">
        <v>3427</v>
      </c>
      <c r="F162">
        <f t="shared" si="2"/>
        <v>1544970</v>
      </c>
    </row>
    <row r="163" spans="1:6" x14ac:dyDescent="0.25">
      <c r="A163">
        <v>1</v>
      </c>
      <c r="B163">
        <v>2</v>
      </c>
      <c r="C163">
        <v>2050</v>
      </c>
      <c r="D163">
        <v>1548899</v>
      </c>
      <c r="E163">
        <v>3387</v>
      </c>
      <c r="F163">
        <f t="shared" si="2"/>
        <v>1545512</v>
      </c>
    </row>
    <row r="164" spans="1:6" x14ac:dyDescent="0.25">
      <c r="A164">
        <v>2</v>
      </c>
      <c r="B164">
        <v>0</v>
      </c>
      <c r="C164">
        <v>2024</v>
      </c>
      <c r="D164">
        <v>366342</v>
      </c>
      <c r="E164">
        <v>4678</v>
      </c>
      <c r="F164">
        <f t="shared" si="2"/>
        <v>361664</v>
      </c>
    </row>
    <row r="165" spans="1:6" x14ac:dyDescent="0.25">
      <c r="A165">
        <v>2</v>
      </c>
      <c r="B165">
        <v>0</v>
      </c>
      <c r="C165">
        <v>2025</v>
      </c>
      <c r="D165">
        <v>371735</v>
      </c>
      <c r="E165">
        <v>4615</v>
      </c>
      <c r="F165">
        <f t="shared" si="2"/>
        <v>367120</v>
      </c>
    </row>
    <row r="166" spans="1:6" x14ac:dyDescent="0.25">
      <c r="A166">
        <v>2</v>
      </c>
      <c r="B166">
        <v>0</v>
      </c>
      <c r="C166">
        <v>2026</v>
      </c>
      <c r="D166">
        <v>377117</v>
      </c>
      <c r="E166">
        <v>4553</v>
      </c>
      <c r="F166">
        <f t="shared" si="2"/>
        <v>372564</v>
      </c>
    </row>
    <row r="167" spans="1:6" x14ac:dyDescent="0.25">
      <c r="A167">
        <v>2</v>
      </c>
      <c r="B167">
        <v>0</v>
      </c>
      <c r="C167">
        <v>2027</v>
      </c>
      <c r="D167">
        <v>382512</v>
      </c>
      <c r="E167">
        <v>4489</v>
      </c>
      <c r="F167">
        <f t="shared" si="2"/>
        <v>378023</v>
      </c>
    </row>
    <row r="168" spans="1:6" x14ac:dyDescent="0.25">
      <c r="A168">
        <v>2</v>
      </c>
      <c r="B168">
        <v>0</v>
      </c>
      <c r="C168">
        <v>2028</v>
      </c>
      <c r="D168">
        <v>388039</v>
      </c>
      <c r="E168">
        <v>4423</v>
      </c>
      <c r="F168">
        <f t="shared" si="2"/>
        <v>383616</v>
      </c>
    </row>
    <row r="169" spans="1:6" x14ac:dyDescent="0.25">
      <c r="A169">
        <v>2</v>
      </c>
      <c r="B169">
        <v>0</v>
      </c>
      <c r="C169">
        <v>2029</v>
      </c>
      <c r="D169">
        <v>393708</v>
      </c>
      <c r="E169">
        <v>4357</v>
      </c>
      <c r="F169">
        <f t="shared" si="2"/>
        <v>389351</v>
      </c>
    </row>
    <row r="170" spans="1:6" x14ac:dyDescent="0.25">
      <c r="A170">
        <v>2</v>
      </c>
      <c r="B170">
        <v>0</v>
      </c>
      <c r="C170">
        <v>2030</v>
      </c>
      <c r="D170">
        <v>399502</v>
      </c>
      <c r="E170">
        <v>4288</v>
      </c>
      <c r="F170">
        <f t="shared" si="2"/>
        <v>395214</v>
      </c>
    </row>
    <row r="171" spans="1:6" x14ac:dyDescent="0.25">
      <c r="A171">
        <v>2</v>
      </c>
      <c r="B171">
        <v>0</v>
      </c>
      <c r="C171">
        <v>2031</v>
      </c>
      <c r="D171">
        <v>405437</v>
      </c>
      <c r="E171">
        <v>4220</v>
      </c>
      <c r="F171">
        <f t="shared" si="2"/>
        <v>401217</v>
      </c>
    </row>
    <row r="172" spans="1:6" x14ac:dyDescent="0.25">
      <c r="A172">
        <v>2</v>
      </c>
      <c r="B172">
        <v>0</v>
      </c>
      <c r="C172">
        <v>2032</v>
      </c>
      <c r="D172">
        <v>411481</v>
      </c>
      <c r="E172">
        <v>4152</v>
      </c>
      <c r="F172">
        <f t="shared" si="2"/>
        <v>407329</v>
      </c>
    </row>
    <row r="173" spans="1:6" x14ac:dyDescent="0.25">
      <c r="A173">
        <v>2</v>
      </c>
      <c r="B173">
        <v>0</v>
      </c>
      <c r="C173">
        <v>2033</v>
      </c>
      <c r="D173">
        <v>417620</v>
      </c>
      <c r="E173">
        <v>4084</v>
      </c>
      <c r="F173">
        <f t="shared" si="2"/>
        <v>413536</v>
      </c>
    </row>
    <row r="174" spans="1:6" x14ac:dyDescent="0.25">
      <c r="A174">
        <v>2</v>
      </c>
      <c r="B174">
        <v>0</v>
      </c>
      <c r="C174">
        <v>2034</v>
      </c>
      <c r="D174">
        <v>423854</v>
      </c>
      <c r="E174">
        <v>4018</v>
      </c>
      <c r="F174">
        <f t="shared" si="2"/>
        <v>419836</v>
      </c>
    </row>
    <row r="175" spans="1:6" x14ac:dyDescent="0.25">
      <c r="A175">
        <v>2</v>
      </c>
      <c r="B175">
        <v>0</v>
      </c>
      <c r="C175">
        <v>2035</v>
      </c>
      <c r="D175">
        <v>430160</v>
      </c>
      <c r="E175">
        <v>3955</v>
      </c>
      <c r="F175">
        <f t="shared" si="2"/>
        <v>426205</v>
      </c>
    </row>
    <row r="176" spans="1:6" x14ac:dyDescent="0.25">
      <c r="A176">
        <v>2</v>
      </c>
      <c r="B176">
        <v>0</v>
      </c>
      <c r="C176">
        <v>2036</v>
      </c>
      <c r="D176">
        <v>436553</v>
      </c>
      <c r="E176">
        <v>3892</v>
      </c>
      <c r="F176">
        <f t="shared" si="2"/>
        <v>432661</v>
      </c>
    </row>
    <row r="177" spans="1:6" x14ac:dyDescent="0.25">
      <c r="A177">
        <v>2</v>
      </c>
      <c r="B177">
        <v>0</v>
      </c>
      <c r="C177">
        <v>2037</v>
      </c>
      <c r="D177">
        <v>442924</v>
      </c>
      <c r="E177">
        <v>3832</v>
      </c>
      <c r="F177">
        <f t="shared" si="2"/>
        <v>439092</v>
      </c>
    </row>
    <row r="178" spans="1:6" x14ac:dyDescent="0.25">
      <c r="A178">
        <v>2</v>
      </c>
      <c r="B178">
        <v>0</v>
      </c>
      <c r="C178">
        <v>2038</v>
      </c>
      <c r="D178">
        <v>449316</v>
      </c>
      <c r="E178">
        <v>3772</v>
      </c>
      <c r="F178">
        <f t="shared" si="2"/>
        <v>445544</v>
      </c>
    </row>
    <row r="179" spans="1:6" x14ac:dyDescent="0.25">
      <c r="A179">
        <v>2</v>
      </c>
      <c r="B179">
        <v>0</v>
      </c>
      <c r="C179">
        <v>2039</v>
      </c>
      <c r="D179">
        <v>455639</v>
      </c>
      <c r="E179">
        <v>3714</v>
      </c>
      <c r="F179">
        <f t="shared" si="2"/>
        <v>451925</v>
      </c>
    </row>
    <row r="180" spans="1:6" x14ac:dyDescent="0.25">
      <c r="A180">
        <v>2</v>
      </c>
      <c r="B180">
        <v>0</v>
      </c>
      <c r="C180">
        <v>2040</v>
      </c>
      <c r="D180">
        <v>461880</v>
      </c>
      <c r="E180">
        <v>3657</v>
      </c>
      <c r="F180">
        <f t="shared" si="2"/>
        <v>458223</v>
      </c>
    </row>
    <row r="181" spans="1:6" x14ac:dyDescent="0.25">
      <c r="A181">
        <v>2</v>
      </c>
      <c r="B181">
        <v>0</v>
      </c>
      <c r="C181">
        <v>2041</v>
      </c>
      <c r="D181">
        <v>468039</v>
      </c>
      <c r="E181">
        <v>3600</v>
      </c>
      <c r="F181">
        <f t="shared" si="2"/>
        <v>464439</v>
      </c>
    </row>
    <row r="182" spans="1:6" x14ac:dyDescent="0.25">
      <c r="A182">
        <v>2</v>
      </c>
      <c r="B182">
        <v>0</v>
      </c>
      <c r="C182">
        <v>2042</v>
      </c>
      <c r="D182">
        <v>474027</v>
      </c>
      <c r="E182">
        <v>3544</v>
      </c>
      <c r="F182">
        <f t="shared" si="2"/>
        <v>470483</v>
      </c>
    </row>
    <row r="183" spans="1:6" x14ac:dyDescent="0.25">
      <c r="A183">
        <v>2</v>
      </c>
      <c r="B183">
        <v>0</v>
      </c>
      <c r="C183">
        <v>2043</v>
      </c>
      <c r="D183">
        <v>479851</v>
      </c>
      <c r="E183">
        <v>3488</v>
      </c>
      <c r="F183">
        <f t="shared" si="2"/>
        <v>476363</v>
      </c>
    </row>
    <row r="184" spans="1:6" x14ac:dyDescent="0.25">
      <c r="A184">
        <v>2</v>
      </c>
      <c r="B184">
        <v>0</v>
      </c>
      <c r="C184">
        <v>2044</v>
      </c>
      <c r="D184">
        <v>485460</v>
      </c>
      <c r="E184">
        <v>3434</v>
      </c>
      <c r="F184">
        <f t="shared" si="2"/>
        <v>482026</v>
      </c>
    </row>
    <row r="185" spans="1:6" x14ac:dyDescent="0.25">
      <c r="A185">
        <v>2</v>
      </c>
      <c r="B185">
        <v>0</v>
      </c>
      <c r="C185">
        <v>2045</v>
      </c>
      <c r="D185">
        <v>490765</v>
      </c>
      <c r="E185">
        <v>3379</v>
      </c>
      <c r="F185">
        <f t="shared" si="2"/>
        <v>487386</v>
      </c>
    </row>
    <row r="186" spans="1:6" x14ac:dyDescent="0.25">
      <c r="A186">
        <v>2</v>
      </c>
      <c r="B186">
        <v>0</v>
      </c>
      <c r="C186">
        <v>2046</v>
      </c>
      <c r="D186">
        <v>495740</v>
      </c>
      <c r="E186">
        <v>3326</v>
      </c>
      <c r="F186">
        <f t="shared" si="2"/>
        <v>492414</v>
      </c>
    </row>
    <row r="187" spans="1:6" x14ac:dyDescent="0.25">
      <c r="A187">
        <v>2</v>
      </c>
      <c r="B187">
        <v>0</v>
      </c>
      <c r="C187">
        <v>2047</v>
      </c>
      <c r="D187">
        <v>500512</v>
      </c>
      <c r="E187">
        <v>3276</v>
      </c>
      <c r="F187">
        <f t="shared" si="2"/>
        <v>497236</v>
      </c>
    </row>
    <row r="188" spans="1:6" x14ac:dyDescent="0.25">
      <c r="A188">
        <v>2</v>
      </c>
      <c r="B188">
        <v>0</v>
      </c>
      <c r="C188">
        <v>2048</v>
      </c>
      <c r="D188">
        <v>504945</v>
      </c>
      <c r="E188">
        <v>3226</v>
      </c>
      <c r="F188">
        <f t="shared" si="2"/>
        <v>501719</v>
      </c>
    </row>
    <row r="189" spans="1:6" x14ac:dyDescent="0.25">
      <c r="A189">
        <v>2</v>
      </c>
      <c r="B189">
        <v>0</v>
      </c>
      <c r="C189">
        <v>2049</v>
      </c>
      <c r="D189">
        <v>509041</v>
      </c>
      <c r="E189">
        <v>3178</v>
      </c>
      <c r="F189">
        <f t="shared" si="2"/>
        <v>505863</v>
      </c>
    </row>
    <row r="190" spans="1:6" x14ac:dyDescent="0.25">
      <c r="A190">
        <v>2</v>
      </c>
      <c r="B190">
        <v>0</v>
      </c>
      <c r="C190">
        <v>2050</v>
      </c>
      <c r="D190">
        <v>512750</v>
      </c>
      <c r="E190">
        <v>3130</v>
      </c>
      <c r="F190">
        <f t="shared" si="2"/>
        <v>509620</v>
      </c>
    </row>
    <row r="191" spans="1:6" x14ac:dyDescent="0.25">
      <c r="A191">
        <v>2</v>
      </c>
      <c r="B191">
        <v>1</v>
      </c>
      <c r="C191">
        <v>2024</v>
      </c>
      <c r="D191">
        <v>189431</v>
      </c>
      <c r="E191">
        <v>2539</v>
      </c>
      <c r="F191">
        <f t="shared" si="2"/>
        <v>186892</v>
      </c>
    </row>
    <row r="192" spans="1:6" x14ac:dyDescent="0.25">
      <c r="A192">
        <v>2</v>
      </c>
      <c r="B192">
        <v>1</v>
      </c>
      <c r="C192">
        <v>2025</v>
      </c>
      <c r="D192">
        <v>191874</v>
      </c>
      <c r="E192">
        <v>2503</v>
      </c>
      <c r="F192">
        <f t="shared" si="2"/>
        <v>189371</v>
      </c>
    </row>
    <row r="193" spans="1:6" x14ac:dyDescent="0.25">
      <c r="A193">
        <v>2</v>
      </c>
      <c r="B193">
        <v>1</v>
      </c>
      <c r="C193">
        <v>2026</v>
      </c>
      <c r="D193">
        <v>194315</v>
      </c>
      <c r="E193">
        <v>2468</v>
      </c>
      <c r="F193">
        <f t="shared" si="2"/>
        <v>191847</v>
      </c>
    </row>
    <row r="194" spans="1:6" x14ac:dyDescent="0.25">
      <c r="A194">
        <v>2</v>
      </c>
      <c r="B194">
        <v>1</v>
      </c>
      <c r="C194">
        <v>2027</v>
      </c>
      <c r="D194">
        <v>196749</v>
      </c>
      <c r="E194">
        <v>2432</v>
      </c>
      <c r="F194">
        <f t="shared" ref="F194:F257" si="3">D194-E194</f>
        <v>194317</v>
      </c>
    </row>
    <row r="195" spans="1:6" x14ac:dyDescent="0.25">
      <c r="A195">
        <v>2</v>
      </c>
      <c r="B195">
        <v>1</v>
      </c>
      <c r="C195">
        <v>2028</v>
      </c>
      <c r="D195">
        <v>199188</v>
      </c>
      <c r="E195">
        <v>2394</v>
      </c>
      <c r="F195">
        <f t="shared" si="3"/>
        <v>196794</v>
      </c>
    </row>
    <row r="196" spans="1:6" x14ac:dyDescent="0.25">
      <c r="A196">
        <v>2</v>
      </c>
      <c r="B196">
        <v>1</v>
      </c>
      <c r="C196">
        <v>2029</v>
      </c>
      <c r="D196">
        <v>201643</v>
      </c>
      <c r="E196">
        <v>2356</v>
      </c>
      <c r="F196">
        <f t="shared" si="3"/>
        <v>199287</v>
      </c>
    </row>
    <row r="197" spans="1:6" x14ac:dyDescent="0.25">
      <c r="A197">
        <v>2</v>
      </c>
      <c r="B197">
        <v>1</v>
      </c>
      <c r="C197">
        <v>2030</v>
      </c>
      <c r="D197">
        <v>204148</v>
      </c>
      <c r="E197">
        <v>2318</v>
      </c>
      <c r="F197">
        <f t="shared" si="3"/>
        <v>201830</v>
      </c>
    </row>
    <row r="198" spans="1:6" x14ac:dyDescent="0.25">
      <c r="A198">
        <v>2</v>
      </c>
      <c r="B198">
        <v>1</v>
      </c>
      <c r="C198">
        <v>2031</v>
      </c>
      <c r="D198">
        <v>206649</v>
      </c>
      <c r="E198">
        <v>2280</v>
      </c>
      <c r="F198">
        <f t="shared" si="3"/>
        <v>204369</v>
      </c>
    </row>
    <row r="199" spans="1:6" x14ac:dyDescent="0.25">
      <c r="A199">
        <v>2</v>
      </c>
      <c r="B199">
        <v>1</v>
      </c>
      <c r="C199">
        <v>2032</v>
      </c>
      <c r="D199">
        <v>209133</v>
      </c>
      <c r="E199">
        <v>2241</v>
      </c>
      <c r="F199">
        <f t="shared" si="3"/>
        <v>206892</v>
      </c>
    </row>
    <row r="200" spans="1:6" x14ac:dyDescent="0.25">
      <c r="A200">
        <v>2</v>
      </c>
      <c r="B200">
        <v>1</v>
      </c>
      <c r="C200">
        <v>2033</v>
      </c>
      <c r="D200">
        <v>211670</v>
      </c>
      <c r="E200">
        <v>2204</v>
      </c>
      <c r="F200">
        <f t="shared" si="3"/>
        <v>209466</v>
      </c>
    </row>
    <row r="201" spans="1:6" x14ac:dyDescent="0.25">
      <c r="A201">
        <v>2</v>
      </c>
      <c r="B201">
        <v>1</v>
      </c>
      <c r="C201">
        <v>2034</v>
      </c>
      <c r="D201">
        <v>214145</v>
      </c>
      <c r="E201">
        <v>2166</v>
      </c>
      <c r="F201">
        <f t="shared" si="3"/>
        <v>211979</v>
      </c>
    </row>
    <row r="202" spans="1:6" x14ac:dyDescent="0.25">
      <c r="A202">
        <v>2</v>
      </c>
      <c r="B202">
        <v>1</v>
      </c>
      <c r="C202">
        <v>2035</v>
      </c>
      <c r="D202">
        <v>216660</v>
      </c>
      <c r="E202">
        <v>2130</v>
      </c>
      <c r="F202">
        <f t="shared" si="3"/>
        <v>214530</v>
      </c>
    </row>
    <row r="203" spans="1:6" x14ac:dyDescent="0.25">
      <c r="A203">
        <v>2</v>
      </c>
      <c r="B203">
        <v>1</v>
      </c>
      <c r="C203">
        <v>2036</v>
      </c>
      <c r="D203">
        <v>219161</v>
      </c>
      <c r="E203">
        <v>2096</v>
      </c>
      <c r="F203">
        <f t="shared" si="3"/>
        <v>217065</v>
      </c>
    </row>
    <row r="204" spans="1:6" x14ac:dyDescent="0.25">
      <c r="A204">
        <v>2</v>
      </c>
      <c r="B204">
        <v>1</v>
      </c>
      <c r="C204">
        <v>2037</v>
      </c>
      <c r="D204">
        <v>221644</v>
      </c>
      <c r="E204">
        <v>2061</v>
      </c>
      <c r="F204">
        <f t="shared" si="3"/>
        <v>219583</v>
      </c>
    </row>
    <row r="205" spans="1:6" x14ac:dyDescent="0.25">
      <c r="A205">
        <v>2</v>
      </c>
      <c r="B205">
        <v>1</v>
      </c>
      <c r="C205">
        <v>2038</v>
      </c>
      <c r="D205">
        <v>224096</v>
      </c>
      <c r="E205">
        <v>2027</v>
      </c>
      <c r="F205">
        <f t="shared" si="3"/>
        <v>222069</v>
      </c>
    </row>
    <row r="206" spans="1:6" x14ac:dyDescent="0.25">
      <c r="A206">
        <v>2</v>
      </c>
      <c r="B206">
        <v>1</v>
      </c>
      <c r="C206">
        <v>2039</v>
      </c>
      <c r="D206">
        <v>226502</v>
      </c>
      <c r="E206">
        <v>1995</v>
      </c>
      <c r="F206">
        <f t="shared" si="3"/>
        <v>224507</v>
      </c>
    </row>
    <row r="207" spans="1:6" x14ac:dyDescent="0.25">
      <c r="A207">
        <v>2</v>
      </c>
      <c r="B207">
        <v>1</v>
      </c>
      <c r="C207">
        <v>2040</v>
      </c>
      <c r="D207">
        <v>228855</v>
      </c>
      <c r="E207">
        <v>1963</v>
      </c>
      <c r="F207">
        <f t="shared" si="3"/>
        <v>226892</v>
      </c>
    </row>
    <row r="208" spans="1:6" x14ac:dyDescent="0.25">
      <c r="A208">
        <v>2</v>
      </c>
      <c r="B208">
        <v>1</v>
      </c>
      <c r="C208">
        <v>2041</v>
      </c>
      <c r="D208">
        <v>231158</v>
      </c>
      <c r="E208">
        <v>1931</v>
      </c>
      <c r="F208">
        <f t="shared" si="3"/>
        <v>229227</v>
      </c>
    </row>
    <row r="209" spans="1:6" x14ac:dyDescent="0.25">
      <c r="A209">
        <v>2</v>
      </c>
      <c r="B209">
        <v>1</v>
      </c>
      <c r="C209">
        <v>2042</v>
      </c>
      <c r="D209">
        <v>233377</v>
      </c>
      <c r="E209">
        <v>1900</v>
      </c>
      <c r="F209">
        <f t="shared" si="3"/>
        <v>231477</v>
      </c>
    </row>
    <row r="210" spans="1:6" x14ac:dyDescent="0.25">
      <c r="A210">
        <v>2</v>
      </c>
      <c r="B210">
        <v>1</v>
      </c>
      <c r="C210">
        <v>2043</v>
      </c>
      <c r="D210">
        <v>235514</v>
      </c>
      <c r="E210">
        <v>1867</v>
      </c>
      <c r="F210">
        <f t="shared" si="3"/>
        <v>233647</v>
      </c>
    </row>
    <row r="211" spans="1:6" x14ac:dyDescent="0.25">
      <c r="A211">
        <v>2</v>
      </c>
      <c r="B211">
        <v>1</v>
      </c>
      <c r="C211">
        <v>2044</v>
      </c>
      <c r="D211">
        <v>237574</v>
      </c>
      <c r="E211">
        <v>1838</v>
      </c>
      <c r="F211">
        <f t="shared" si="3"/>
        <v>235736</v>
      </c>
    </row>
    <row r="212" spans="1:6" x14ac:dyDescent="0.25">
      <c r="A212">
        <v>2</v>
      </c>
      <c r="B212">
        <v>1</v>
      </c>
      <c r="C212">
        <v>2045</v>
      </c>
      <c r="D212">
        <v>239527</v>
      </c>
      <c r="E212">
        <v>1807</v>
      </c>
      <c r="F212">
        <f t="shared" si="3"/>
        <v>237720</v>
      </c>
    </row>
    <row r="213" spans="1:6" x14ac:dyDescent="0.25">
      <c r="A213">
        <v>2</v>
      </c>
      <c r="B213">
        <v>1</v>
      </c>
      <c r="C213">
        <v>2046</v>
      </c>
      <c r="D213">
        <v>241357</v>
      </c>
      <c r="E213">
        <v>1778</v>
      </c>
      <c r="F213">
        <f t="shared" si="3"/>
        <v>239579</v>
      </c>
    </row>
    <row r="214" spans="1:6" x14ac:dyDescent="0.25">
      <c r="A214">
        <v>2</v>
      </c>
      <c r="B214">
        <v>1</v>
      </c>
      <c r="C214">
        <v>2047</v>
      </c>
      <c r="D214">
        <v>243111</v>
      </c>
      <c r="E214">
        <v>1750</v>
      </c>
      <c r="F214">
        <f t="shared" si="3"/>
        <v>241361</v>
      </c>
    </row>
    <row r="215" spans="1:6" x14ac:dyDescent="0.25">
      <c r="A215">
        <v>2</v>
      </c>
      <c r="B215">
        <v>1</v>
      </c>
      <c r="C215">
        <v>2048</v>
      </c>
      <c r="D215">
        <v>244737</v>
      </c>
      <c r="E215">
        <v>1721</v>
      </c>
      <c r="F215">
        <f t="shared" si="3"/>
        <v>243016</v>
      </c>
    </row>
    <row r="216" spans="1:6" x14ac:dyDescent="0.25">
      <c r="A216">
        <v>2</v>
      </c>
      <c r="B216">
        <v>1</v>
      </c>
      <c r="C216">
        <v>2049</v>
      </c>
      <c r="D216">
        <v>246252</v>
      </c>
      <c r="E216">
        <v>1695</v>
      </c>
      <c r="F216">
        <f t="shared" si="3"/>
        <v>244557</v>
      </c>
    </row>
    <row r="217" spans="1:6" x14ac:dyDescent="0.25">
      <c r="A217">
        <v>2</v>
      </c>
      <c r="B217">
        <v>1</v>
      </c>
      <c r="C217">
        <v>2050</v>
      </c>
      <c r="D217">
        <v>247635</v>
      </c>
      <c r="E217">
        <v>1668</v>
      </c>
      <c r="F217">
        <f t="shared" si="3"/>
        <v>245967</v>
      </c>
    </row>
    <row r="218" spans="1:6" x14ac:dyDescent="0.25">
      <c r="A218">
        <v>2</v>
      </c>
      <c r="B218">
        <v>2</v>
      </c>
      <c r="C218">
        <v>2024</v>
      </c>
      <c r="D218">
        <v>176911</v>
      </c>
      <c r="E218">
        <v>2139</v>
      </c>
      <c r="F218">
        <f t="shared" si="3"/>
        <v>174772</v>
      </c>
    </row>
    <row r="219" spans="1:6" x14ac:dyDescent="0.25">
      <c r="A219">
        <v>2</v>
      </c>
      <c r="B219">
        <v>2</v>
      </c>
      <c r="C219">
        <v>2025</v>
      </c>
      <c r="D219">
        <v>179861</v>
      </c>
      <c r="E219">
        <v>2112</v>
      </c>
      <c r="F219">
        <f t="shared" si="3"/>
        <v>177749</v>
      </c>
    </row>
    <row r="220" spans="1:6" x14ac:dyDescent="0.25">
      <c r="A220">
        <v>2</v>
      </c>
      <c r="B220">
        <v>2</v>
      </c>
      <c r="C220">
        <v>2026</v>
      </c>
      <c r="D220">
        <v>182802</v>
      </c>
      <c r="E220">
        <v>2085</v>
      </c>
      <c r="F220">
        <f t="shared" si="3"/>
        <v>180717</v>
      </c>
    </row>
    <row r="221" spans="1:6" x14ac:dyDescent="0.25">
      <c r="A221">
        <v>2</v>
      </c>
      <c r="B221">
        <v>2</v>
      </c>
      <c r="C221">
        <v>2027</v>
      </c>
      <c r="D221">
        <v>185763</v>
      </c>
      <c r="E221">
        <v>2057</v>
      </c>
      <c r="F221">
        <f t="shared" si="3"/>
        <v>183706</v>
      </c>
    </row>
    <row r="222" spans="1:6" x14ac:dyDescent="0.25">
      <c r="A222">
        <v>2</v>
      </c>
      <c r="B222">
        <v>2</v>
      </c>
      <c r="C222">
        <v>2028</v>
      </c>
      <c r="D222">
        <v>188851</v>
      </c>
      <c r="E222">
        <v>2029</v>
      </c>
      <c r="F222">
        <f t="shared" si="3"/>
        <v>186822</v>
      </c>
    </row>
    <row r="223" spans="1:6" x14ac:dyDescent="0.25">
      <c r="A223">
        <v>2</v>
      </c>
      <c r="B223">
        <v>2</v>
      </c>
      <c r="C223">
        <v>2029</v>
      </c>
      <c r="D223">
        <v>192065</v>
      </c>
      <c r="E223">
        <v>2001</v>
      </c>
      <c r="F223">
        <f t="shared" si="3"/>
        <v>190064</v>
      </c>
    </row>
    <row r="224" spans="1:6" x14ac:dyDescent="0.25">
      <c r="A224">
        <v>2</v>
      </c>
      <c r="B224">
        <v>2</v>
      </c>
      <c r="C224">
        <v>2030</v>
      </c>
      <c r="D224">
        <v>195354</v>
      </c>
      <c r="E224">
        <v>1970</v>
      </c>
      <c r="F224">
        <f t="shared" si="3"/>
        <v>193384</v>
      </c>
    </row>
    <row r="225" spans="1:6" x14ac:dyDescent="0.25">
      <c r="A225">
        <v>2</v>
      </c>
      <c r="B225">
        <v>2</v>
      </c>
      <c r="C225">
        <v>2031</v>
      </c>
      <c r="D225">
        <v>198788</v>
      </c>
      <c r="E225">
        <v>1940</v>
      </c>
      <c r="F225">
        <f t="shared" si="3"/>
        <v>196848</v>
      </c>
    </row>
    <row r="226" spans="1:6" x14ac:dyDescent="0.25">
      <c r="A226">
        <v>2</v>
      </c>
      <c r="B226">
        <v>2</v>
      </c>
      <c r="C226">
        <v>2032</v>
      </c>
      <c r="D226">
        <v>202348</v>
      </c>
      <c r="E226">
        <v>1911</v>
      </c>
      <c r="F226">
        <f t="shared" si="3"/>
        <v>200437</v>
      </c>
    </row>
    <row r="227" spans="1:6" x14ac:dyDescent="0.25">
      <c r="A227">
        <v>2</v>
      </c>
      <c r="B227">
        <v>2</v>
      </c>
      <c r="C227">
        <v>2033</v>
      </c>
      <c r="D227">
        <v>205950</v>
      </c>
      <c r="E227">
        <v>1880</v>
      </c>
      <c r="F227">
        <f t="shared" si="3"/>
        <v>204070</v>
      </c>
    </row>
    <row r="228" spans="1:6" x14ac:dyDescent="0.25">
      <c r="A228">
        <v>2</v>
      </c>
      <c r="B228">
        <v>2</v>
      </c>
      <c r="C228">
        <v>2034</v>
      </c>
      <c r="D228">
        <v>209709</v>
      </c>
      <c r="E228">
        <v>1852</v>
      </c>
      <c r="F228">
        <f t="shared" si="3"/>
        <v>207857</v>
      </c>
    </row>
    <row r="229" spans="1:6" x14ac:dyDescent="0.25">
      <c r="A229">
        <v>2</v>
      </c>
      <c r="B229">
        <v>2</v>
      </c>
      <c r="C229">
        <v>2035</v>
      </c>
      <c r="D229">
        <v>213500</v>
      </c>
      <c r="E229">
        <v>1825</v>
      </c>
      <c r="F229">
        <f t="shared" si="3"/>
        <v>211675</v>
      </c>
    </row>
    <row r="230" spans="1:6" x14ac:dyDescent="0.25">
      <c r="A230">
        <v>2</v>
      </c>
      <c r="B230">
        <v>2</v>
      </c>
      <c r="C230">
        <v>2036</v>
      </c>
      <c r="D230">
        <v>217392</v>
      </c>
      <c r="E230">
        <v>1796</v>
      </c>
      <c r="F230">
        <f t="shared" si="3"/>
        <v>215596</v>
      </c>
    </row>
    <row r="231" spans="1:6" x14ac:dyDescent="0.25">
      <c r="A231">
        <v>2</v>
      </c>
      <c r="B231">
        <v>2</v>
      </c>
      <c r="C231">
        <v>2037</v>
      </c>
      <c r="D231">
        <v>221280</v>
      </c>
      <c r="E231">
        <v>1771</v>
      </c>
      <c r="F231">
        <f t="shared" si="3"/>
        <v>219509</v>
      </c>
    </row>
    <row r="232" spans="1:6" x14ac:dyDescent="0.25">
      <c r="A232">
        <v>2</v>
      </c>
      <c r="B232">
        <v>2</v>
      </c>
      <c r="C232">
        <v>2038</v>
      </c>
      <c r="D232">
        <v>225220</v>
      </c>
      <c r="E232">
        <v>1745</v>
      </c>
      <c r="F232">
        <f t="shared" si="3"/>
        <v>223475</v>
      </c>
    </row>
    <row r="233" spans="1:6" x14ac:dyDescent="0.25">
      <c r="A233">
        <v>2</v>
      </c>
      <c r="B233">
        <v>2</v>
      </c>
      <c r="C233">
        <v>2039</v>
      </c>
      <c r="D233">
        <v>229137</v>
      </c>
      <c r="E233">
        <v>1719</v>
      </c>
      <c r="F233">
        <f t="shared" si="3"/>
        <v>227418</v>
      </c>
    </row>
    <row r="234" spans="1:6" x14ac:dyDescent="0.25">
      <c r="A234">
        <v>2</v>
      </c>
      <c r="B234">
        <v>2</v>
      </c>
      <c r="C234">
        <v>2040</v>
      </c>
      <c r="D234">
        <v>233025</v>
      </c>
      <c r="E234">
        <v>1694</v>
      </c>
      <c r="F234">
        <f t="shared" si="3"/>
        <v>231331</v>
      </c>
    </row>
    <row r="235" spans="1:6" x14ac:dyDescent="0.25">
      <c r="A235">
        <v>2</v>
      </c>
      <c r="B235">
        <v>2</v>
      </c>
      <c r="C235">
        <v>2041</v>
      </c>
      <c r="D235">
        <v>236881</v>
      </c>
      <c r="E235">
        <v>1669</v>
      </c>
      <c r="F235">
        <f t="shared" si="3"/>
        <v>235212</v>
      </c>
    </row>
    <row r="236" spans="1:6" x14ac:dyDescent="0.25">
      <c r="A236">
        <v>2</v>
      </c>
      <c r="B236">
        <v>2</v>
      </c>
      <c r="C236">
        <v>2042</v>
      </c>
      <c r="D236">
        <v>240650</v>
      </c>
      <c r="E236">
        <v>1644</v>
      </c>
      <c r="F236">
        <f t="shared" si="3"/>
        <v>239006</v>
      </c>
    </row>
    <row r="237" spans="1:6" x14ac:dyDescent="0.25">
      <c r="A237">
        <v>2</v>
      </c>
      <c r="B237">
        <v>2</v>
      </c>
      <c r="C237">
        <v>2043</v>
      </c>
      <c r="D237">
        <v>244337</v>
      </c>
      <c r="E237">
        <v>1621</v>
      </c>
      <c r="F237">
        <f t="shared" si="3"/>
        <v>242716</v>
      </c>
    </row>
    <row r="238" spans="1:6" x14ac:dyDescent="0.25">
      <c r="A238">
        <v>2</v>
      </c>
      <c r="B238">
        <v>2</v>
      </c>
      <c r="C238">
        <v>2044</v>
      </c>
      <c r="D238">
        <v>247886</v>
      </c>
      <c r="E238">
        <v>1596</v>
      </c>
      <c r="F238">
        <f t="shared" si="3"/>
        <v>246290</v>
      </c>
    </row>
    <row r="239" spans="1:6" x14ac:dyDescent="0.25">
      <c r="A239">
        <v>2</v>
      </c>
      <c r="B239">
        <v>2</v>
      </c>
      <c r="C239">
        <v>2045</v>
      </c>
      <c r="D239">
        <v>251238</v>
      </c>
      <c r="E239">
        <v>1572</v>
      </c>
      <c r="F239">
        <f t="shared" si="3"/>
        <v>249666</v>
      </c>
    </row>
    <row r="240" spans="1:6" x14ac:dyDescent="0.25">
      <c r="A240">
        <v>2</v>
      </c>
      <c r="B240">
        <v>2</v>
      </c>
      <c r="C240">
        <v>2046</v>
      </c>
      <c r="D240">
        <v>254383</v>
      </c>
      <c r="E240">
        <v>1548</v>
      </c>
      <c r="F240">
        <f t="shared" si="3"/>
        <v>252835</v>
      </c>
    </row>
    <row r="241" spans="1:6" x14ac:dyDescent="0.25">
      <c r="A241">
        <v>2</v>
      </c>
      <c r="B241">
        <v>2</v>
      </c>
      <c r="C241">
        <v>2047</v>
      </c>
      <c r="D241">
        <v>257401</v>
      </c>
      <c r="E241">
        <v>1526</v>
      </c>
      <c r="F241">
        <f t="shared" si="3"/>
        <v>255875</v>
      </c>
    </row>
    <row r="242" spans="1:6" x14ac:dyDescent="0.25">
      <c r="A242">
        <v>2</v>
      </c>
      <c r="B242">
        <v>2</v>
      </c>
      <c r="C242">
        <v>2048</v>
      </c>
      <c r="D242">
        <v>260208</v>
      </c>
      <c r="E242">
        <v>1505</v>
      </c>
      <c r="F242">
        <f t="shared" si="3"/>
        <v>258703</v>
      </c>
    </row>
    <row r="243" spans="1:6" x14ac:dyDescent="0.25">
      <c r="A243">
        <v>2</v>
      </c>
      <c r="B243">
        <v>2</v>
      </c>
      <c r="C243">
        <v>2049</v>
      </c>
      <c r="D243">
        <v>262789</v>
      </c>
      <c r="E243">
        <v>1483</v>
      </c>
      <c r="F243">
        <f t="shared" si="3"/>
        <v>261306</v>
      </c>
    </row>
    <row r="244" spans="1:6" x14ac:dyDescent="0.25">
      <c r="A244">
        <v>2</v>
      </c>
      <c r="B244">
        <v>2</v>
      </c>
      <c r="C244">
        <v>2050</v>
      </c>
      <c r="D244">
        <v>265115</v>
      </c>
      <c r="E244">
        <v>1462</v>
      </c>
      <c r="F244">
        <f t="shared" si="3"/>
        <v>263653</v>
      </c>
    </row>
    <row r="245" spans="1:6" x14ac:dyDescent="0.25">
      <c r="A245">
        <v>3</v>
      </c>
      <c r="B245">
        <v>0</v>
      </c>
      <c r="C245">
        <v>2024</v>
      </c>
      <c r="D245">
        <v>29237</v>
      </c>
      <c r="E245">
        <v>354</v>
      </c>
      <c r="F245">
        <f t="shared" si="3"/>
        <v>28883</v>
      </c>
    </row>
    <row r="246" spans="1:6" x14ac:dyDescent="0.25">
      <c r="A246">
        <v>3</v>
      </c>
      <c r="B246">
        <v>0</v>
      </c>
      <c r="C246">
        <v>2025</v>
      </c>
      <c r="D246">
        <v>29690</v>
      </c>
      <c r="E246">
        <v>350</v>
      </c>
      <c r="F246">
        <f t="shared" si="3"/>
        <v>29340</v>
      </c>
    </row>
    <row r="247" spans="1:6" x14ac:dyDescent="0.25">
      <c r="A247">
        <v>3</v>
      </c>
      <c r="B247">
        <v>0</v>
      </c>
      <c r="C247">
        <v>2026</v>
      </c>
      <c r="D247">
        <v>30159</v>
      </c>
      <c r="E247">
        <v>346</v>
      </c>
      <c r="F247">
        <f t="shared" si="3"/>
        <v>29813</v>
      </c>
    </row>
    <row r="248" spans="1:6" x14ac:dyDescent="0.25">
      <c r="A248">
        <v>3</v>
      </c>
      <c r="B248">
        <v>0</v>
      </c>
      <c r="C248">
        <v>2027</v>
      </c>
      <c r="D248">
        <v>30621</v>
      </c>
      <c r="E248">
        <v>342</v>
      </c>
      <c r="F248">
        <f t="shared" si="3"/>
        <v>30279</v>
      </c>
    </row>
    <row r="249" spans="1:6" x14ac:dyDescent="0.25">
      <c r="A249">
        <v>3</v>
      </c>
      <c r="B249">
        <v>0</v>
      </c>
      <c r="C249">
        <v>2028</v>
      </c>
      <c r="D249">
        <v>31099</v>
      </c>
      <c r="E249">
        <v>338</v>
      </c>
      <c r="F249">
        <f t="shared" si="3"/>
        <v>30761</v>
      </c>
    </row>
    <row r="250" spans="1:6" x14ac:dyDescent="0.25">
      <c r="A250">
        <v>3</v>
      </c>
      <c r="B250">
        <v>0</v>
      </c>
      <c r="C250">
        <v>2029</v>
      </c>
      <c r="D250">
        <v>31608</v>
      </c>
      <c r="E250">
        <v>334</v>
      </c>
      <c r="F250">
        <f t="shared" si="3"/>
        <v>31274</v>
      </c>
    </row>
    <row r="251" spans="1:6" x14ac:dyDescent="0.25">
      <c r="A251">
        <v>3</v>
      </c>
      <c r="B251">
        <v>0</v>
      </c>
      <c r="C251">
        <v>2030</v>
      </c>
      <c r="D251">
        <v>32135</v>
      </c>
      <c r="E251">
        <v>330</v>
      </c>
      <c r="F251">
        <f t="shared" si="3"/>
        <v>31805</v>
      </c>
    </row>
    <row r="252" spans="1:6" x14ac:dyDescent="0.25">
      <c r="A252">
        <v>3</v>
      </c>
      <c r="B252">
        <v>0</v>
      </c>
      <c r="C252">
        <v>2031</v>
      </c>
      <c r="D252">
        <v>32659</v>
      </c>
      <c r="E252">
        <v>325</v>
      </c>
      <c r="F252">
        <f t="shared" si="3"/>
        <v>32334</v>
      </c>
    </row>
    <row r="253" spans="1:6" x14ac:dyDescent="0.25">
      <c r="A253">
        <v>3</v>
      </c>
      <c r="B253">
        <v>0</v>
      </c>
      <c r="C253">
        <v>2032</v>
      </c>
      <c r="D253">
        <v>33204</v>
      </c>
      <c r="E253">
        <v>321</v>
      </c>
      <c r="F253">
        <f t="shared" si="3"/>
        <v>32883</v>
      </c>
    </row>
    <row r="254" spans="1:6" x14ac:dyDescent="0.25">
      <c r="A254">
        <v>3</v>
      </c>
      <c r="B254">
        <v>0</v>
      </c>
      <c r="C254">
        <v>2033</v>
      </c>
      <c r="D254">
        <v>33780</v>
      </c>
      <c r="E254">
        <v>316</v>
      </c>
      <c r="F254">
        <f t="shared" si="3"/>
        <v>33464</v>
      </c>
    </row>
    <row r="255" spans="1:6" x14ac:dyDescent="0.25">
      <c r="A255">
        <v>3</v>
      </c>
      <c r="B255">
        <v>0</v>
      </c>
      <c r="C255">
        <v>2034</v>
      </c>
      <c r="D255">
        <v>34368</v>
      </c>
      <c r="E255">
        <v>313</v>
      </c>
      <c r="F255">
        <f t="shared" si="3"/>
        <v>34055</v>
      </c>
    </row>
    <row r="256" spans="1:6" x14ac:dyDescent="0.25">
      <c r="A256">
        <v>3</v>
      </c>
      <c r="B256">
        <v>0</v>
      </c>
      <c r="C256">
        <v>2035</v>
      </c>
      <c r="D256">
        <v>34971</v>
      </c>
      <c r="E256">
        <v>308</v>
      </c>
      <c r="F256">
        <f t="shared" si="3"/>
        <v>34663</v>
      </c>
    </row>
    <row r="257" spans="1:6" x14ac:dyDescent="0.25">
      <c r="A257">
        <v>3</v>
      </c>
      <c r="B257">
        <v>0</v>
      </c>
      <c r="C257">
        <v>2036</v>
      </c>
      <c r="D257">
        <v>35584</v>
      </c>
      <c r="E257">
        <v>304</v>
      </c>
      <c r="F257">
        <f t="shared" si="3"/>
        <v>35280</v>
      </c>
    </row>
    <row r="258" spans="1:6" x14ac:dyDescent="0.25">
      <c r="A258">
        <v>3</v>
      </c>
      <c r="B258">
        <v>0</v>
      </c>
      <c r="C258">
        <v>2037</v>
      </c>
      <c r="D258">
        <v>36192</v>
      </c>
      <c r="E258">
        <v>300</v>
      </c>
      <c r="F258">
        <f t="shared" ref="F258:F321" si="4">D258-E258</f>
        <v>35892</v>
      </c>
    </row>
    <row r="259" spans="1:6" x14ac:dyDescent="0.25">
      <c r="A259">
        <v>3</v>
      </c>
      <c r="B259">
        <v>0</v>
      </c>
      <c r="C259">
        <v>2038</v>
      </c>
      <c r="D259">
        <v>36831</v>
      </c>
      <c r="E259">
        <v>295</v>
      </c>
      <c r="F259">
        <f t="shared" si="4"/>
        <v>36536</v>
      </c>
    </row>
    <row r="260" spans="1:6" x14ac:dyDescent="0.25">
      <c r="A260">
        <v>3</v>
      </c>
      <c r="B260">
        <v>0</v>
      </c>
      <c r="C260">
        <v>2039</v>
      </c>
      <c r="D260">
        <v>37464</v>
      </c>
      <c r="E260">
        <v>291</v>
      </c>
      <c r="F260">
        <f t="shared" si="4"/>
        <v>37173</v>
      </c>
    </row>
    <row r="261" spans="1:6" x14ac:dyDescent="0.25">
      <c r="A261">
        <v>3</v>
      </c>
      <c r="B261">
        <v>0</v>
      </c>
      <c r="C261">
        <v>2040</v>
      </c>
      <c r="D261">
        <v>38082</v>
      </c>
      <c r="E261">
        <v>287</v>
      </c>
      <c r="F261">
        <f t="shared" si="4"/>
        <v>37795</v>
      </c>
    </row>
    <row r="262" spans="1:6" x14ac:dyDescent="0.25">
      <c r="A262">
        <v>3</v>
      </c>
      <c r="B262">
        <v>0</v>
      </c>
      <c r="C262">
        <v>2041</v>
      </c>
      <c r="D262">
        <v>38716</v>
      </c>
      <c r="E262">
        <v>282</v>
      </c>
      <c r="F262">
        <f t="shared" si="4"/>
        <v>38434</v>
      </c>
    </row>
    <row r="263" spans="1:6" x14ac:dyDescent="0.25">
      <c r="A263">
        <v>3</v>
      </c>
      <c r="B263">
        <v>0</v>
      </c>
      <c r="C263">
        <v>2042</v>
      </c>
      <c r="D263">
        <v>39315</v>
      </c>
      <c r="E263">
        <v>277</v>
      </c>
      <c r="F263">
        <f t="shared" si="4"/>
        <v>39038</v>
      </c>
    </row>
    <row r="264" spans="1:6" x14ac:dyDescent="0.25">
      <c r="A264">
        <v>3</v>
      </c>
      <c r="B264">
        <v>0</v>
      </c>
      <c r="C264">
        <v>2043</v>
      </c>
      <c r="D264">
        <v>39934</v>
      </c>
      <c r="E264">
        <v>272</v>
      </c>
      <c r="F264">
        <f t="shared" si="4"/>
        <v>39662</v>
      </c>
    </row>
    <row r="265" spans="1:6" x14ac:dyDescent="0.25">
      <c r="A265">
        <v>3</v>
      </c>
      <c r="B265">
        <v>0</v>
      </c>
      <c r="C265">
        <v>2044</v>
      </c>
      <c r="D265">
        <v>40523</v>
      </c>
      <c r="E265">
        <v>267</v>
      </c>
      <c r="F265">
        <f t="shared" si="4"/>
        <v>40256</v>
      </c>
    </row>
    <row r="266" spans="1:6" x14ac:dyDescent="0.25">
      <c r="A266">
        <v>3</v>
      </c>
      <c r="B266">
        <v>0</v>
      </c>
      <c r="C266">
        <v>2045</v>
      </c>
      <c r="D266">
        <v>41088</v>
      </c>
      <c r="E266">
        <v>262</v>
      </c>
      <c r="F266">
        <f t="shared" si="4"/>
        <v>40826</v>
      </c>
    </row>
    <row r="267" spans="1:6" x14ac:dyDescent="0.25">
      <c r="A267">
        <v>3</v>
      </c>
      <c r="B267">
        <v>0</v>
      </c>
      <c r="C267">
        <v>2046</v>
      </c>
      <c r="D267">
        <v>41657</v>
      </c>
      <c r="E267">
        <v>256</v>
      </c>
      <c r="F267">
        <f t="shared" si="4"/>
        <v>41401</v>
      </c>
    </row>
    <row r="268" spans="1:6" x14ac:dyDescent="0.25">
      <c r="A268">
        <v>3</v>
      </c>
      <c r="B268">
        <v>0</v>
      </c>
      <c r="C268">
        <v>2047</v>
      </c>
      <c r="D268">
        <v>42198</v>
      </c>
      <c r="E268">
        <v>251</v>
      </c>
      <c r="F268">
        <f t="shared" si="4"/>
        <v>41947</v>
      </c>
    </row>
    <row r="269" spans="1:6" x14ac:dyDescent="0.25">
      <c r="A269">
        <v>3</v>
      </c>
      <c r="B269">
        <v>0</v>
      </c>
      <c r="C269">
        <v>2048</v>
      </c>
      <c r="D269">
        <v>42717</v>
      </c>
      <c r="E269">
        <v>247</v>
      </c>
      <c r="F269">
        <f t="shared" si="4"/>
        <v>42470</v>
      </c>
    </row>
    <row r="270" spans="1:6" x14ac:dyDescent="0.25">
      <c r="A270">
        <v>3</v>
      </c>
      <c r="B270">
        <v>0</v>
      </c>
      <c r="C270">
        <v>2049</v>
      </c>
      <c r="D270">
        <v>43205</v>
      </c>
      <c r="E270">
        <v>241</v>
      </c>
      <c r="F270">
        <f t="shared" si="4"/>
        <v>42964</v>
      </c>
    </row>
    <row r="271" spans="1:6" x14ac:dyDescent="0.25">
      <c r="A271">
        <v>3</v>
      </c>
      <c r="B271">
        <v>0</v>
      </c>
      <c r="C271">
        <v>2050</v>
      </c>
      <c r="D271">
        <v>43676</v>
      </c>
      <c r="E271">
        <v>237</v>
      </c>
      <c r="F271">
        <f t="shared" si="4"/>
        <v>43439</v>
      </c>
    </row>
    <row r="272" spans="1:6" x14ac:dyDescent="0.25">
      <c r="A272">
        <v>3</v>
      </c>
      <c r="B272">
        <v>1</v>
      </c>
      <c r="C272">
        <v>2024</v>
      </c>
      <c r="D272">
        <v>16467</v>
      </c>
      <c r="E272">
        <v>191</v>
      </c>
      <c r="F272">
        <f t="shared" si="4"/>
        <v>16276</v>
      </c>
    </row>
    <row r="273" spans="1:6" x14ac:dyDescent="0.25">
      <c r="A273">
        <v>3</v>
      </c>
      <c r="B273">
        <v>1</v>
      </c>
      <c r="C273">
        <v>2025</v>
      </c>
      <c r="D273">
        <v>16677</v>
      </c>
      <c r="E273">
        <v>188</v>
      </c>
      <c r="F273">
        <f t="shared" si="4"/>
        <v>16489</v>
      </c>
    </row>
    <row r="274" spans="1:6" x14ac:dyDescent="0.25">
      <c r="A274">
        <v>3</v>
      </c>
      <c r="B274">
        <v>1</v>
      </c>
      <c r="C274">
        <v>2026</v>
      </c>
      <c r="D274">
        <v>16880</v>
      </c>
      <c r="E274">
        <v>186</v>
      </c>
      <c r="F274">
        <f t="shared" si="4"/>
        <v>16694</v>
      </c>
    </row>
    <row r="275" spans="1:6" x14ac:dyDescent="0.25">
      <c r="A275">
        <v>3</v>
      </c>
      <c r="B275">
        <v>1</v>
      </c>
      <c r="C275">
        <v>2027</v>
      </c>
      <c r="D275">
        <v>17085</v>
      </c>
      <c r="E275">
        <v>184</v>
      </c>
      <c r="F275">
        <f t="shared" si="4"/>
        <v>16901</v>
      </c>
    </row>
    <row r="276" spans="1:6" x14ac:dyDescent="0.25">
      <c r="A276">
        <v>3</v>
      </c>
      <c r="B276">
        <v>1</v>
      </c>
      <c r="C276">
        <v>2028</v>
      </c>
      <c r="D276">
        <v>17296</v>
      </c>
      <c r="E276">
        <v>182</v>
      </c>
      <c r="F276">
        <f t="shared" si="4"/>
        <v>17114</v>
      </c>
    </row>
    <row r="277" spans="1:6" x14ac:dyDescent="0.25">
      <c r="A277">
        <v>3</v>
      </c>
      <c r="B277">
        <v>1</v>
      </c>
      <c r="C277">
        <v>2029</v>
      </c>
      <c r="D277">
        <v>17517</v>
      </c>
      <c r="E277">
        <v>180</v>
      </c>
      <c r="F277">
        <f t="shared" si="4"/>
        <v>17337</v>
      </c>
    </row>
    <row r="278" spans="1:6" x14ac:dyDescent="0.25">
      <c r="A278">
        <v>3</v>
      </c>
      <c r="B278">
        <v>1</v>
      </c>
      <c r="C278">
        <v>2030</v>
      </c>
      <c r="D278">
        <v>17743</v>
      </c>
      <c r="E278">
        <v>177</v>
      </c>
      <c r="F278">
        <f t="shared" si="4"/>
        <v>17566</v>
      </c>
    </row>
    <row r="279" spans="1:6" x14ac:dyDescent="0.25">
      <c r="A279">
        <v>3</v>
      </c>
      <c r="B279">
        <v>1</v>
      </c>
      <c r="C279">
        <v>2031</v>
      </c>
      <c r="D279">
        <v>17972</v>
      </c>
      <c r="E279">
        <v>175</v>
      </c>
      <c r="F279">
        <f t="shared" si="4"/>
        <v>17797</v>
      </c>
    </row>
    <row r="280" spans="1:6" x14ac:dyDescent="0.25">
      <c r="A280">
        <v>3</v>
      </c>
      <c r="B280">
        <v>1</v>
      </c>
      <c r="C280">
        <v>2032</v>
      </c>
      <c r="D280">
        <v>18189</v>
      </c>
      <c r="E280">
        <v>172</v>
      </c>
      <c r="F280">
        <f t="shared" si="4"/>
        <v>18017</v>
      </c>
    </row>
    <row r="281" spans="1:6" x14ac:dyDescent="0.25">
      <c r="A281">
        <v>3</v>
      </c>
      <c r="B281">
        <v>1</v>
      </c>
      <c r="C281">
        <v>2033</v>
      </c>
      <c r="D281">
        <v>18439</v>
      </c>
      <c r="E281">
        <v>170</v>
      </c>
      <c r="F281">
        <f t="shared" si="4"/>
        <v>18269</v>
      </c>
    </row>
    <row r="282" spans="1:6" x14ac:dyDescent="0.25">
      <c r="A282">
        <v>3</v>
      </c>
      <c r="B282">
        <v>1</v>
      </c>
      <c r="C282">
        <v>2034</v>
      </c>
      <c r="D282">
        <v>18683</v>
      </c>
      <c r="E282">
        <v>167</v>
      </c>
      <c r="F282">
        <f t="shared" si="4"/>
        <v>18516</v>
      </c>
    </row>
    <row r="283" spans="1:6" x14ac:dyDescent="0.25">
      <c r="A283">
        <v>3</v>
      </c>
      <c r="B283">
        <v>1</v>
      </c>
      <c r="C283">
        <v>2035</v>
      </c>
      <c r="D283">
        <v>18942</v>
      </c>
      <c r="E283">
        <v>164</v>
      </c>
      <c r="F283">
        <f t="shared" si="4"/>
        <v>18778</v>
      </c>
    </row>
    <row r="284" spans="1:6" x14ac:dyDescent="0.25">
      <c r="A284">
        <v>3</v>
      </c>
      <c r="B284">
        <v>1</v>
      </c>
      <c r="C284">
        <v>2036</v>
      </c>
      <c r="D284">
        <v>19191</v>
      </c>
      <c r="E284">
        <v>163</v>
      </c>
      <c r="F284">
        <f t="shared" si="4"/>
        <v>19028</v>
      </c>
    </row>
    <row r="285" spans="1:6" x14ac:dyDescent="0.25">
      <c r="A285">
        <v>3</v>
      </c>
      <c r="B285">
        <v>1</v>
      </c>
      <c r="C285">
        <v>2037</v>
      </c>
      <c r="D285">
        <v>19439</v>
      </c>
      <c r="E285">
        <v>160</v>
      </c>
      <c r="F285">
        <f t="shared" si="4"/>
        <v>19279</v>
      </c>
    </row>
    <row r="286" spans="1:6" x14ac:dyDescent="0.25">
      <c r="A286">
        <v>3</v>
      </c>
      <c r="B286">
        <v>1</v>
      </c>
      <c r="C286">
        <v>2038</v>
      </c>
      <c r="D286">
        <v>19694</v>
      </c>
      <c r="E286">
        <v>157</v>
      </c>
      <c r="F286">
        <f t="shared" si="4"/>
        <v>19537</v>
      </c>
    </row>
    <row r="287" spans="1:6" x14ac:dyDescent="0.25">
      <c r="A287">
        <v>3</v>
      </c>
      <c r="B287">
        <v>1</v>
      </c>
      <c r="C287">
        <v>2039</v>
      </c>
      <c r="D287">
        <v>19957</v>
      </c>
      <c r="E287">
        <v>155</v>
      </c>
      <c r="F287">
        <f t="shared" si="4"/>
        <v>19802</v>
      </c>
    </row>
    <row r="288" spans="1:6" x14ac:dyDescent="0.25">
      <c r="A288">
        <v>3</v>
      </c>
      <c r="B288">
        <v>1</v>
      </c>
      <c r="C288">
        <v>2040</v>
      </c>
      <c r="D288">
        <v>20216</v>
      </c>
      <c r="E288">
        <v>153</v>
      </c>
      <c r="F288">
        <f t="shared" si="4"/>
        <v>20063</v>
      </c>
    </row>
    <row r="289" spans="1:6" x14ac:dyDescent="0.25">
      <c r="A289">
        <v>3</v>
      </c>
      <c r="B289">
        <v>1</v>
      </c>
      <c r="C289">
        <v>2041</v>
      </c>
      <c r="D289">
        <v>20449</v>
      </c>
      <c r="E289">
        <v>150</v>
      </c>
      <c r="F289">
        <f t="shared" si="4"/>
        <v>20299</v>
      </c>
    </row>
    <row r="290" spans="1:6" x14ac:dyDescent="0.25">
      <c r="A290">
        <v>3</v>
      </c>
      <c r="B290">
        <v>1</v>
      </c>
      <c r="C290">
        <v>2042</v>
      </c>
      <c r="D290">
        <v>20700</v>
      </c>
      <c r="E290">
        <v>147</v>
      </c>
      <c r="F290">
        <f t="shared" si="4"/>
        <v>20553</v>
      </c>
    </row>
    <row r="291" spans="1:6" x14ac:dyDescent="0.25">
      <c r="A291">
        <v>3</v>
      </c>
      <c r="B291">
        <v>1</v>
      </c>
      <c r="C291">
        <v>2043</v>
      </c>
      <c r="D291">
        <v>20954</v>
      </c>
      <c r="E291">
        <v>144</v>
      </c>
      <c r="F291">
        <f t="shared" si="4"/>
        <v>20810</v>
      </c>
    </row>
    <row r="292" spans="1:6" x14ac:dyDescent="0.25">
      <c r="A292">
        <v>3</v>
      </c>
      <c r="B292">
        <v>1</v>
      </c>
      <c r="C292">
        <v>2044</v>
      </c>
      <c r="D292">
        <v>21183</v>
      </c>
      <c r="E292">
        <v>142</v>
      </c>
      <c r="F292">
        <f t="shared" si="4"/>
        <v>21041</v>
      </c>
    </row>
    <row r="293" spans="1:6" x14ac:dyDescent="0.25">
      <c r="A293">
        <v>3</v>
      </c>
      <c r="B293">
        <v>1</v>
      </c>
      <c r="C293">
        <v>2045</v>
      </c>
      <c r="D293">
        <v>21418</v>
      </c>
      <c r="E293">
        <v>139</v>
      </c>
      <c r="F293">
        <f t="shared" si="4"/>
        <v>21279</v>
      </c>
    </row>
    <row r="294" spans="1:6" x14ac:dyDescent="0.25">
      <c r="A294">
        <v>3</v>
      </c>
      <c r="B294">
        <v>1</v>
      </c>
      <c r="C294">
        <v>2046</v>
      </c>
      <c r="D294">
        <v>21650</v>
      </c>
      <c r="E294">
        <v>136</v>
      </c>
      <c r="F294">
        <f t="shared" si="4"/>
        <v>21514</v>
      </c>
    </row>
    <row r="295" spans="1:6" x14ac:dyDescent="0.25">
      <c r="A295">
        <v>3</v>
      </c>
      <c r="B295">
        <v>1</v>
      </c>
      <c r="C295">
        <v>2047</v>
      </c>
      <c r="D295">
        <v>21881</v>
      </c>
      <c r="E295">
        <v>132</v>
      </c>
      <c r="F295">
        <f t="shared" si="4"/>
        <v>21749</v>
      </c>
    </row>
    <row r="296" spans="1:6" x14ac:dyDescent="0.25">
      <c r="A296">
        <v>3</v>
      </c>
      <c r="B296">
        <v>1</v>
      </c>
      <c r="C296">
        <v>2048</v>
      </c>
      <c r="D296">
        <v>22088</v>
      </c>
      <c r="E296">
        <v>130</v>
      </c>
      <c r="F296">
        <f t="shared" si="4"/>
        <v>21958</v>
      </c>
    </row>
    <row r="297" spans="1:6" x14ac:dyDescent="0.25">
      <c r="A297">
        <v>3</v>
      </c>
      <c r="B297">
        <v>1</v>
      </c>
      <c r="C297">
        <v>2049</v>
      </c>
      <c r="D297">
        <v>22296</v>
      </c>
      <c r="E297">
        <v>127</v>
      </c>
      <c r="F297">
        <f t="shared" si="4"/>
        <v>22169</v>
      </c>
    </row>
    <row r="298" spans="1:6" x14ac:dyDescent="0.25">
      <c r="A298">
        <v>3</v>
      </c>
      <c r="B298">
        <v>1</v>
      </c>
      <c r="C298">
        <v>2050</v>
      </c>
      <c r="D298">
        <v>22496</v>
      </c>
      <c r="E298">
        <v>125</v>
      </c>
      <c r="F298">
        <f t="shared" si="4"/>
        <v>22371</v>
      </c>
    </row>
    <row r="299" spans="1:6" x14ac:dyDescent="0.25">
      <c r="A299">
        <v>3</v>
      </c>
      <c r="B299">
        <v>2</v>
      </c>
      <c r="C299">
        <v>2024</v>
      </c>
      <c r="D299">
        <v>12770</v>
      </c>
      <c r="E299">
        <v>163</v>
      </c>
      <c r="F299">
        <f t="shared" si="4"/>
        <v>12607</v>
      </c>
    </row>
    <row r="300" spans="1:6" x14ac:dyDescent="0.25">
      <c r="A300">
        <v>3</v>
      </c>
      <c r="B300">
        <v>2</v>
      </c>
      <c r="C300">
        <v>2025</v>
      </c>
      <c r="D300">
        <v>13013</v>
      </c>
      <c r="E300">
        <v>162</v>
      </c>
      <c r="F300">
        <f t="shared" si="4"/>
        <v>12851</v>
      </c>
    </row>
    <row r="301" spans="1:6" x14ac:dyDescent="0.25">
      <c r="A301">
        <v>3</v>
      </c>
      <c r="B301">
        <v>2</v>
      </c>
      <c r="C301">
        <v>2026</v>
      </c>
      <c r="D301">
        <v>13279</v>
      </c>
      <c r="E301">
        <v>160</v>
      </c>
      <c r="F301">
        <f t="shared" si="4"/>
        <v>13119</v>
      </c>
    </row>
    <row r="302" spans="1:6" x14ac:dyDescent="0.25">
      <c r="A302">
        <v>3</v>
      </c>
      <c r="B302">
        <v>2</v>
      </c>
      <c r="C302">
        <v>2027</v>
      </c>
      <c r="D302">
        <v>13536</v>
      </c>
      <c r="E302">
        <v>158</v>
      </c>
      <c r="F302">
        <f t="shared" si="4"/>
        <v>13378</v>
      </c>
    </row>
    <row r="303" spans="1:6" x14ac:dyDescent="0.25">
      <c r="A303">
        <v>3</v>
      </c>
      <c r="B303">
        <v>2</v>
      </c>
      <c r="C303">
        <v>2028</v>
      </c>
      <c r="D303">
        <v>13803</v>
      </c>
      <c r="E303">
        <v>156</v>
      </c>
      <c r="F303">
        <f t="shared" si="4"/>
        <v>13647</v>
      </c>
    </row>
    <row r="304" spans="1:6" x14ac:dyDescent="0.25">
      <c r="A304">
        <v>3</v>
      </c>
      <c r="B304">
        <v>2</v>
      </c>
      <c r="C304">
        <v>2029</v>
      </c>
      <c r="D304">
        <v>14091</v>
      </c>
      <c r="E304">
        <v>154</v>
      </c>
      <c r="F304">
        <f t="shared" si="4"/>
        <v>13937</v>
      </c>
    </row>
    <row r="305" spans="1:6" x14ac:dyDescent="0.25">
      <c r="A305">
        <v>3</v>
      </c>
      <c r="B305">
        <v>2</v>
      </c>
      <c r="C305">
        <v>2030</v>
      </c>
      <c r="D305">
        <v>14392</v>
      </c>
      <c r="E305">
        <v>153</v>
      </c>
      <c r="F305">
        <f t="shared" si="4"/>
        <v>14239</v>
      </c>
    </row>
    <row r="306" spans="1:6" x14ac:dyDescent="0.25">
      <c r="A306">
        <v>3</v>
      </c>
      <c r="B306">
        <v>2</v>
      </c>
      <c r="C306">
        <v>2031</v>
      </c>
      <c r="D306">
        <v>14687</v>
      </c>
      <c r="E306">
        <v>150</v>
      </c>
      <c r="F306">
        <f t="shared" si="4"/>
        <v>14537</v>
      </c>
    </row>
    <row r="307" spans="1:6" x14ac:dyDescent="0.25">
      <c r="A307">
        <v>3</v>
      </c>
      <c r="B307">
        <v>2</v>
      </c>
      <c r="C307">
        <v>2032</v>
      </c>
      <c r="D307">
        <v>15015</v>
      </c>
      <c r="E307">
        <v>149</v>
      </c>
      <c r="F307">
        <f t="shared" si="4"/>
        <v>14866</v>
      </c>
    </row>
    <row r="308" spans="1:6" x14ac:dyDescent="0.25">
      <c r="A308">
        <v>3</v>
      </c>
      <c r="B308">
        <v>2</v>
      </c>
      <c r="C308">
        <v>2033</v>
      </c>
      <c r="D308">
        <v>15341</v>
      </c>
      <c r="E308">
        <v>146</v>
      </c>
      <c r="F308">
        <f t="shared" si="4"/>
        <v>15195</v>
      </c>
    </row>
    <row r="309" spans="1:6" x14ac:dyDescent="0.25">
      <c r="A309">
        <v>3</v>
      </c>
      <c r="B309">
        <v>2</v>
      </c>
      <c r="C309">
        <v>2034</v>
      </c>
      <c r="D309">
        <v>15685</v>
      </c>
      <c r="E309">
        <v>146</v>
      </c>
      <c r="F309">
        <f t="shared" si="4"/>
        <v>15539</v>
      </c>
    </row>
    <row r="310" spans="1:6" x14ac:dyDescent="0.25">
      <c r="A310">
        <v>3</v>
      </c>
      <c r="B310">
        <v>2</v>
      </c>
      <c r="C310">
        <v>2035</v>
      </c>
      <c r="D310">
        <v>16029</v>
      </c>
      <c r="E310">
        <v>144</v>
      </c>
      <c r="F310">
        <f t="shared" si="4"/>
        <v>15885</v>
      </c>
    </row>
    <row r="311" spans="1:6" x14ac:dyDescent="0.25">
      <c r="A311">
        <v>3</v>
      </c>
      <c r="B311">
        <v>2</v>
      </c>
      <c r="C311">
        <v>2036</v>
      </c>
      <c r="D311">
        <v>16393</v>
      </c>
      <c r="E311">
        <v>141</v>
      </c>
      <c r="F311">
        <f t="shared" si="4"/>
        <v>16252</v>
      </c>
    </row>
    <row r="312" spans="1:6" x14ac:dyDescent="0.25">
      <c r="A312">
        <v>3</v>
      </c>
      <c r="B312">
        <v>2</v>
      </c>
      <c r="C312">
        <v>2037</v>
      </c>
      <c r="D312">
        <v>16753</v>
      </c>
      <c r="E312">
        <v>140</v>
      </c>
      <c r="F312">
        <f t="shared" si="4"/>
        <v>16613</v>
      </c>
    </row>
    <row r="313" spans="1:6" x14ac:dyDescent="0.25">
      <c r="A313">
        <v>3</v>
      </c>
      <c r="B313">
        <v>2</v>
      </c>
      <c r="C313">
        <v>2038</v>
      </c>
      <c r="D313">
        <v>17137</v>
      </c>
      <c r="E313">
        <v>138</v>
      </c>
      <c r="F313">
        <f t="shared" si="4"/>
        <v>16999</v>
      </c>
    </row>
    <row r="314" spans="1:6" x14ac:dyDescent="0.25">
      <c r="A314">
        <v>3</v>
      </c>
      <c r="B314">
        <v>2</v>
      </c>
      <c r="C314">
        <v>2039</v>
      </c>
      <c r="D314">
        <v>17507</v>
      </c>
      <c r="E314">
        <v>136</v>
      </c>
      <c r="F314">
        <f t="shared" si="4"/>
        <v>17371</v>
      </c>
    </row>
    <row r="315" spans="1:6" x14ac:dyDescent="0.25">
      <c r="A315">
        <v>3</v>
      </c>
      <c r="B315">
        <v>2</v>
      </c>
      <c r="C315">
        <v>2040</v>
      </c>
      <c r="D315">
        <v>17866</v>
      </c>
      <c r="E315">
        <v>134</v>
      </c>
      <c r="F315">
        <f t="shared" si="4"/>
        <v>17732</v>
      </c>
    </row>
    <row r="316" spans="1:6" x14ac:dyDescent="0.25">
      <c r="A316">
        <v>3</v>
      </c>
      <c r="B316">
        <v>2</v>
      </c>
      <c r="C316">
        <v>2041</v>
      </c>
      <c r="D316">
        <v>18267</v>
      </c>
      <c r="E316">
        <v>132</v>
      </c>
      <c r="F316">
        <f t="shared" si="4"/>
        <v>18135</v>
      </c>
    </row>
    <row r="317" spans="1:6" x14ac:dyDescent="0.25">
      <c r="A317">
        <v>3</v>
      </c>
      <c r="B317">
        <v>2</v>
      </c>
      <c r="C317">
        <v>2042</v>
      </c>
      <c r="D317">
        <v>18615</v>
      </c>
      <c r="E317">
        <v>130</v>
      </c>
      <c r="F317">
        <f t="shared" si="4"/>
        <v>18485</v>
      </c>
    </row>
    <row r="318" spans="1:6" x14ac:dyDescent="0.25">
      <c r="A318">
        <v>3</v>
      </c>
      <c r="B318">
        <v>2</v>
      </c>
      <c r="C318">
        <v>2043</v>
      </c>
      <c r="D318">
        <v>18980</v>
      </c>
      <c r="E318">
        <v>128</v>
      </c>
      <c r="F318">
        <f t="shared" si="4"/>
        <v>18852</v>
      </c>
    </row>
    <row r="319" spans="1:6" x14ac:dyDescent="0.25">
      <c r="A319">
        <v>3</v>
      </c>
      <c r="B319">
        <v>2</v>
      </c>
      <c r="C319">
        <v>2044</v>
      </c>
      <c r="D319">
        <v>19340</v>
      </c>
      <c r="E319">
        <v>125</v>
      </c>
      <c r="F319">
        <f t="shared" si="4"/>
        <v>19215</v>
      </c>
    </row>
    <row r="320" spans="1:6" x14ac:dyDescent="0.25">
      <c r="A320">
        <v>3</v>
      </c>
      <c r="B320">
        <v>2</v>
      </c>
      <c r="C320">
        <v>2045</v>
      </c>
      <c r="D320">
        <v>19670</v>
      </c>
      <c r="E320">
        <v>123</v>
      </c>
      <c r="F320">
        <f t="shared" si="4"/>
        <v>19547</v>
      </c>
    </row>
    <row r="321" spans="1:6" x14ac:dyDescent="0.25">
      <c r="A321">
        <v>3</v>
      </c>
      <c r="B321">
        <v>2</v>
      </c>
      <c r="C321">
        <v>2046</v>
      </c>
      <c r="D321">
        <v>20007</v>
      </c>
      <c r="E321">
        <v>120</v>
      </c>
      <c r="F321">
        <f t="shared" si="4"/>
        <v>19887</v>
      </c>
    </row>
    <row r="322" spans="1:6" x14ac:dyDescent="0.25">
      <c r="A322">
        <v>3</v>
      </c>
      <c r="B322">
        <v>2</v>
      </c>
      <c r="C322">
        <v>2047</v>
      </c>
      <c r="D322">
        <v>20317</v>
      </c>
      <c r="E322">
        <v>119</v>
      </c>
      <c r="F322">
        <f t="shared" ref="F322:F385" si="5">D322-E322</f>
        <v>20198</v>
      </c>
    </row>
    <row r="323" spans="1:6" x14ac:dyDescent="0.25">
      <c r="A323">
        <v>3</v>
      </c>
      <c r="B323">
        <v>2</v>
      </c>
      <c r="C323">
        <v>2048</v>
      </c>
      <c r="D323">
        <v>20629</v>
      </c>
      <c r="E323">
        <v>117</v>
      </c>
      <c r="F323">
        <f t="shared" si="5"/>
        <v>20512</v>
      </c>
    </row>
    <row r="324" spans="1:6" x14ac:dyDescent="0.25">
      <c r="A324">
        <v>3</v>
      </c>
      <c r="B324">
        <v>2</v>
      </c>
      <c r="C324">
        <v>2049</v>
      </c>
      <c r="D324">
        <v>20909</v>
      </c>
      <c r="E324">
        <v>114</v>
      </c>
      <c r="F324">
        <f t="shared" si="5"/>
        <v>20795</v>
      </c>
    </row>
    <row r="325" spans="1:6" x14ac:dyDescent="0.25">
      <c r="A325">
        <v>3</v>
      </c>
      <c r="B325">
        <v>2</v>
      </c>
      <c r="C325">
        <v>2050</v>
      </c>
      <c r="D325">
        <v>21180</v>
      </c>
      <c r="E325">
        <v>112</v>
      </c>
      <c r="F325">
        <f t="shared" si="5"/>
        <v>21068</v>
      </c>
    </row>
    <row r="326" spans="1:6" x14ac:dyDescent="0.25">
      <c r="A326">
        <v>4</v>
      </c>
      <c r="B326">
        <v>0</v>
      </c>
      <c r="C326">
        <v>2024</v>
      </c>
      <c r="D326">
        <v>122714</v>
      </c>
      <c r="E326">
        <v>861</v>
      </c>
      <c r="F326">
        <f t="shared" si="5"/>
        <v>121853</v>
      </c>
    </row>
    <row r="327" spans="1:6" x14ac:dyDescent="0.25">
      <c r="A327">
        <v>4</v>
      </c>
      <c r="B327">
        <v>0</v>
      </c>
      <c r="C327">
        <v>2025</v>
      </c>
      <c r="D327">
        <v>125586</v>
      </c>
      <c r="E327">
        <v>864</v>
      </c>
      <c r="F327">
        <f t="shared" si="5"/>
        <v>124722</v>
      </c>
    </row>
    <row r="328" spans="1:6" x14ac:dyDescent="0.25">
      <c r="A328">
        <v>4</v>
      </c>
      <c r="B328">
        <v>0</v>
      </c>
      <c r="C328">
        <v>2026</v>
      </c>
      <c r="D328">
        <v>128545</v>
      </c>
      <c r="E328">
        <v>867</v>
      </c>
      <c r="F328">
        <f t="shared" si="5"/>
        <v>127678</v>
      </c>
    </row>
    <row r="329" spans="1:6" x14ac:dyDescent="0.25">
      <c r="A329">
        <v>4</v>
      </c>
      <c r="B329">
        <v>0</v>
      </c>
      <c r="C329">
        <v>2027</v>
      </c>
      <c r="D329">
        <v>131692</v>
      </c>
      <c r="E329">
        <v>871</v>
      </c>
      <c r="F329">
        <f t="shared" si="5"/>
        <v>130821</v>
      </c>
    </row>
    <row r="330" spans="1:6" x14ac:dyDescent="0.25">
      <c r="A330">
        <v>4</v>
      </c>
      <c r="B330">
        <v>0</v>
      </c>
      <c r="C330">
        <v>2028</v>
      </c>
      <c r="D330">
        <v>135063</v>
      </c>
      <c r="E330">
        <v>875</v>
      </c>
      <c r="F330">
        <f t="shared" si="5"/>
        <v>134188</v>
      </c>
    </row>
    <row r="331" spans="1:6" x14ac:dyDescent="0.25">
      <c r="A331">
        <v>4</v>
      </c>
      <c r="B331">
        <v>0</v>
      </c>
      <c r="C331">
        <v>2029</v>
      </c>
      <c r="D331">
        <v>138655</v>
      </c>
      <c r="E331">
        <v>879</v>
      </c>
      <c r="F331">
        <f t="shared" si="5"/>
        <v>137776</v>
      </c>
    </row>
    <row r="332" spans="1:6" x14ac:dyDescent="0.25">
      <c r="A332">
        <v>4</v>
      </c>
      <c r="B332">
        <v>0</v>
      </c>
      <c r="C332">
        <v>2030</v>
      </c>
      <c r="D332">
        <v>142476</v>
      </c>
      <c r="E332">
        <v>883</v>
      </c>
      <c r="F332">
        <f t="shared" si="5"/>
        <v>141593</v>
      </c>
    </row>
    <row r="333" spans="1:6" x14ac:dyDescent="0.25">
      <c r="A333">
        <v>4</v>
      </c>
      <c r="B333">
        <v>0</v>
      </c>
      <c r="C333">
        <v>2031</v>
      </c>
      <c r="D333">
        <v>146526</v>
      </c>
      <c r="E333">
        <v>887</v>
      </c>
      <c r="F333">
        <f t="shared" si="5"/>
        <v>145639</v>
      </c>
    </row>
    <row r="334" spans="1:6" x14ac:dyDescent="0.25">
      <c r="A334">
        <v>4</v>
      </c>
      <c r="B334">
        <v>0</v>
      </c>
      <c r="C334">
        <v>2032</v>
      </c>
      <c r="D334">
        <v>150727</v>
      </c>
      <c r="E334">
        <v>891</v>
      </c>
      <c r="F334">
        <f t="shared" si="5"/>
        <v>149836</v>
      </c>
    </row>
    <row r="335" spans="1:6" x14ac:dyDescent="0.25">
      <c r="A335">
        <v>4</v>
      </c>
      <c r="B335">
        <v>0</v>
      </c>
      <c r="C335">
        <v>2033</v>
      </c>
      <c r="D335">
        <v>155055</v>
      </c>
      <c r="E335">
        <v>897</v>
      </c>
      <c r="F335">
        <f t="shared" si="5"/>
        <v>154158</v>
      </c>
    </row>
    <row r="336" spans="1:6" x14ac:dyDescent="0.25">
      <c r="A336">
        <v>4</v>
      </c>
      <c r="B336">
        <v>0</v>
      </c>
      <c r="C336">
        <v>2034</v>
      </c>
      <c r="D336">
        <v>159544</v>
      </c>
      <c r="E336">
        <v>901</v>
      </c>
      <c r="F336">
        <f t="shared" si="5"/>
        <v>158643</v>
      </c>
    </row>
    <row r="337" spans="1:6" x14ac:dyDescent="0.25">
      <c r="A337">
        <v>4</v>
      </c>
      <c r="B337">
        <v>0</v>
      </c>
      <c r="C337">
        <v>2035</v>
      </c>
      <c r="D337">
        <v>164164</v>
      </c>
      <c r="E337">
        <v>905</v>
      </c>
      <c r="F337">
        <f t="shared" si="5"/>
        <v>163259</v>
      </c>
    </row>
    <row r="338" spans="1:6" x14ac:dyDescent="0.25">
      <c r="A338">
        <v>4</v>
      </c>
      <c r="B338">
        <v>0</v>
      </c>
      <c r="C338">
        <v>2036</v>
      </c>
      <c r="D338">
        <v>168893</v>
      </c>
      <c r="E338">
        <v>909</v>
      </c>
      <c r="F338">
        <f t="shared" si="5"/>
        <v>167984</v>
      </c>
    </row>
    <row r="339" spans="1:6" x14ac:dyDescent="0.25">
      <c r="A339">
        <v>4</v>
      </c>
      <c r="B339">
        <v>0</v>
      </c>
      <c r="C339">
        <v>2037</v>
      </c>
      <c r="D339">
        <v>173700</v>
      </c>
      <c r="E339">
        <v>913</v>
      </c>
      <c r="F339">
        <f t="shared" si="5"/>
        <v>172787</v>
      </c>
    </row>
    <row r="340" spans="1:6" x14ac:dyDescent="0.25">
      <c r="A340">
        <v>4</v>
      </c>
      <c r="B340">
        <v>0</v>
      </c>
      <c r="C340">
        <v>2038</v>
      </c>
      <c r="D340">
        <v>178567</v>
      </c>
      <c r="E340">
        <v>916</v>
      </c>
      <c r="F340">
        <f t="shared" si="5"/>
        <v>177651</v>
      </c>
    </row>
    <row r="341" spans="1:6" x14ac:dyDescent="0.25">
      <c r="A341">
        <v>4</v>
      </c>
      <c r="B341">
        <v>0</v>
      </c>
      <c r="C341">
        <v>2039</v>
      </c>
      <c r="D341">
        <v>183461</v>
      </c>
      <c r="E341">
        <v>920</v>
      </c>
      <c r="F341">
        <f t="shared" si="5"/>
        <v>182541</v>
      </c>
    </row>
    <row r="342" spans="1:6" x14ac:dyDescent="0.25">
      <c r="A342">
        <v>4</v>
      </c>
      <c r="B342">
        <v>0</v>
      </c>
      <c r="C342">
        <v>2040</v>
      </c>
      <c r="D342">
        <v>188361</v>
      </c>
      <c r="E342">
        <v>922</v>
      </c>
      <c r="F342">
        <f t="shared" si="5"/>
        <v>187439</v>
      </c>
    </row>
    <row r="343" spans="1:6" x14ac:dyDescent="0.25">
      <c r="A343">
        <v>4</v>
      </c>
      <c r="B343">
        <v>0</v>
      </c>
      <c r="C343">
        <v>2041</v>
      </c>
      <c r="D343">
        <v>193237</v>
      </c>
      <c r="E343">
        <v>925</v>
      </c>
      <c r="F343">
        <f t="shared" si="5"/>
        <v>192312</v>
      </c>
    </row>
    <row r="344" spans="1:6" x14ac:dyDescent="0.25">
      <c r="A344">
        <v>4</v>
      </c>
      <c r="B344">
        <v>0</v>
      </c>
      <c r="C344">
        <v>2042</v>
      </c>
      <c r="D344">
        <v>198091</v>
      </c>
      <c r="E344">
        <v>929</v>
      </c>
      <c r="F344">
        <f t="shared" si="5"/>
        <v>197162</v>
      </c>
    </row>
    <row r="345" spans="1:6" x14ac:dyDescent="0.25">
      <c r="A345">
        <v>4</v>
      </c>
      <c r="B345">
        <v>0</v>
      </c>
      <c r="C345">
        <v>2043</v>
      </c>
      <c r="D345">
        <v>202877</v>
      </c>
      <c r="E345">
        <v>931</v>
      </c>
      <c r="F345">
        <f t="shared" si="5"/>
        <v>201946</v>
      </c>
    </row>
    <row r="346" spans="1:6" x14ac:dyDescent="0.25">
      <c r="A346">
        <v>4</v>
      </c>
      <c r="B346">
        <v>0</v>
      </c>
      <c r="C346">
        <v>2044</v>
      </c>
      <c r="D346">
        <v>207605</v>
      </c>
      <c r="E346">
        <v>934</v>
      </c>
      <c r="F346">
        <f t="shared" si="5"/>
        <v>206671</v>
      </c>
    </row>
    <row r="347" spans="1:6" x14ac:dyDescent="0.25">
      <c r="A347">
        <v>4</v>
      </c>
      <c r="B347">
        <v>0</v>
      </c>
      <c r="C347">
        <v>2045</v>
      </c>
      <c r="D347">
        <v>212261</v>
      </c>
      <c r="E347">
        <v>937</v>
      </c>
      <c r="F347">
        <f t="shared" si="5"/>
        <v>211324</v>
      </c>
    </row>
    <row r="348" spans="1:6" x14ac:dyDescent="0.25">
      <c r="A348">
        <v>4</v>
      </c>
      <c r="B348">
        <v>0</v>
      </c>
      <c r="C348">
        <v>2046</v>
      </c>
      <c r="D348">
        <v>216863</v>
      </c>
      <c r="E348">
        <v>939</v>
      </c>
      <c r="F348">
        <f t="shared" si="5"/>
        <v>215924</v>
      </c>
    </row>
    <row r="349" spans="1:6" x14ac:dyDescent="0.25">
      <c r="A349">
        <v>4</v>
      </c>
      <c r="B349">
        <v>0</v>
      </c>
      <c r="C349">
        <v>2047</v>
      </c>
      <c r="D349">
        <v>221400</v>
      </c>
      <c r="E349">
        <v>943</v>
      </c>
      <c r="F349">
        <f t="shared" si="5"/>
        <v>220457</v>
      </c>
    </row>
    <row r="350" spans="1:6" x14ac:dyDescent="0.25">
      <c r="A350">
        <v>4</v>
      </c>
      <c r="B350">
        <v>0</v>
      </c>
      <c r="C350">
        <v>2048</v>
      </c>
      <c r="D350">
        <v>225876</v>
      </c>
      <c r="E350">
        <v>945</v>
      </c>
      <c r="F350">
        <f t="shared" si="5"/>
        <v>224931</v>
      </c>
    </row>
    <row r="351" spans="1:6" x14ac:dyDescent="0.25">
      <c r="A351">
        <v>4</v>
      </c>
      <c r="B351">
        <v>0</v>
      </c>
      <c r="C351">
        <v>2049</v>
      </c>
      <c r="D351">
        <v>230292</v>
      </c>
      <c r="E351">
        <v>947</v>
      </c>
      <c r="F351">
        <f t="shared" si="5"/>
        <v>229345</v>
      </c>
    </row>
    <row r="352" spans="1:6" x14ac:dyDescent="0.25">
      <c r="A352">
        <v>4</v>
      </c>
      <c r="B352">
        <v>0</v>
      </c>
      <c r="C352">
        <v>2050</v>
      </c>
      <c r="D352">
        <v>234633</v>
      </c>
      <c r="E352">
        <v>949</v>
      </c>
      <c r="F352">
        <f t="shared" si="5"/>
        <v>233684</v>
      </c>
    </row>
    <row r="353" spans="1:6" x14ac:dyDescent="0.25">
      <c r="A353">
        <v>4</v>
      </c>
      <c r="B353">
        <v>1</v>
      </c>
      <c r="C353">
        <v>2024</v>
      </c>
      <c r="D353">
        <v>62345</v>
      </c>
      <c r="E353">
        <v>499</v>
      </c>
      <c r="F353">
        <f t="shared" si="5"/>
        <v>61846</v>
      </c>
    </row>
    <row r="354" spans="1:6" x14ac:dyDescent="0.25">
      <c r="A354">
        <v>4</v>
      </c>
      <c r="B354">
        <v>1</v>
      </c>
      <c r="C354">
        <v>2025</v>
      </c>
      <c r="D354">
        <v>63913</v>
      </c>
      <c r="E354">
        <v>500</v>
      </c>
      <c r="F354">
        <f t="shared" si="5"/>
        <v>63413</v>
      </c>
    </row>
    <row r="355" spans="1:6" x14ac:dyDescent="0.25">
      <c r="A355">
        <v>4</v>
      </c>
      <c r="B355">
        <v>1</v>
      </c>
      <c r="C355">
        <v>2026</v>
      </c>
      <c r="D355">
        <v>65490</v>
      </c>
      <c r="E355">
        <v>501</v>
      </c>
      <c r="F355">
        <f t="shared" si="5"/>
        <v>64989</v>
      </c>
    </row>
    <row r="356" spans="1:6" x14ac:dyDescent="0.25">
      <c r="A356">
        <v>4</v>
      </c>
      <c r="B356">
        <v>1</v>
      </c>
      <c r="C356">
        <v>2027</v>
      </c>
      <c r="D356">
        <v>67149</v>
      </c>
      <c r="E356">
        <v>503</v>
      </c>
      <c r="F356">
        <f t="shared" si="5"/>
        <v>66646</v>
      </c>
    </row>
    <row r="357" spans="1:6" x14ac:dyDescent="0.25">
      <c r="A357">
        <v>4</v>
      </c>
      <c r="B357">
        <v>1</v>
      </c>
      <c r="C357">
        <v>2028</v>
      </c>
      <c r="D357">
        <v>68859</v>
      </c>
      <c r="E357">
        <v>505</v>
      </c>
      <c r="F357">
        <f t="shared" si="5"/>
        <v>68354</v>
      </c>
    </row>
    <row r="358" spans="1:6" x14ac:dyDescent="0.25">
      <c r="A358">
        <v>4</v>
      </c>
      <c r="B358">
        <v>1</v>
      </c>
      <c r="C358">
        <v>2029</v>
      </c>
      <c r="D358">
        <v>70653</v>
      </c>
      <c r="E358">
        <v>506</v>
      </c>
      <c r="F358">
        <f t="shared" si="5"/>
        <v>70147</v>
      </c>
    </row>
    <row r="359" spans="1:6" x14ac:dyDescent="0.25">
      <c r="A359">
        <v>4</v>
      </c>
      <c r="B359">
        <v>1</v>
      </c>
      <c r="C359">
        <v>2030</v>
      </c>
      <c r="D359">
        <v>72507</v>
      </c>
      <c r="E359">
        <v>508</v>
      </c>
      <c r="F359">
        <f t="shared" si="5"/>
        <v>71999</v>
      </c>
    </row>
    <row r="360" spans="1:6" x14ac:dyDescent="0.25">
      <c r="A360">
        <v>4</v>
      </c>
      <c r="B360">
        <v>1</v>
      </c>
      <c r="C360">
        <v>2031</v>
      </c>
      <c r="D360">
        <v>74412</v>
      </c>
      <c r="E360">
        <v>510</v>
      </c>
      <c r="F360">
        <f t="shared" si="5"/>
        <v>73902</v>
      </c>
    </row>
    <row r="361" spans="1:6" x14ac:dyDescent="0.25">
      <c r="A361">
        <v>4</v>
      </c>
      <c r="B361">
        <v>1</v>
      </c>
      <c r="C361">
        <v>2032</v>
      </c>
      <c r="D361">
        <v>76386</v>
      </c>
      <c r="E361">
        <v>512</v>
      </c>
      <c r="F361">
        <f t="shared" si="5"/>
        <v>75874</v>
      </c>
    </row>
    <row r="362" spans="1:6" x14ac:dyDescent="0.25">
      <c r="A362">
        <v>4</v>
      </c>
      <c r="B362">
        <v>1</v>
      </c>
      <c r="C362">
        <v>2033</v>
      </c>
      <c r="D362">
        <v>78365</v>
      </c>
      <c r="E362">
        <v>514</v>
      </c>
      <c r="F362">
        <f t="shared" si="5"/>
        <v>77851</v>
      </c>
    </row>
    <row r="363" spans="1:6" x14ac:dyDescent="0.25">
      <c r="A363">
        <v>4</v>
      </c>
      <c r="B363">
        <v>1</v>
      </c>
      <c r="C363">
        <v>2034</v>
      </c>
      <c r="D363">
        <v>80395</v>
      </c>
      <c r="E363">
        <v>516</v>
      </c>
      <c r="F363">
        <f t="shared" si="5"/>
        <v>79879</v>
      </c>
    </row>
    <row r="364" spans="1:6" x14ac:dyDescent="0.25">
      <c r="A364">
        <v>4</v>
      </c>
      <c r="B364">
        <v>1</v>
      </c>
      <c r="C364">
        <v>2035</v>
      </c>
      <c r="D364">
        <v>82448</v>
      </c>
      <c r="E364">
        <v>518</v>
      </c>
      <c r="F364">
        <f t="shared" si="5"/>
        <v>81930</v>
      </c>
    </row>
    <row r="365" spans="1:6" x14ac:dyDescent="0.25">
      <c r="A365">
        <v>4</v>
      </c>
      <c r="B365">
        <v>1</v>
      </c>
      <c r="C365">
        <v>2036</v>
      </c>
      <c r="D365">
        <v>84533</v>
      </c>
      <c r="E365">
        <v>520</v>
      </c>
      <c r="F365">
        <f t="shared" si="5"/>
        <v>84013</v>
      </c>
    </row>
    <row r="366" spans="1:6" x14ac:dyDescent="0.25">
      <c r="A366">
        <v>4</v>
      </c>
      <c r="B366">
        <v>1</v>
      </c>
      <c r="C366">
        <v>2037</v>
      </c>
      <c r="D366">
        <v>86629</v>
      </c>
      <c r="E366">
        <v>521</v>
      </c>
      <c r="F366">
        <f t="shared" si="5"/>
        <v>86108</v>
      </c>
    </row>
    <row r="367" spans="1:6" x14ac:dyDescent="0.25">
      <c r="A367">
        <v>4</v>
      </c>
      <c r="B367">
        <v>1</v>
      </c>
      <c r="C367">
        <v>2038</v>
      </c>
      <c r="D367">
        <v>88733</v>
      </c>
      <c r="E367">
        <v>522</v>
      </c>
      <c r="F367">
        <f t="shared" si="5"/>
        <v>88211</v>
      </c>
    </row>
    <row r="368" spans="1:6" x14ac:dyDescent="0.25">
      <c r="A368">
        <v>4</v>
      </c>
      <c r="B368">
        <v>1</v>
      </c>
      <c r="C368">
        <v>2039</v>
      </c>
      <c r="D368">
        <v>90829</v>
      </c>
      <c r="E368">
        <v>524</v>
      </c>
      <c r="F368">
        <f t="shared" si="5"/>
        <v>90305</v>
      </c>
    </row>
    <row r="369" spans="1:6" x14ac:dyDescent="0.25">
      <c r="A369">
        <v>4</v>
      </c>
      <c r="B369">
        <v>1</v>
      </c>
      <c r="C369">
        <v>2040</v>
      </c>
      <c r="D369">
        <v>92916</v>
      </c>
      <c r="E369">
        <v>524</v>
      </c>
      <c r="F369">
        <f t="shared" si="5"/>
        <v>92392</v>
      </c>
    </row>
    <row r="370" spans="1:6" x14ac:dyDescent="0.25">
      <c r="A370">
        <v>4</v>
      </c>
      <c r="B370">
        <v>1</v>
      </c>
      <c r="C370">
        <v>2041</v>
      </c>
      <c r="D370">
        <v>94990</v>
      </c>
      <c r="E370">
        <v>525</v>
      </c>
      <c r="F370">
        <f t="shared" si="5"/>
        <v>94465</v>
      </c>
    </row>
    <row r="371" spans="1:6" x14ac:dyDescent="0.25">
      <c r="A371">
        <v>4</v>
      </c>
      <c r="B371">
        <v>1</v>
      </c>
      <c r="C371">
        <v>2042</v>
      </c>
      <c r="D371">
        <v>97062</v>
      </c>
      <c r="E371">
        <v>527</v>
      </c>
      <c r="F371">
        <f t="shared" si="5"/>
        <v>96535</v>
      </c>
    </row>
    <row r="372" spans="1:6" x14ac:dyDescent="0.25">
      <c r="A372">
        <v>4</v>
      </c>
      <c r="B372">
        <v>1</v>
      </c>
      <c r="C372">
        <v>2043</v>
      </c>
      <c r="D372">
        <v>99107</v>
      </c>
      <c r="E372">
        <v>528</v>
      </c>
      <c r="F372">
        <f t="shared" si="5"/>
        <v>98579</v>
      </c>
    </row>
    <row r="373" spans="1:6" x14ac:dyDescent="0.25">
      <c r="A373">
        <v>4</v>
      </c>
      <c r="B373">
        <v>1</v>
      </c>
      <c r="C373">
        <v>2044</v>
      </c>
      <c r="D373">
        <v>101112</v>
      </c>
      <c r="E373">
        <v>528</v>
      </c>
      <c r="F373">
        <f t="shared" si="5"/>
        <v>100584</v>
      </c>
    </row>
    <row r="374" spans="1:6" x14ac:dyDescent="0.25">
      <c r="A374">
        <v>4</v>
      </c>
      <c r="B374">
        <v>1</v>
      </c>
      <c r="C374">
        <v>2045</v>
      </c>
      <c r="D374">
        <v>103129</v>
      </c>
      <c r="E374">
        <v>529</v>
      </c>
      <c r="F374">
        <f t="shared" si="5"/>
        <v>102600</v>
      </c>
    </row>
    <row r="375" spans="1:6" x14ac:dyDescent="0.25">
      <c r="A375">
        <v>4</v>
      </c>
      <c r="B375">
        <v>1</v>
      </c>
      <c r="C375">
        <v>2046</v>
      </c>
      <c r="D375">
        <v>105107</v>
      </c>
      <c r="E375">
        <v>529</v>
      </c>
      <c r="F375">
        <f t="shared" si="5"/>
        <v>104578</v>
      </c>
    </row>
    <row r="376" spans="1:6" x14ac:dyDescent="0.25">
      <c r="A376">
        <v>4</v>
      </c>
      <c r="B376">
        <v>1</v>
      </c>
      <c r="C376">
        <v>2047</v>
      </c>
      <c r="D376">
        <v>107087</v>
      </c>
      <c r="E376">
        <v>532</v>
      </c>
      <c r="F376">
        <f t="shared" si="5"/>
        <v>106555</v>
      </c>
    </row>
    <row r="377" spans="1:6" x14ac:dyDescent="0.25">
      <c r="A377">
        <v>4</v>
      </c>
      <c r="B377">
        <v>1</v>
      </c>
      <c r="C377">
        <v>2048</v>
      </c>
      <c r="D377">
        <v>109058</v>
      </c>
      <c r="E377">
        <v>532</v>
      </c>
      <c r="F377">
        <f t="shared" si="5"/>
        <v>108526</v>
      </c>
    </row>
    <row r="378" spans="1:6" x14ac:dyDescent="0.25">
      <c r="A378">
        <v>4</v>
      </c>
      <c r="B378">
        <v>1</v>
      </c>
      <c r="C378">
        <v>2049</v>
      </c>
      <c r="D378">
        <v>110987</v>
      </c>
      <c r="E378">
        <v>533</v>
      </c>
      <c r="F378">
        <f t="shared" si="5"/>
        <v>110454</v>
      </c>
    </row>
    <row r="379" spans="1:6" x14ac:dyDescent="0.25">
      <c r="A379">
        <v>4</v>
      </c>
      <c r="B379">
        <v>1</v>
      </c>
      <c r="C379">
        <v>2050</v>
      </c>
      <c r="D379">
        <v>112913</v>
      </c>
      <c r="E379">
        <v>533</v>
      </c>
      <c r="F379">
        <f t="shared" si="5"/>
        <v>112380</v>
      </c>
    </row>
    <row r="380" spans="1:6" x14ac:dyDescent="0.25">
      <c r="A380">
        <v>4</v>
      </c>
      <c r="B380">
        <v>2</v>
      </c>
      <c r="C380">
        <v>2024</v>
      </c>
      <c r="D380">
        <v>60369</v>
      </c>
      <c r="E380">
        <v>362</v>
      </c>
      <c r="F380">
        <f t="shared" si="5"/>
        <v>60007</v>
      </c>
    </row>
    <row r="381" spans="1:6" x14ac:dyDescent="0.25">
      <c r="A381">
        <v>4</v>
      </c>
      <c r="B381">
        <v>2</v>
      </c>
      <c r="C381">
        <v>2025</v>
      </c>
      <c r="D381">
        <v>61673</v>
      </c>
      <c r="E381">
        <v>364</v>
      </c>
      <c r="F381">
        <f t="shared" si="5"/>
        <v>61309</v>
      </c>
    </row>
    <row r="382" spans="1:6" x14ac:dyDescent="0.25">
      <c r="A382">
        <v>4</v>
      </c>
      <c r="B382">
        <v>2</v>
      </c>
      <c r="C382">
        <v>2026</v>
      </c>
      <c r="D382">
        <v>63055</v>
      </c>
      <c r="E382">
        <v>366</v>
      </c>
      <c r="F382">
        <f t="shared" si="5"/>
        <v>62689</v>
      </c>
    </row>
    <row r="383" spans="1:6" x14ac:dyDescent="0.25">
      <c r="A383">
        <v>4</v>
      </c>
      <c r="B383">
        <v>2</v>
      </c>
      <c r="C383">
        <v>2027</v>
      </c>
      <c r="D383">
        <v>64543</v>
      </c>
      <c r="E383">
        <v>368</v>
      </c>
      <c r="F383">
        <f t="shared" si="5"/>
        <v>64175</v>
      </c>
    </row>
    <row r="384" spans="1:6" x14ac:dyDescent="0.25">
      <c r="A384">
        <v>4</v>
      </c>
      <c r="B384">
        <v>2</v>
      </c>
      <c r="C384">
        <v>2028</v>
      </c>
      <c r="D384">
        <v>66204</v>
      </c>
      <c r="E384">
        <v>370</v>
      </c>
      <c r="F384">
        <f t="shared" si="5"/>
        <v>65834</v>
      </c>
    </row>
    <row r="385" spans="1:6" x14ac:dyDescent="0.25">
      <c r="A385">
        <v>4</v>
      </c>
      <c r="B385">
        <v>2</v>
      </c>
      <c r="C385">
        <v>2029</v>
      </c>
      <c r="D385">
        <v>68002</v>
      </c>
      <c r="E385">
        <v>373</v>
      </c>
      <c r="F385">
        <f t="shared" si="5"/>
        <v>67629</v>
      </c>
    </row>
    <row r="386" spans="1:6" x14ac:dyDescent="0.25">
      <c r="A386">
        <v>4</v>
      </c>
      <c r="B386">
        <v>2</v>
      </c>
      <c r="C386">
        <v>2030</v>
      </c>
      <c r="D386">
        <v>69969</v>
      </c>
      <c r="E386">
        <v>375</v>
      </c>
      <c r="F386">
        <f t="shared" ref="F386:F449" si="6">D386-E386</f>
        <v>69594</v>
      </c>
    </row>
    <row r="387" spans="1:6" x14ac:dyDescent="0.25">
      <c r="A387">
        <v>4</v>
      </c>
      <c r="B387">
        <v>2</v>
      </c>
      <c r="C387">
        <v>2031</v>
      </c>
      <c r="D387">
        <v>72114</v>
      </c>
      <c r="E387">
        <v>377</v>
      </c>
      <c r="F387">
        <f t="shared" si="6"/>
        <v>71737</v>
      </c>
    </row>
    <row r="388" spans="1:6" x14ac:dyDescent="0.25">
      <c r="A388">
        <v>4</v>
      </c>
      <c r="B388">
        <v>2</v>
      </c>
      <c r="C388">
        <v>2032</v>
      </c>
      <c r="D388">
        <v>74341</v>
      </c>
      <c r="E388">
        <v>379</v>
      </c>
      <c r="F388">
        <f t="shared" si="6"/>
        <v>73962</v>
      </c>
    </row>
    <row r="389" spans="1:6" x14ac:dyDescent="0.25">
      <c r="A389">
        <v>4</v>
      </c>
      <c r="B389">
        <v>2</v>
      </c>
      <c r="C389">
        <v>2033</v>
      </c>
      <c r="D389">
        <v>76690</v>
      </c>
      <c r="E389">
        <v>383</v>
      </c>
      <c r="F389">
        <f t="shared" si="6"/>
        <v>76307</v>
      </c>
    </row>
    <row r="390" spans="1:6" x14ac:dyDescent="0.25">
      <c r="A390">
        <v>4</v>
      </c>
      <c r="B390">
        <v>2</v>
      </c>
      <c r="C390">
        <v>2034</v>
      </c>
      <c r="D390">
        <v>79149</v>
      </c>
      <c r="E390">
        <v>385</v>
      </c>
      <c r="F390">
        <f t="shared" si="6"/>
        <v>78764</v>
      </c>
    </row>
    <row r="391" spans="1:6" x14ac:dyDescent="0.25">
      <c r="A391">
        <v>4</v>
      </c>
      <c r="B391">
        <v>2</v>
      </c>
      <c r="C391">
        <v>2035</v>
      </c>
      <c r="D391">
        <v>81716</v>
      </c>
      <c r="E391">
        <v>387</v>
      </c>
      <c r="F391">
        <f t="shared" si="6"/>
        <v>81329</v>
      </c>
    </row>
    <row r="392" spans="1:6" x14ac:dyDescent="0.25">
      <c r="A392">
        <v>4</v>
      </c>
      <c r="B392">
        <v>2</v>
      </c>
      <c r="C392">
        <v>2036</v>
      </c>
      <c r="D392">
        <v>84360</v>
      </c>
      <c r="E392">
        <v>389</v>
      </c>
      <c r="F392">
        <f t="shared" si="6"/>
        <v>83971</v>
      </c>
    </row>
    <row r="393" spans="1:6" x14ac:dyDescent="0.25">
      <c r="A393">
        <v>4</v>
      </c>
      <c r="B393">
        <v>2</v>
      </c>
      <c r="C393">
        <v>2037</v>
      </c>
      <c r="D393">
        <v>87071</v>
      </c>
      <c r="E393">
        <v>392</v>
      </c>
      <c r="F393">
        <f t="shared" si="6"/>
        <v>86679</v>
      </c>
    </row>
    <row r="394" spans="1:6" x14ac:dyDescent="0.25">
      <c r="A394">
        <v>4</v>
      </c>
      <c r="B394">
        <v>2</v>
      </c>
      <c r="C394">
        <v>2038</v>
      </c>
      <c r="D394">
        <v>89834</v>
      </c>
      <c r="E394">
        <v>394</v>
      </c>
      <c r="F394">
        <f t="shared" si="6"/>
        <v>89440</v>
      </c>
    </row>
    <row r="395" spans="1:6" x14ac:dyDescent="0.25">
      <c r="A395">
        <v>4</v>
      </c>
      <c r="B395">
        <v>2</v>
      </c>
      <c r="C395">
        <v>2039</v>
      </c>
      <c r="D395">
        <v>92632</v>
      </c>
      <c r="E395">
        <v>396</v>
      </c>
      <c r="F395">
        <f t="shared" si="6"/>
        <v>92236</v>
      </c>
    </row>
    <row r="396" spans="1:6" x14ac:dyDescent="0.25">
      <c r="A396">
        <v>4</v>
      </c>
      <c r="B396">
        <v>2</v>
      </c>
      <c r="C396">
        <v>2040</v>
      </c>
      <c r="D396">
        <v>95445</v>
      </c>
      <c r="E396">
        <v>398</v>
      </c>
      <c r="F396">
        <f t="shared" si="6"/>
        <v>95047</v>
      </c>
    </row>
    <row r="397" spans="1:6" x14ac:dyDescent="0.25">
      <c r="A397">
        <v>4</v>
      </c>
      <c r="B397">
        <v>2</v>
      </c>
      <c r="C397">
        <v>2041</v>
      </c>
      <c r="D397">
        <v>98247</v>
      </c>
      <c r="E397">
        <v>400</v>
      </c>
      <c r="F397">
        <f t="shared" si="6"/>
        <v>97847</v>
      </c>
    </row>
    <row r="398" spans="1:6" x14ac:dyDescent="0.25">
      <c r="A398">
        <v>4</v>
      </c>
      <c r="B398">
        <v>2</v>
      </c>
      <c r="C398">
        <v>2042</v>
      </c>
      <c r="D398">
        <v>101029</v>
      </c>
      <c r="E398">
        <v>402</v>
      </c>
      <c r="F398">
        <f t="shared" si="6"/>
        <v>100627</v>
      </c>
    </row>
    <row r="399" spans="1:6" x14ac:dyDescent="0.25">
      <c r="A399">
        <v>4</v>
      </c>
      <c r="B399">
        <v>2</v>
      </c>
      <c r="C399">
        <v>2043</v>
      </c>
      <c r="D399">
        <v>103770</v>
      </c>
      <c r="E399">
        <v>403</v>
      </c>
      <c r="F399">
        <f t="shared" si="6"/>
        <v>103367</v>
      </c>
    </row>
    <row r="400" spans="1:6" x14ac:dyDescent="0.25">
      <c r="A400">
        <v>4</v>
      </c>
      <c r="B400">
        <v>2</v>
      </c>
      <c r="C400">
        <v>2044</v>
      </c>
      <c r="D400">
        <v>106493</v>
      </c>
      <c r="E400">
        <v>406</v>
      </c>
      <c r="F400">
        <f t="shared" si="6"/>
        <v>106087</v>
      </c>
    </row>
    <row r="401" spans="1:6" x14ac:dyDescent="0.25">
      <c r="A401">
        <v>4</v>
      </c>
      <c r="B401">
        <v>2</v>
      </c>
      <c r="C401">
        <v>2045</v>
      </c>
      <c r="D401">
        <v>109132</v>
      </c>
      <c r="E401">
        <v>408</v>
      </c>
      <c r="F401">
        <f t="shared" si="6"/>
        <v>108724</v>
      </c>
    </row>
    <row r="402" spans="1:6" x14ac:dyDescent="0.25">
      <c r="A402">
        <v>4</v>
      </c>
      <c r="B402">
        <v>2</v>
      </c>
      <c r="C402">
        <v>2046</v>
      </c>
      <c r="D402">
        <v>111756</v>
      </c>
      <c r="E402">
        <v>410</v>
      </c>
      <c r="F402">
        <f t="shared" si="6"/>
        <v>111346</v>
      </c>
    </row>
    <row r="403" spans="1:6" x14ac:dyDescent="0.25">
      <c r="A403">
        <v>4</v>
      </c>
      <c r="B403">
        <v>2</v>
      </c>
      <c r="C403">
        <v>2047</v>
      </c>
      <c r="D403">
        <v>114313</v>
      </c>
      <c r="E403">
        <v>411</v>
      </c>
      <c r="F403">
        <f t="shared" si="6"/>
        <v>113902</v>
      </c>
    </row>
    <row r="404" spans="1:6" x14ac:dyDescent="0.25">
      <c r="A404">
        <v>4</v>
      </c>
      <c r="B404">
        <v>2</v>
      </c>
      <c r="C404">
        <v>2048</v>
      </c>
      <c r="D404">
        <v>116818</v>
      </c>
      <c r="E404">
        <v>413</v>
      </c>
      <c r="F404">
        <f t="shared" si="6"/>
        <v>116405</v>
      </c>
    </row>
    <row r="405" spans="1:6" x14ac:dyDescent="0.25">
      <c r="A405">
        <v>4</v>
      </c>
      <c r="B405">
        <v>2</v>
      </c>
      <c r="C405">
        <v>2049</v>
      </c>
      <c r="D405">
        <v>119305</v>
      </c>
      <c r="E405">
        <v>414</v>
      </c>
      <c r="F405">
        <f t="shared" si="6"/>
        <v>118891</v>
      </c>
    </row>
    <row r="406" spans="1:6" x14ac:dyDescent="0.25">
      <c r="A406">
        <v>4</v>
      </c>
      <c r="B406">
        <v>2</v>
      </c>
      <c r="C406">
        <v>2050</v>
      </c>
      <c r="D406">
        <v>121720</v>
      </c>
      <c r="E406">
        <v>416</v>
      </c>
      <c r="F406">
        <f t="shared" si="6"/>
        <v>121304</v>
      </c>
    </row>
    <row r="407" spans="1:6" x14ac:dyDescent="0.25">
      <c r="A407">
        <v>5</v>
      </c>
      <c r="B407">
        <v>0</v>
      </c>
      <c r="C407">
        <v>2024</v>
      </c>
      <c r="D407">
        <v>4263</v>
      </c>
      <c r="E407">
        <v>44</v>
      </c>
      <c r="F407">
        <f t="shared" si="6"/>
        <v>4219</v>
      </c>
    </row>
    <row r="408" spans="1:6" x14ac:dyDescent="0.25">
      <c r="A408">
        <v>5</v>
      </c>
      <c r="B408">
        <v>0</v>
      </c>
      <c r="C408">
        <v>2025</v>
      </c>
      <c r="D408">
        <v>4363</v>
      </c>
      <c r="E408">
        <v>44</v>
      </c>
      <c r="F408">
        <f t="shared" si="6"/>
        <v>4319</v>
      </c>
    </row>
    <row r="409" spans="1:6" x14ac:dyDescent="0.25">
      <c r="A409">
        <v>5</v>
      </c>
      <c r="B409">
        <v>0</v>
      </c>
      <c r="C409">
        <v>2026</v>
      </c>
      <c r="D409">
        <v>4462</v>
      </c>
      <c r="E409">
        <v>43</v>
      </c>
      <c r="F409">
        <f t="shared" si="6"/>
        <v>4419</v>
      </c>
    </row>
    <row r="410" spans="1:6" x14ac:dyDescent="0.25">
      <c r="A410">
        <v>5</v>
      </c>
      <c r="B410">
        <v>0</v>
      </c>
      <c r="C410">
        <v>2027</v>
      </c>
      <c r="D410">
        <v>4603</v>
      </c>
      <c r="E410">
        <v>43</v>
      </c>
      <c r="F410">
        <f t="shared" si="6"/>
        <v>4560</v>
      </c>
    </row>
    <row r="411" spans="1:6" x14ac:dyDescent="0.25">
      <c r="A411">
        <v>5</v>
      </c>
      <c r="B411">
        <v>0</v>
      </c>
      <c r="C411">
        <v>2028</v>
      </c>
      <c r="D411">
        <v>4735</v>
      </c>
      <c r="E411">
        <v>43</v>
      </c>
      <c r="F411">
        <f t="shared" si="6"/>
        <v>4692</v>
      </c>
    </row>
    <row r="412" spans="1:6" x14ac:dyDescent="0.25">
      <c r="A412">
        <v>5</v>
      </c>
      <c r="B412">
        <v>0</v>
      </c>
      <c r="C412">
        <v>2029</v>
      </c>
      <c r="D412">
        <v>4894</v>
      </c>
      <c r="E412">
        <v>43</v>
      </c>
      <c r="F412">
        <f t="shared" si="6"/>
        <v>4851</v>
      </c>
    </row>
    <row r="413" spans="1:6" x14ac:dyDescent="0.25">
      <c r="A413">
        <v>5</v>
      </c>
      <c r="B413">
        <v>0</v>
      </c>
      <c r="C413">
        <v>2030</v>
      </c>
      <c r="D413">
        <v>5051</v>
      </c>
      <c r="E413">
        <v>43</v>
      </c>
      <c r="F413">
        <f t="shared" si="6"/>
        <v>5008</v>
      </c>
    </row>
    <row r="414" spans="1:6" x14ac:dyDescent="0.25">
      <c r="A414">
        <v>5</v>
      </c>
      <c r="B414">
        <v>0</v>
      </c>
      <c r="C414">
        <v>2031</v>
      </c>
      <c r="D414">
        <v>5206</v>
      </c>
      <c r="E414">
        <v>43</v>
      </c>
      <c r="F414">
        <f t="shared" si="6"/>
        <v>5163</v>
      </c>
    </row>
    <row r="415" spans="1:6" x14ac:dyDescent="0.25">
      <c r="A415">
        <v>5</v>
      </c>
      <c r="B415">
        <v>0</v>
      </c>
      <c r="C415">
        <v>2032</v>
      </c>
      <c r="D415">
        <v>5391</v>
      </c>
      <c r="E415">
        <v>43</v>
      </c>
      <c r="F415">
        <f t="shared" si="6"/>
        <v>5348</v>
      </c>
    </row>
    <row r="416" spans="1:6" x14ac:dyDescent="0.25">
      <c r="A416">
        <v>5</v>
      </c>
      <c r="B416">
        <v>0</v>
      </c>
      <c r="C416">
        <v>2033</v>
      </c>
      <c r="D416">
        <v>5573</v>
      </c>
      <c r="E416">
        <v>43</v>
      </c>
      <c r="F416">
        <f t="shared" si="6"/>
        <v>5530</v>
      </c>
    </row>
    <row r="417" spans="1:6" x14ac:dyDescent="0.25">
      <c r="A417">
        <v>5</v>
      </c>
      <c r="B417">
        <v>0</v>
      </c>
      <c r="C417">
        <v>2034</v>
      </c>
      <c r="D417">
        <v>5725</v>
      </c>
      <c r="E417">
        <v>43</v>
      </c>
      <c r="F417">
        <f t="shared" si="6"/>
        <v>5682</v>
      </c>
    </row>
    <row r="418" spans="1:6" x14ac:dyDescent="0.25">
      <c r="A418">
        <v>5</v>
      </c>
      <c r="B418">
        <v>0</v>
      </c>
      <c r="C418">
        <v>2035</v>
      </c>
      <c r="D418">
        <v>5926</v>
      </c>
      <c r="E418">
        <v>43</v>
      </c>
      <c r="F418">
        <f t="shared" si="6"/>
        <v>5883</v>
      </c>
    </row>
    <row r="419" spans="1:6" x14ac:dyDescent="0.25">
      <c r="A419">
        <v>5</v>
      </c>
      <c r="B419">
        <v>0</v>
      </c>
      <c r="C419">
        <v>2036</v>
      </c>
      <c r="D419">
        <v>6101</v>
      </c>
      <c r="E419">
        <v>43</v>
      </c>
      <c r="F419">
        <f t="shared" si="6"/>
        <v>6058</v>
      </c>
    </row>
    <row r="420" spans="1:6" x14ac:dyDescent="0.25">
      <c r="A420">
        <v>5</v>
      </c>
      <c r="B420">
        <v>0</v>
      </c>
      <c r="C420">
        <v>2037</v>
      </c>
      <c r="D420">
        <v>6321</v>
      </c>
      <c r="E420">
        <v>43</v>
      </c>
      <c r="F420">
        <f t="shared" si="6"/>
        <v>6278</v>
      </c>
    </row>
    <row r="421" spans="1:6" x14ac:dyDescent="0.25">
      <c r="A421">
        <v>5</v>
      </c>
      <c r="B421">
        <v>0</v>
      </c>
      <c r="C421">
        <v>2038</v>
      </c>
      <c r="D421">
        <v>6521</v>
      </c>
      <c r="E421">
        <v>44</v>
      </c>
      <c r="F421">
        <f t="shared" si="6"/>
        <v>6477</v>
      </c>
    </row>
    <row r="422" spans="1:6" x14ac:dyDescent="0.25">
      <c r="A422">
        <v>5</v>
      </c>
      <c r="B422">
        <v>0</v>
      </c>
      <c r="C422">
        <v>2039</v>
      </c>
      <c r="D422">
        <v>6714</v>
      </c>
      <c r="E422">
        <v>44</v>
      </c>
      <c r="F422">
        <f t="shared" si="6"/>
        <v>6670</v>
      </c>
    </row>
    <row r="423" spans="1:6" x14ac:dyDescent="0.25">
      <c r="A423">
        <v>5</v>
      </c>
      <c r="B423">
        <v>0</v>
      </c>
      <c r="C423">
        <v>2040</v>
      </c>
      <c r="D423">
        <v>6928</v>
      </c>
      <c r="E423">
        <v>45</v>
      </c>
      <c r="F423">
        <f t="shared" si="6"/>
        <v>6883</v>
      </c>
    </row>
    <row r="424" spans="1:6" x14ac:dyDescent="0.25">
      <c r="A424">
        <v>5</v>
      </c>
      <c r="B424">
        <v>0</v>
      </c>
      <c r="C424">
        <v>2041</v>
      </c>
      <c r="D424">
        <v>7129</v>
      </c>
      <c r="E424">
        <v>45</v>
      </c>
      <c r="F424">
        <f t="shared" si="6"/>
        <v>7084</v>
      </c>
    </row>
    <row r="425" spans="1:6" x14ac:dyDescent="0.25">
      <c r="A425">
        <v>5</v>
      </c>
      <c r="B425">
        <v>0</v>
      </c>
      <c r="C425">
        <v>2042</v>
      </c>
      <c r="D425">
        <v>7329</v>
      </c>
      <c r="E425">
        <v>45</v>
      </c>
      <c r="F425">
        <f t="shared" si="6"/>
        <v>7284</v>
      </c>
    </row>
    <row r="426" spans="1:6" x14ac:dyDescent="0.25">
      <c r="A426">
        <v>5</v>
      </c>
      <c r="B426">
        <v>0</v>
      </c>
      <c r="C426">
        <v>2043</v>
      </c>
      <c r="D426">
        <v>7533</v>
      </c>
      <c r="E426">
        <v>45</v>
      </c>
      <c r="F426">
        <f t="shared" si="6"/>
        <v>7488</v>
      </c>
    </row>
    <row r="427" spans="1:6" x14ac:dyDescent="0.25">
      <c r="A427">
        <v>5</v>
      </c>
      <c r="B427">
        <v>0</v>
      </c>
      <c r="C427">
        <v>2044</v>
      </c>
      <c r="D427">
        <v>7714</v>
      </c>
      <c r="E427">
        <v>45</v>
      </c>
      <c r="F427">
        <f t="shared" si="6"/>
        <v>7669</v>
      </c>
    </row>
    <row r="428" spans="1:6" x14ac:dyDescent="0.25">
      <c r="A428">
        <v>5</v>
      </c>
      <c r="B428">
        <v>0</v>
      </c>
      <c r="C428">
        <v>2045</v>
      </c>
      <c r="D428">
        <v>7921</v>
      </c>
      <c r="E428">
        <v>46</v>
      </c>
      <c r="F428">
        <f t="shared" si="6"/>
        <v>7875</v>
      </c>
    </row>
    <row r="429" spans="1:6" x14ac:dyDescent="0.25">
      <c r="A429">
        <v>5</v>
      </c>
      <c r="B429">
        <v>0</v>
      </c>
      <c r="C429">
        <v>2046</v>
      </c>
      <c r="D429">
        <v>8115</v>
      </c>
      <c r="E429">
        <v>46</v>
      </c>
      <c r="F429">
        <f t="shared" si="6"/>
        <v>8069</v>
      </c>
    </row>
    <row r="430" spans="1:6" x14ac:dyDescent="0.25">
      <c r="A430">
        <v>5</v>
      </c>
      <c r="B430">
        <v>0</v>
      </c>
      <c r="C430">
        <v>2047</v>
      </c>
      <c r="D430">
        <v>8298</v>
      </c>
      <c r="E430">
        <v>46</v>
      </c>
      <c r="F430">
        <f t="shared" si="6"/>
        <v>8252</v>
      </c>
    </row>
    <row r="431" spans="1:6" x14ac:dyDescent="0.25">
      <c r="A431">
        <v>5</v>
      </c>
      <c r="B431">
        <v>0</v>
      </c>
      <c r="C431">
        <v>2048</v>
      </c>
      <c r="D431">
        <v>8507</v>
      </c>
      <c r="E431">
        <v>46</v>
      </c>
      <c r="F431">
        <f t="shared" si="6"/>
        <v>8461</v>
      </c>
    </row>
    <row r="432" spans="1:6" x14ac:dyDescent="0.25">
      <c r="A432">
        <v>5</v>
      </c>
      <c r="B432">
        <v>0</v>
      </c>
      <c r="C432">
        <v>2049</v>
      </c>
      <c r="D432">
        <v>8695</v>
      </c>
      <c r="E432">
        <v>46</v>
      </c>
      <c r="F432">
        <f t="shared" si="6"/>
        <v>8649</v>
      </c>
    </row>
    <row r="433" spans="1:6" x14ac:dyDescent="0.25">
      <c r="A433">
        <v>5</v>
      </c>
      <c r="B433">
        <v>0</v>
      </c>
      <c r="C433">
        <v>2050</v>
      </c>
      <c r="D433">
        <v>8880</v>
      </c>
      <c r="E433">
        <v>46</v>
      </c>
      <c r="F433">
        <f t="shared" si="6"/>
        <v>8834</v>
      </c>
    </row>
    <row r="434" spans="1:6" x14ac:dyDescent="0.25">
      <c r="A434">
        <v>5</v>
      </c>
      <c r="B434">
        <v>1</v>
      </c>
      <c r="C434">
        <v>2024</v>
      </c>
      <c r="D434">
        <v>2369</v>
      </c>
      <c r="E434">
        <v>25</v>
      </c>
      <c r="F434">
        <f t="shared" si="6"/>
        <v>2344</v>
      </c>
    </row>
    <row r="435" spans="1:6" x14ac:dyDescent="0.25">
      <c r="A435">
        <v>5</v>
      </c>
      <c r="B435">
        <v>1</v>
      </c>
      <c r="C435">
        <v>2025</v>
      </c>
      <c r="D435">
        <v>2440</v>
      </c>
      <c r="E435">
        <v>25</v>
      </c>
      <c r="F435">
        <f t="shared" si="6"/>
        <v>2415</v>
      </c>
    </row>
    <row r="436" spans="1:6" x14ac:dyDescent="0.25">
      <c r="A436">
        <v>5</v>
      </c>
      <c r="B436">
        <v>1</v>
      </c>
      <c r="C436">
        <v>2026</v>
      </c>
      <c r="D436">
        <v>2491</v>
      </c>
      <c r="E436">
        <v>24</v>
      </c>
      <c r="F436">
        <f t="shared" si="6"/>
        <v>2467</v>
      </c>
    </row>
    <row r="437" spans="1:6" x14ac:dyDescent="0.25">
      <c r="A437">
        <v>5</v>
      </c>
      <c r="B437">
        <v>1</v>
      </c>
      <c r="C437">
        <v>2027</v>
      </c>
      <c r="D437">
        <v>2565</v>
      </c>
      <c r="E437">
        <v>24</v>
      </c>
      <c r="F437">
        <f t="shared" si="6"/>
        <v>2541</v>
      </c>
    </row>
    <row r="438" spans="1:6" x14ac:dyDescent="0.25">
      <c r="A438">
        <v>5</v>
      </c>
      <c r="B438">
        <v>1</v>
      </c>
      <c r="C438">
        <v>2028</v>
      </c>
      <c r="D438">
        <v>2635</v>
      </c>
      <c r="E438">
        <v>24</v>
      </c>
      <c r="F438">
        <f t="shared" si="6"/>
        <v>2611</v>
      </c>
    </row>
    <row r="439" spans="1:6" x14ac:dyDescent="0.25">
      <c r="A439">
        <v>5</v>
      </c>
      <c r="B439">
        <v>1</v>
      </c>
      <c r="C439">
        <v>2029</v>
      </c>
      <c r="D439">
        <v>2723</v>
      </c>
      <c r="E439">
        <v>24</v>
      </c>
      <c r="F439">
        <f t="shared" si="6"/>
        <v>2699</v>
      </c>
    </row>
    <row r="440" spans="1:6" x14ac:dyDescent="0.25">
      <c r="A440">
        <v>5</v>
      </c>
      <c r="B440">
        <v>1</v>
      </c>
      <c r="C440">
        <v>2030</v>
      </c>
      <c r="D440">
        <v>2799</v>
      </c>
      <c r="E440">
        <v>24</v>
      </c>
      <c r="F440">
        <f t="shared" si="6"/>
        <v>2775</v>
      </c>
    </row>
    <row r="441" spans="1:6" x14ac:dyDescent="0.25">
      <c r="A441">
        <v>5</v>
      </c>
      <c r="B441">
        <v>1</v>
      </c>
      <c r="C441">
        <v>2031</v>
      </c>
      <c r="D441">
        <v>2890</v>
      </c>
      <c r="E441">
        <v>24</v>
      </c>
      <c r="F441">
        <f t="shared" si="6"/>
        <v>2866</v>
      </c>
    </row>
    <row r="442" spans="1:6" x14ac:dyDescent="0.25">
      <c r="A442">
        <v>5</v>
      </c>
      <c r="B442">
        <v>1</v>
      </c>
      <c r="C442">
        <v>2032</v>
      </c>
      <c r="D442">
        <v>2979</v>
      </c>
      <c r="E442">
        <v>24</v>
      </c>
      <c r="F442">
        <f t="shared" si="6"/>
        <v>2955</v>
      </c>
    </row>
    <row r="443" spans="1:6" x14ac:dyDescent="0.25">
      <c r="A443">
        <v>5</v>
      </c>
      <c r="B443">
        <v>1</v>
      </c>
      <c r="C443">
        <v>2033</v>
      </c>
      <c r="D443">
        <v>3066</v>
      </c>
      <c r="E443">
        <v>24</v>
      </c>
      <c r="F443">
        <f t="shared" si="6"/>
        <v>3042</v>
      </c>
    </row>
    <row r="444" spans="1:6" x14ac:dyDescent="0.25">
      <c r="A444">
        <v>5</v>
      </c>
      <c r="B444">
        <v>1</v>
      </c>
      <c r="C444">
        <v>2034</v>
      </c>
      <c r="D444">
        <v>3141</v>
      </c>
      <c r="E444">
        <v>24</v>
      </c>
      <c r="F444">
        <f t="shared" si="6"/>
        <v>3117</v>
      </c>
    </row>
    <row r="445" spans="1:6" x14ac:dyDescent="0.25">
      <c r="A445">
        <v>5</v>
      </c>
      <c r="B445">
        <v>1</v>
      </c>
      <c r="C445">
        <v>2035</v>
      </c>
      <c r="D445">
        <v>3245</v>
      </c>
      <c r="E445">
        <v>24</v>
      </c>
      <c r="F445">
        <f t="shared" si="6"/>
        <v>3221</v>
      </c>
    </row>
    <row r="446" spans="1:6" x14ac:dyDescent="0.25">
      <c r="A446">
        <v>5</v>
      </c>
      <c r="B446">
        <v>1</v>
      </c>
      <c r="C446">
        <v>2036</v>
      </c>
      <c r="D446">
        <v>3326</v>
      </c>
      <c r="E446">
        <v>24</v>
      </c>
      <c r="F446">
        <f t="shared" si="6"/>
        <v>3302</v>
      </c>
    </row>
    <row r="447" spans="1:6" x14ac:dyDescent="0.25">
      <c r="A447">
        <v>5</v>
      </c>
      <c r="B447">
        <v>1</v>
      </c>
      <c r="C447">
        <v>2037</v>
      </c>
      <c r="D447">
        <v>3426</v>
      </c>
      <c r="E447">
        <v>24</v>
      </c>
      <c r="F447">
        <f t="shared" si="6"/>
        <v>3402</v>
      </c>
    </row>
    <row r="448" spans="1:6" x14ac:dyDescent="0.25">
      <c r="A448">
        <v>5</v>
      </c>
      <c r="B448">
        <v>1</v>
      </c>
      <c r="C448">
        <v>2038</v>
      </c>
      <c r="D448">
        <v>3521</v>
      </c>
      <c r="E448">
        <v>25</v>
      </c>
      <c r="F448">
        <f t="shared" si="6"/>
        <v>3496</v>
      </c>
    </row>
    <row r="449" spans="1:6" x14ac:dyDescent="0.25">
      <c r="A449">
        <v>5</v>
      </c>
      <c r="B449">
        <v>1</v>
      </c>
      <c r="C449">
        <v>2039</v>
      </c>
      <c r="D449">
        <v>3624</v>
      </c>
      <c r="E449">
        <v>25</v>
      </c>
      <c r="F449">
        <f t="shared" si="6"/>
        <v>3599</v>
      </c>
    </row>
    <row r="450" spans="1:6" x14ac:dyDescent="0.25">
      <c r="A450">
        <v>5</v>
      </c>
      <c r="B450">
        <v>1</v>
      </c>
      <c r="C450">
        <v>2040</v>
      </c>
      <c r="D450">
        <v>3719</v>
      </c>
      <c r="E450">
        <v>25</v>
      </c>
      <c r="F450">
        <f t="shared" ref="F450:F513" si="7">D450-E450</f>
        <v>3694</v>
      </c>
    </row>
    <row r="451" spans="1:6" x14ac:dyDescent="0.25">
      <c r="A451">
        <v>5</v>
      </c>
      <c r="B451">
        <v>1</v>
      </c>
      <c r="C451">
        <v>2041</v>
      </c>
      <c r="D451">
        <v>3814</v>
      </c>
      <c r="E451">
        <v>25</v>
      </c>
      <c r="F451">
        <f t="shared" si="7"/>
        <v>3789</v>
      </c>
    </row>
    <row r="452" spans="1:6" x14ac:dyDescent="0.25">
      <c r="A452">
        <v>5</v>
      </c>
      <c r="B452">
        <v>1</v>
      </c>
      <c r="C452">
        <v>2042</v>
      </c>
      <c r="D452">
        <v>3899</v>
      </c>
      <c r="E452">
        <v>25</v>
      </c>
      <c r="F452">
        <f t="shared" si="7"/>
        <v>3874</v>
      </c>
    </row>
    <row r="453" spans="1:6" x14ac:dyDescent="0.25">
      <c r="A453">
        <v>5</v>
      </c>
      <c r="B453">
        <v>1</v>
      </c>
      <c r="C453">
        <v>2043</v>
      </c>
      <c r="D453">
        <v>4007</v>
      </c>
      <c r="E453">
        <v>25</v>
      </c>
      <c r="F453">
        <f t="shared" si="7"/>
        <v>3982</v>
      </c>
    </row>
    <row r="454" spans="1:6" x14ac:dyDescent="0.25">
      <c r="A454">
        <v>5</v>
      </c>
      <c r="B454">
        <v>1</v>
      </c>
      <c r="C454">
        <v>2044</v>
      </c>
      <c r="D454">
        <v>4081</v>
      </c>
      <c r="E454">
        <v>25</v>
      </c>
      <c r="F454">
        <f t="shared" si="7"/>
        <v>4056</v>
      </c>
    </row>
    <row r="455" spans="1:6" x14ac:dyDescent="0.25">
      <c r="A455">
        <v>5</v>
      </c>
      <c r="B455">
        <v>1</v>
      </c>
      <c r="C455">
        <v>2045</v>
      </c>
      <c r="D455">
        <v>4187</v>
      </c>
      <c r="E455">
        <v>25</v>
      </c>
      <c r="F455">
        <f t="shared" si="7"/>
        <v>4162</v>
      </c>
    </row>
    <row r="456" spans="1:6" x14ac:dyDescent="0.25">
      <c r="A456">
        <v>5</v>
      </c>
      <c r="B456">
        <v>1</v>
      </c>
      <c r="C456">
        <v>2046</v>
      </c>
      <c r="D456">
        <v>4279</v>
      </c>
      <c r="E456">
        <v>25</v>
      </c>
      <c r="F456">
        <f t="shared" si="7"/>
        <v>4254</v>
      </c>
    </row>
    <row r="457" spans="1:6" x14ac:dyDescent="0.25">
      <c r="A457">
        <v>5</v>
      </c>
      <c r="B457">
        <v>1</v>
      </c>
      <c r="C457">
        <v>2047</v>
      </c>
      <c r="D457">
        <v>4358</v>
      </c>
      <c r="E457">
        <v>25</v>
      </c>
      <c r="F457">
        <f t="shared" si="7"/>
        <v>4333</v>
      </c>
    </row>
    <row r="458" spans="1:6" x14ac:dyDescent="0.25">
      <c r="A458">
        <v>5</v>
      </c>
      <c r="B458">
        <v>1</v>
      </c>
      <c r="C458">
        <v>2048</v>
      </c>
      <c r="D458">
        <v>4466</v>
      </c>
      <c r="E458">
        <v>25</v>
      </c>
      <c r="F458">
        <f t="shared" si="7"/>
        <v>4441</v>
      </c>
    </row>
    <row r="459" spans="1:6" x14ac:dyDescent="0.25">
      <c r="A459">
        <v>5</v>
      </c>
      <c r="B459">
        <v>1</v>
      </c>
      <c r="C459">
        <v>2049</v>
      </c>
      <c r="D459">
        <v>4547</v>
      </c>
      <c r="E459">
        <v>25</v>
      </c>
      <c r="F459">
        <f t="shared" si="7"/>
        <v>4522</v>
      </c>
    </row>
    <row r="460" spans="1:6" x14ac:dyDescent="0.25">
      <c r="A460">
        <v>5</v>
      </c>
      <c r="B460">
        <v>1</v>
      </c>
      <c r="C460">
        <v>2050</v>
      </c>
      <c r="D460">
        <v>4635</v>
      </c>
      <c r="E460">
        <v>25</v>
      </c>
      <c r="F460">
        <f t="shared" si="7"/>
        <v>4610</v>
      </c>
    </row>
    <row r="461" spans="1:6" x14ac:dyDescent="0.25">
      <c r="A461">
        <v>5</v>
      </c>
      <c r="B461">
        <v>2</v>
      </c>
      <c r="C461">
        <v>2024</v>
      </c>
      <c r="D461">
        <v>1894</v>
      </c>
      <c r="E461">
        <v>19</v>
      </c>
      <c r="F461">
        <f t="shared" si="7"/>
        <v>1875</v>
      </c>
    </row>
    <row r="462" spans="1:6" x14ac:dyDescent="0.25">
      <c r="A462">
        <v>5</v>
      </c>
      <c r="B462">
        <v>2</v>
      </c>
      <c r="C462">
        <v>2025</v>
      </c>
      <c r="D462">
        <v>1923</v>
      </c>
      <c r="E462">
        <v>19</v>
      </c>
      <c r="F462">
        <f t="shared" si="7"/>
        <v>1904</v>
      </c>
    </row>
    <row r="463" spans="1:6" x14ac:dyDescent="0.25">
      <c r="A463">
        <v>5</v>
      </c>
      <c r="B463">
        <v>2</v>
      </c>
      <c r="C463">
        <v>2026</v>
      </c>
      <c r="D463">
        <v>1971</v>
      </c>
      <c r="E463">
        <v>19</v>
      </c>
      <c r="F463">
        <f t="shared" si="7"/>
        <v>1952</v>
      </c>
    </row>
    <row r="464" spans="1:6" x14ac:dyDescent="0.25">
      <c r="A464">
        <v>5</v>
      </c>
      <c r="B464">
        <v>2</v>
      </c>
      <c r="C464">
        <v>2027</v>
      </c>
      <c r="D464">
        <v>2038</v>
      </c>
      <c r="E464">
        <v>19</v>
      </c>
      <c r="F464">
        <f t="shared" si="7"/>
        <v>2019</v>
      </c>
    </row>
    <row r="465" spans="1:6" x14ac:dyDescent="0.25">
      <c r="A465">
        <v>5</v>
      </c>
      <c r="B465">
        <v>2</v>
      </c>
      <c r="C465">
        <v>2028</v>
      </c>
      <c r="D465">
        <v>2100</v>
      </c>
      <c r="E465">
        <v>19</v>
      </c>
      <c r="F465">
        <f t="shared" si="7"/>
        <v>2081</v>
      </c>
    </row>
    <row r="466" spans="1:6" x14ac:dyDescent="0.25">
      <c r="A466">
        <v>5</v>
      </c>
      <c r="B466">
        <v>2</v>
      </c>
      <c r="C466">
        <v>2029</v>
      </c>
      <c r="D466">
        <v>2171</v>
      </c>
      <c r="E466">
        <v>19</v>
      </c>
      <c r="F466">
        <f t="shared" si="7"/>
        <v>2152</v>
      </c>
    </row>
    <row r="467" spans="1:6" x14ac:dyDescent="0.25">
      <c r="A467">
        <v>5</v>
      </c>
      <c r="B467">
        <v>2</v>
      </c>
      <c r="C467">
        <v>2030</v>
      </c>
      <c r="D467">
        <v>2252</v>
      </c>
      <c r="E467">
        <v>19</v>
      </c>
      <c r="F467">
        <f t="shared" si="7"/>
        <v>2233</v>
      </c>
    </row>
    <row r="468" spans="1:6" x14ac:dyDescent="0.25">
      <c r="A468">
        <v>5</v>
      </c>
      <c r="B468">
        <v>2</v>
      </c>
      <c r="C468">
        <v>2031</v>
      </c>
      <c r="D468">
        <v>2316</v>
      </c>
      <c r="E468">
        <v>19</v>
      </c>
      <c r="F468">
        <f t="shared" si="7"/>
        <v>2297</v>
      </c>
    </row>
    <row r="469" spans="1:6" x14ac:dyDescent="0.25">
      <c r="A469">
        <v>5</v>
      </c>
      <c r="B469">
        <v>2</v>
      </c>
      <c r="C469">
        <v>2032</v>
      </c>
      <c r="D469">
        <v>2412</v>
      </c>
      <c r="E469">
        <v>19</v>
      </c>
      <c r="F469">
        <f t="shared" si="7"/>
        <v>2393</v>
      </c>
    </row>
    <row r="470" spans="1:6" x14ac:dyDescent="0.25">
      <c r="A470">
        <v>5</v>
      </c>
      <c r="B470">
        <v>2</v>
      </c>
      <c r="C470">
        <v>2033</v>
      </c>
      <c r="D470">
        <v>2507</v>
      </c>
      <c r="E470">
        <v>19</v>
      </c>
      <c r="F470">
        <f t="shared" si="7"/>
        <v>2488</v>
      </c>
    </row>
    <row r="471" spans="1:6" x14ac:dyDescent="0.25">
      <c r="A471">
        <v>5</v>
      </c>
      <c r="B471">
        <v>2</v>
      </c>
      <c r="C471">
        <v>2034</v>
      </c>
      <c r="D471">
        <v>2584</v>
      </c>
      <c r="E471">
        <v>19</v>
      </c>
      <c r="F471">
        <f t="shared" si="7"/>
        <v>2565</v>
      </c>
    </row>
    <row r="472" spans="1:6" x14ac:dyDescent="0.25">
      <c r="A472">
        <v>5</v>
      </c>
      <c r="B472">
        <v>2</v>
      </c>
      <c r="C472">
        <v>2035</v>
      </c>
      <c r="D472">
        <v>2681</v>
      </c>
      <c r="E472">
        <v>19</v>
      </c>
      <c r="F472">
        <f t="shared" si="7"/>
        <v>2662</v>
      </c>
    </row>
    <row r="473" spans="1:6" x14ac:dyDescent="0.25">
      <c r="A473">
        <v>5</v>
      </c>
      <c r="B473">
        <v>2</v>
      </c>
      <c r="C473">
        <v>2036</v>
      </c>
      <c r="D473">
        <v>2775</v>
      </c>
      <c r="E473">
        <v>19</v>
      </c>
      <c r="F473">
        <f t="shared" si="7"/>
        <v>2756</v>
      </c>
    </row>
    <row r="474" spans="1:6" x14ac:dyDescent="0.25">
      <c r="A474">
        <v>5</v>
      </c>
      <c r="B474">
        <v>2</v>
      </c>
      <c r="C474">
        <v>2037</v>
      </c>
      <c r="D474">
        <v>2895</v>
      </c>
      <c r="E474">
        <v>19</v>
      </c>
      <c r="F474">
        <f t="shared" si="7"/>
        <v>2876</v>
      </c>
    </row>
    <row r="475" spans="1:6" x14ac:dyDescent="0.25">
      <c r="A475">
        <v>5</v>
      </c>
      <c r="B475">
        <v>2</v>
      </c>
      <c r="C475">
        <v>2038</v>
      </c>
      <c r="D475">
        <v>3000</v>
      </c>
      <c r="E475">
        <v>19</v>
      </c>
      <c r="F475">
        <f t="shared" si="7"/>
        <v>2981</v>
      </c>
    </row>
    <row r="476" spans="1:6" x14ac:dyDescent="0.25">
      <c r="A476">
        <v>5</v>
      </c>
      <c r="B476">
        <v>2</v>
      </c>
      <c r="C476">
        <v>2039</v>
      </c>
      <c r="D476">
        <v>3090</v>
      </c>
      <c r="E476">
        <v>19</v>
      </c>
      <c r="F476">
        <f t="shared" si="7"/>
        <v>3071</v>
      </c>
    </row>
    <row r="477" spans="1:6" x14ac:dyDescent="0.25">
      <c r="A477">
        <v>5</v>
      </c>
      <c r="B477">
        <v>2</v>
      </c>
      <c r="C477">
        <v>2040</v>
      </c>
      <c r="D477">
        <v>3209</v>
      </c>
      <c r="E477">
        <v>20</v>
      </c>
      <c r="F477">
        <f t="shared" si="7"/>
        <v>3189</v>
      </c>
    </row>
    <row r="478" spans="1:6" x14ac:dyDescent="0.25">
      <c r="A478">
        <v>5</v>
      </c>
      <c r="B478">
        <v>2</v>
      </c>
      <c r="C478">
        <v>2041</v>
      </c>
      <c r="D478">
        <v>3315</v>
      </c>
      <c r="E478">
        <v>20</v>
      </c>
      <c r="F478">
        <f t="shared" si="7"/>
        <v>3295</v>
      </c>
    </row>
    <row r="479" spans="1:6" x14ac:dyDescent="0.25">
      <c r="A479">
        <v>5</v>
      </c>
      <c r="B479">
        <v>2</v>
      </c>
      <c r="C479">
        <v>2042</v>
      </c>
      <c r="D479">
        <v>3430</v>
      </c>
      <c r="E479">
        <v>20</v>
      </c>
      <c r="F479">
        <f t="shared" si="7"/>
        <v>3410</v>
      </c>
    </row>
    <row r="480" spans="1:6" x14ac:dyDescent="0.25">
      <c r="A480">
        <v>5</v>
      </c>
      <c r="B480">
        <v>2</v>
      </c>
      <c r="C480">
        <v>2043</v>
      </c>
      <c r="D480">
        <v>3526</v>
      </c>
      <c r="E480">
        <v>20</v>
      </c>
      <c r="F480">
        <f t="shared" si="7"/>
        <v>3506</v>
      </c>
    </row>
    <row r="481" spans="1:6" x14ac:dyDescent="0.25">
      <c r="A481">
        <v>5</v>
      </c>
      <c r="B481">
        <v>2</v>
      </c>
      <c r="C481">
        <v>2044</v>
      </c>
      <c r="D481">
        <v>3633</v>
      </c>
      <c r="E481">
        <v>20</v>
      </c>
      <c r="F481">
        <f t="shared" si="7"/>
        <v>3613</v>
      </c>
    </row>
    <row r="482" spans="1:6" x14ac:dyDescent="0.25">
      <c r="A482">
        <v>5</v>
      </c>
      <c r="B482">
        <v>2</v>
      </c>
      <c r="C482">
        <v>2045</v>
      </c>
      <c r="D482">
        <v>3734</v>
      </c>
      <c r="E482">
        <v>21</v>
      </c>
      <c r="F482">
        <f t="shared" si="7"/>
        <v>3713</v>
      </c>
    </row>
    <row r="483" spans="1:6" x14ac:dyDescent="0.25">
      <c r="A483">
        <v>5</v>
      </c>
      <c r="B483">
        <v>2</v>
      </c>
      <c r="C483">
        <v>2046</v>
      </c>
      <c r="D483">
        <v>3836</v>
      </c>
      <c r="E483">
        <v>21</v>
      </c>
      <c r="F483">
        <f t="shared" si="7"/>
        <v>3815</v>
      </c>
    </row>
    <row r="484" spans="1:6" x14ac:dyDescent="0.25">
      <c r="A484">
        <v>5</v>
      </c>
      <c r="B484">
        <v>2</v>
      </c>
      <c r="C484">
        <v>2047</v>
      </c>
      <c r="D484">
        <v>3940</v>
      </c>
      <c r="E484">
        <v>21</v>
      </c>
      <c r="F484">
        <f t="shared" si="7"/>
        <v>3919</v>
      </c>
    </row>
    <row r="485" spans="1:6" x14ac:dyDescent="0.25">
      <c r="A485">
        <v>5</v>
      </c>
      <c r="B485">
        <v>2</v>
      </c>
      <c r="C485">
        <v>2048</v>
      </c>
      <c r="D485">
        <v>4041</v>
      </c>
      <c r="E485">
        <v>21</v>
      </c>
      <c r="F485">
        <f t="shared" si="7"/>
        <v>4020</v>
      </c>
    </row>
    <row r="486" spans="1:6" x14ac:dyDescent="0.25">
      <c r="A486">
        <v>5</v>
      </c>
      <c r="B486">
        <v>2</v>
      </c>
      <c r="C486">
        <v>2049</v>
      </c>
      <c r="D486">
        <v>4148</v>
      </c>
      <c r="E486">
        <v>21</v>
      </c>
      <c r="F486">
        <f t="shared" si="7"/>
        <v>4127</v>
      </c>
    </row>
    <row r="487" spans="1:6" x14ac:dyDescent="0.25">
      <c r="A487">
        <v>5</v>
      </c>
      <c r="B487">
        <v>2</v>
      </c>
      <c r="C487">
        <v>2050</v>
      </c>
      <c r="D487">
        <v>4245</v>
      </c>
      <c r="E487">
        <v>21</v>
      </c>
      <c r="F487">
        <f t="shared" si="7"/>
        <v>4224</v>
      </c>
    </row>
    <row r="488" spans="1:6" x14ac:dyDescent="0.25">
      <c r="A488">
        <v>6</v>
      </c>
      <c r="B488">
        <v>0</v>
      </c>
      <c r="C488">
        <v>2024</v>
      </c>
      <c r="D488">
        <v>34951</v>
      </c>
      <c r="E488">
        <v>1120</v>
      </c>
      <c r="F488">
        <f t="shared" si="7"/>
        <v>33831</v>
      </c>
    </row>
    <row r="489" spans="1:6" x14ac:dyDescent="0.25">
      <c r="A489">
        <v>6</v>
      </c>
      <c r="B489">
        <v>0</v>
      </c>
      <c r="C489">
        <v>2025</v>
      </c>
      <c r="D489">
        <v>35891</v>
      </c>
      <c r="E489">
        <v>1137</v>
      </c>
      <c r="F489">
        <f t="shared" si="7"/>
        <v>34754</v>
      </c>
    </row>
    <row r="490" spans="1:6" x14ac:dyDescent="0.25">
      <c r="A490">
        <v>6</v>
      </c>
      <c r="B490">
        <v>0</v>
      </c>
      <c r="C490">
        <v>2026</v>
      </c>
      <c r="D490">
        <v>36871</v>
      </c>
      <c r="E490">
        <v>1152</v>
      </c>
      <c r="F490">
        <f t="shared" si="7"/>
        <v>35719</v>
      </c>
    </row>
    <row r="491" spans="1:6" x14ac:dyDescent="0.25">
      <c r="A491">
        <v>6</v>
      </c>
      <c r="B491">
        <v>0</v>
      </c>
      <c r="C491">
        <v>2027</v>
      </c>
      <c r="D491">
        <v>37947</v>
      </c>
      <c r="E491">
        <v>1168</v>
      </c>
      <c r="F491">
        <f t="shared" si="7"/>
        <v>36779</v>
      </c>
    </row>
    <row r="492" spans="1:6" x14ac:dyDescent="0.25">
      <c r="A492">
        <v>6</v>
      </c>
      <c r="B492">
        <v>0</v>
      </c>
      <c r="C492">
        <v>2028</v>
      </c>
      <c r="D492">
        <v>39025</v>
      </c>
      <c r="E492">
        <v>1183</v>
      </c>
      <c r="F492">
        <f t="shared" si="7"/>
        <v>37842</v>
      </c>
    </row>
    <row r="493" spans="1:6" x14ac:dyDescent="0.25">
      <c r="A493">
        <v>6</v>
      </c>
      <c r="B493">
        <v>0</v>
      </c>
      <c r="C493">
        <v>2029</v>
      </c>
      <c r="D493">
        <v>40157</v>
      </c>
      <c r="E493">
        <v>1196</v>
      </c>
      <c r="F493">
        <f t="shared" si="7"/>
        <v>38961</v>
      </c>
    </row>
    <row r="494" spans="1:6" x14ac:dyDescent="0.25">
      <c r="A494">
        <v>6</v>
      </c>
      <c r="B494">
        <v>0</v>
      </c>
      <c r="C494">
        <v>2030</v>
      </c>
      <c r="D494">
        <v>41322</v>
      </c>
      <c r="E494">
        <v>1213</v>
      </c>
      <c r="F494">
        <f t="shared" si="7"/>
        <v>40109</v>
      </c>
    </row>
    <row r="495" spans="1:6" x14ac:dyDescent="0.25">
      <c r="A495">
        <v>6</v>
      </c>
      <c r="B495">
        <v>0</v>
      </c>
      <c r="C495">
        <v>2031</v>
      </c>
      <c r="D495">
        <v>42517</v>
      </c>
      <c r="E495">
        <v>1227</v>
      </c>
      <c r="F495">
        <f t="shared" si="7"/>
        <v>41290</v>
      </c>
    </row>
    <row r="496" spans="1:6" x14ac:dyDescent="0.25">
      <c r="A496">
        <v>6</v>
      </c>
      <c r="B496">
        <v>0</v>
      </c>
      <c r="C496">
        <v>2032</v>
      </c>
      <c r="D496">
        <v>43693</v>
      </c>
      <c r="E496">
        <v>1241</v>
      </c>
      <c r="F496">
        <f t="shared" si="7"/>
        <v>42452</v>
      </c>
    </row>
    <row r="497" spans="1:6" x14ac:dyDescent="0.25">
      <c r="A497">
        <v>6</v>
      </c>
      <c r="B497">
        <v>0</v>
      </c>
      <c r="C497">
        <v>2033</v>
      </c>
      <c r="D497">
        <v>44958</v>
      </c>
      <c r="E497">
        <v>1253</v>
      </c>
      <c r="F497">
        <f t="shared" si="7"/>
        <v>43705</v>
      </c>
    </row>
    <row r="498" spans="1:6" x14ac:dyDescent="0.25">
      <c r="A498">
        <v>6</v>
      </c>
      <c r="B498">
        <v>0</v>
      </c>
      <c r="C498">
        <v>2034</v>
      </c>
      <c r="D498">
        <v>46282</v>
      </c>
      <c r="E498">
        <v>1264</v>
      </c>
      <c r="F498">
        <f t="shared" si="7"/>
        <v>45018</v>
      </c>
    </row>
    <row r="499" spans="1:6" x14ac:dyDescent="0.25">
      <c r="A499">
        <v>6</v>
      </c>
      <c r="B499">
        <v>0</v>
      </c>
      <c r="C499">
        <v>2035</v>
      </c>
      <c r="D499">
        <v>47604</v>
      </c>
      <c r="E499">
        <v>1274</v>
      </c>
      <c r="F499">
        <f t="shared" si="7"/>
        <v>46330</v>
      </c>
    </row>
    <row r="500" spans="1:6" x14ac:dyDescent="0.25">
      <c r="A500">
        <v>6</v>
      </c>
      <c r="B500">
        <v>0</v>
      </c>
      <c r="C500">
        <v>2036</v>
      </c>
      <c r="D500">
        <v>48970</v>
      </c>
      <c r="E500">
        <v>1285</v>
      </c>
      <c r="F500">
        <f t="shared" si="7"/>
        <v>47685</v>
      </c>
    </row>
    <row r="501" spans="1:6" x14ac:dyDescent="0.25">
      <c r="A501">
        <v>6</v>
      </c>
      <c r="B501">
        <v>0</v>
      </c>
      <c r="C501">
        <v>2037</v>
      </c>
      <c r="D501">
        <v>50326</v>
      </c>
      <c r="E501">
        <v>1294</v>
      </c>
      <c r="F501">
        <f t="shared" si="7"/>
        <v>49032</v>
      </c>
    </row>
    <row r="502" spans="1:6" x14ac:dyDescent="0.25">
      <c r="A502">
        <v>6</v>
      </c>
      <c r="B502">
        <v>0</v>
      </c>
      <c r="C502">
        <v>2038</v>
      </c>
      <c r="D502">
        <v>51724</v>
      </c>
      <c r="E502">
        <v>1301</v>
      </c>
      <c r="F502">
        <f t="shared" si="7"/>
        <v>50423</v>
      </c>
    </row>
    <row r="503" spans="1:6" x14ac:dyDescent="0.25">
      <c r="A503">
        <v>6</v>
      </c>
      <c r="B503">
        <v>0</v>
      </c>
      <c r="C503">
        <v>2039</v>
      </c>
      <c r="D503">
        <v>53175</v>
      </c>
      <c r="E503">
        <v>1306</v>
      </c>
      <c r="F503">
        <f t="shared" si="7"/>
        <v>51869</v>
      </c>
    </row>
    <row r="504" spans="1:6" x14ac:dyDescent="0.25">
      <c r="A504">
        <v>6</v>
      </c>
      <c r="B504">
        <v>0</v>
      </c>
      <c r="C504">
        <v>2040</v>
      </c>
      <c r="D504">
        <v>54643</v>
      </c>
      <c r="E504">
        <v>1310</v>
      </c>
      <c r="F504">
        <f t="shared" si="7"/>
        <v>53333</v>
      </c>
    </row>
    <row r="505" spans="1:6" x14ac:dyDescent="0.25">
      <c r="A505">
        <v>6</v>
      </c>
      <c r="B505">
        <v>0</v>
      </c>
      <c r="C505">
        <v>2041</v>
      </c>
      <c r="D505">
        <v>56100</v>
      </c>
      <c r="E505">
        <v>1315</v>
      </c>
      <c r="F505">
        <f t="shared" si="7"/>
        <v>54785</v>
      </c>
    </row>
    <row r="506" spans="1:6" x14ac:dyDescent="0.25">
      <c r="A506">
        <v>6</v>
      </c>
      <c r="B506">
        <v>0</v>
      </c>
      <c r="C506">
        <v>2042</v>
      </c>
      <c r="D506">
        <v>57609</v>
      </c>
      <c r="E506">
        <v>1316</v>
      </c>
      <c r="F506">
        <f t="shared" si="7"/>
        <v>56293</v>
      </c>
    </row>
    <row r="507" spans="1:6" x14ac:dyDescent="0.25">
      <c r="A507">
        <v>6</v>
      </c>
      <c r="B507">
        <v>0</v>
      </c>
      <c r="C507">
        <v>2043</v>
      </c>
      <c r="D507">
        <v>59089</v>
      </c>
      <c r="E507">
        <v>1319</v>
      </c>
      <c r="F507">
        <f t="shared" si="7"/>
        <v>57770</v>
      </c>
    </row>
    <row r="508" spans="1:6" x14ac:dyDescent="0.25">
      <c r="A508">
        <v>6</v>
      </c>
      <c r="B508">
        <v>0</v>
      </c>
      <c r="C508">
        <v>2044</v>
      </c>
      <c r="D508">
        <v>60583</v>
      </c>
      <c r="E508">
        <v>1320</v>
      </c>
      <c r="F508">
        <f t="shared" si="7"/>
        <v>59263</v>
      </c>
    </row>
    <row r="509" spans="1:6" x14ac:dyDescent="0.25">
      <c r="A509">
        <v>6</v>
      </c>
      <c r="B509">
        <v>0</v>
      </c>
      <c r="C509">
        <v>2045</v>
      </c>
      <c r="D509">
        <v>62104</v>
      </c>
      <c r="E509">
        <v>1320</v>
      </c>
      <c r="F509">
        <f t="shared" si="7"/>
        <v>60784</v>
      </c>
    </row>
    <row r="510" spans="1:6" x14ac:dyDescent="0.25">
      <c r="A510">
        <v>6</v>
      </c>
      <c r="B510">
        <v>0</v>
      </c>
      <c r="C510">
        <v>2046</v>
      </c>
      <c r="D510">
        <v>63613</v>
      </c>
      <c r="E510">
        <v>1324</v>
      </c>
      <c r="F510">
        <f t="shared" si="7"/>
        <v>62289</v>
      </c>
    </row>
    <row r="511" spans="1:6" x14ac:dyDescent="0.25">
      <c r="A511">
        <v>6</v>
      </c>
      <c r="B511">
        <v>0</v>
      </c>
      <c r="C511">
        <v>2047</v>
      </c>
      <c r="D511">
        <v>65167</v>
      </c>
      <c r="E511">
        <v>1324</v>
      </c>
      <c r="F511">
        <f t="shared" si="7"/>
        <v>63843</v>
      </c>
    </row>
    <row r="512" spans="1:6" x14ac:dyDescent="0.25">
      <c r="A512">
        <v>6</v>
      </c>
      <c r="B512">
        <v>0</v>
      </c>
      <c r="C512">
        <v>2048</v>
      </c>
      <c r="D512">
        <v>66686</v>
      </c>
      <c r="E512">
        <v>1326</v>
      </c>
      <c r="F512">
        <f t="shared" si="7"/>
        <v>65360</v>
      </c>
    </row>
    <row r="513" spans="1:6" x14ac:dyDescent="0.25">
      <c r="A513">
        <v>6</v>
      </c>
      <c r="B513">
        <v>0</v>
      </c>
      <c r="C513">
        <v>2049</v>
      </c>
      <c r="D513">
        <v>68238</v>
      </c>
      <c r="E513">
        <v>1327</v>
      </c>
      <c r="F513">
        <f t="shared" si="7"/>
        <v>66911</v>
      </c>
    </row>
    <row r="514" spans="1:6" x14ac:dyDescent="0.25">
      <c r="A514">
        <v>6</v>
      </c>
      <c r="B514">
        <v>0</v>
      </c>
      <c r="C514">
        <v>2050</v>
      </c>
      <c r="D514">
        <v>69816</v>
      </c>
      <c r="E514">
        <v>1329</v>
      </c>
      <c r="F514">
        <f t="shared" ref="F514:F577" si="8">D514-E514</f>
        <v>68487</v>
      </c>
    </row>
    <row r="515" spans="1:6" x14ac:dyDescent="0.25">
      <c r="A515">
        <v>6</v>
      </c>
      <c r="B515">
        <v>1</v>
      </c>
      <c r="C515">
        <v>2024</v>
      </c>
      <c r="D515">
        <v>19115</v>
      </c>
      <c r="E515">
        <v>637</v>
      </c>
      <c r="F515">
        <f t="shared" si="8"/>
        <v>18478</v>
      </c>
    </row>
    <row r="516" spans="1:6" x14ac:dyDescent="0.25">
      <c r="A516">
        <v>6</v>
      </c>
      <c r="B516">
        <v>1</v>
      </c>
      <c r="C516">
        <v>2025</v>
      </c>
      <c r="D516">
        <v>19589</v>
      </c>
      <c r="E516">
        <v>647</v>
      </c>
      <c r="F516">
        <f t="shared" si="8"/>
        <v>18942</v>
      </c>
    </row>
    <row r="517" spans="1:6" x14ac:dyDescent="0.25">
      <c r="A517">
        <v>6</v>
      </c>
      <c r="B517">
        <v>1</v>
      </c>
      <c r="C517">
        <v>2026</v>
      </c>
      <c r="D517">
        <v>20130</v>
      </c>
      <c r="E517">
        <v>655</v>
      </c>
      <c r="F517">
        <f t="shared" si="8"/>
        <v>19475</v>
      </c>
    </row>
    <row r="518" spans="1:6" x14ac:dyDescent="0.25">
      <c r="A518">
        <v>6</v>
      </c>
      <c r="B518">
        <v>1</v>
      </c>
      <c r="C518">
        <v>2027</v>
      </c>
      <c r="D518">
        <v>20687</v>
      </c>
      <c r="E518">
        <v>662</v>
      </c>
      <c r="F518">
        <f t="shared" si="8"/>
        <v>20025</v>
      </c>
    </row>
    <row r="519" spans="1:6" x14ac:dyDescent="0.25">
      <c r="A519">
        <v>6</v>
      </c>
      <c r="B519">
        <v>1</v>
      </c>
      <c r="C519">
        <v>2028</v>
      </c>
      <c r="D519">
        <v>21233</v>
      </c>
      <c r="E519">
        <v>671</v>
      </c>
      <c r="F519">
        <f t="shared" si="8"/>
        <v>20562</v>
      </c>
    </row>
    <row r="520" spans="1:6" x14ac:dyDescent="0.25">
      <c r="A520">
        <v>6</v>
      </c>
      <c r="B520">
        <v>1</v>
      </c>
      <c r="C520">
        <v>2029</v>
      </c>
      <c r="D520">
        <v>21807</v>
      </c>
      <c r="E520">
        <v>678</v>
      </c>
      <c r="F520">
        <f t="shared" si="8"/>
        <v>21129</v>
      </c>
    </row>
    <row r="521" spans="1:6" x14ac:dyDescent="0.25">
      <c r="A521">
        <v>6</v>
      </c>
      <c r="B521">
        <v>1</v>
      </c>
      <c r="C521">
        <v>2030</v>
      </c>
      <c r="D521">
        <v>22360</v>
      </c>
      <c r="E521">
        <v>686</v>
      </c>
      <c r="F521">
        <f t="shared" si="8"/>
        <v>21674</v>
      </c>
    </row>
    <row r="522" spans="1:6" x14ac:dyDescent="0.25">
      <c r="A522">
        <v>6</v>
      </c>
      <c r="B522">
        <v>1</v>
      </c>
      <c r="C522">
        <v>2031</v>
      </c>
      <c r="D522">
        <v>22973</v>
      </c>
      <c r="E522">
        <v>694</v>
      </c>
      <c r="F522">
        <f t="shared" si="8"/>
        <v>22279</v>
      </c>
    </row>
    <row r="523" spans="1:6" x14ac:dyDescent="0.25">
      <c r="A523">
        <v>6</v>
      </c>
      <c r="B523">
        <v>1</v>
      </c>
      <c r="C523">
        <v>2032</v>
      </c>
      <c r="D523">
        <v>23543</v>
      </c>
      <c r="E523">
        <v>700</v>
      </c>
      <c r="F523">
        <f t="shared" si="8"/>
        <v>22843</v>
      </c>
    </row>
    <row r="524" spans="1:6" x14ac:dyDescent="0.25">
      <c r="A524">
        <v>6</v>
      </c>
      <c r="B524">
        <v>1</v>
      </c>
      <c r="C524">
        <v>2033</v>
      </c>
      <c r="D524">
        <v>24169</v>
      </c>
      <c r="E524">
        <v>706</v>
      </c>
      <c r="F524">
        <f t="shared" si="8"/>
        <v>23463</v>
      </c>
    </row>
    <row r="525" spans="1:6" x14ac:dyDescent="0.25">
      <c r="A525">
        <v>6</v>
      </c>
      <c r="B525">
        <v>1</v>
      </c>
      <c r="C525">
        <v>2034</v>
      </c>
      <c r="D525">
        <v>24845</v>
      </c>
      <c r="E525">
        <v>711</v>
      </c>
      <c r="F525">
        <f t="shared" si="8"/>
        <v>24134</v>
      </c>
    </row>
    <row r="526" spans="1:6" x14ac:dyDescent="0.25">
      <c r="A526">
        <v>6</v>
      </c>
      <c r="B526">
        <v>1</v>
      </c>
      <c r="C526">
        <v>2035</v>
      </c>
      <c r="D526">
        <v>25466</v>
      </c>
      <c r="E526">
        <v>717</v>
      </c>
      <c r="F526">
        <f t="shared" si="8"/>
        <v>24749</v>
      </c>
    </row>
    <row r="527" spans="1:6" x14ac:dyDescent="0.25">
      <c r="A527">
        <v>6</v>
      </c>
      <c r="B527">
        <v>1</v>
      </c>
      <c r="C527">
        <v>2036</v>
      </c>
      <c r="D527">
        <v>26113</v>
      </c>
      <c r="E527">
        <v>723</v>
      </c>
      <c r="F527">
        <f t="shared" si="8"/>
        <v>25390</v>
      </c>
    </row>
    <row r="528" spans="1:6" x14ac:dyDescent="0.25">
      <c r="A528">
        <v>6</v>
      </c>
      <c r="B528">
        <v>1</v>
      </c>
      <c r="C528">
        <v>2037</v>
      </c>
      <c r="D528">
        <v>26792</v>
      </c>
      <c r="E528">
        <v>726</v>
      </c>
      <c r="F528">
        <f t="shared" si="8"/>
        <v>26066</v>
      </c>
    </row>
    <row r="529" spans="1:6" x14ac:dyDescent="0.25">
      <c r="A529">
        <v>6</v>
      </c>
      <c r="B529">
        <v>1</v>
      </c>
      <c r="C529">
        <v>2038</v>
      </c>
      <c r="D529">
        <v>27438</v>
      </c>
      <c r="E529">
        <v>733</v>
      </c>
      <c r="F529">
        <f t="shared" si="8"/>
        <v>26705</v>
      </c>
    </row>
    <row r="530" spans="1:6" x14ac:dyDescent="0.25">
      <c r="A530">
        <v>6</v>
      </c>
      <c r="B530">
        <v>1</v>
      </c>
      <c r="C530">
        <v>2039</v>
      </c>
      <c r="D530">
        <v>28170</v>
      </c>
      <c r="E530">
        <v>732</v>
      </c>
      <c r="F530">
        <f t="shared" si="8"/>
        <v>27438</v>
      </c>
    </row>
    <row r="531" spans="1:6" x14ac:dyDescent="0.25">
      <c r="A531">
        <v>6</v>
      </c>
      <c r="B531">
        <v>1</v>
      </c>
      <c r="C531">
        <v>2040</v>
      </c>
      <c r="D531">
        <v>28835</v>
      </c>
      <c r="E531">
        <v>735</v>
      </c>
      <c r="F531">
        <f t="shared" si="8"/>
        <v>28100</v>
      </c>
    </row>
    <row r="532" spans="1:6" x14ac:dyDescent="0.25">
      <c r="A532">
        <v>6</v>
      </c>
      <c r="B532">
        <v>1</v>
      </c>
      <c r="C532">
        <v>2041</v>
      </c>
      <c r="D532">
        <v>29545</v>
      </c>
      <c r="E532">
        <v>736</v>
      </c>
      <c r="F532">
        <f t="shared" si="8"/>
        <v>28809</v>
      </c>
    </row>
    <row r="533" spans="1:6" x14ac:dyDescent="0.25">
      <c r="A533">
        <v>6</v>
      </c>
      <c r="B533">
        <v>1</v>
      </c>
      <c r="C533">
        <v>2042</v>
      </c>
      <c r="D533">
        <v>30233</v>
      </c>
      <c r="E533">
        <v>735</v>
      </c>
      <c r="F533">
        <f t="shared" si="8"/>
        <v>29498</v>
      </c>
    </row>
    <row r="534" spans="1:6" x14ac:dyDescent="0.25">
      <c r="A534">
        <v>6</v>
      </c>
      <c r="B534">
        <v>1</v>
      </c>
      <c r="C534">
        <v>2043</v>
      </c>
      <c r="D534">
        <v>30972</v>
      </c>
      <c r="E534">
        <v>737</v>
      </c>
      <c r="F534">
        <f t="shared" si="8"/>
        <v>30235</v>
      </c>
    </row>
    <row r="535" spans="1:6" x14ac:dyDescent="0.25">
      <c r="A535">
        <v>6</v>
      </c>
      <c r="B535">
        <v>1</v>
      </c>
      <c r="C535">
        <v>2044</v>
      </c>
      <c r="D535">
        <v>31673</v>
      </c>
      <c r="E535">
        <v>734</v>
      </c>
      <c r="F535">
        <f t="shared" si="8"/>
        <v>30939</v>
      </c>
    </row>
    <row r="536" spans="1:6" x14ac:dyDescent="0.25">
      <c r="A536">
        <v>6</v>
      </c>
      <c r="B536">
        <v>1</v>
      </c>
      <c r="C536">
        <v>2045</v>
      </c>
      <c r="D536">
        <v>32376</v>
      </c>
      <c r="E536">
        <v>733</v>
      </c>
      <c r="F536">
        <f t="shared" si="8"/>
        <v>31643</v>
      </c>
    </row>
    <row r="537" spans="1:6" x14ac:dyDescent="0.25">
      <c r="A537">
        <v>6</v>
      </c>
      <c r="B537">
        <v>1</v>
      </c>
      <c r="C537">
        <v>2046</v>
      </c>
      <c r="D537">
        <v>33081</v>
      </c>
      <c r="E537">
        <v>737</v>
      </c>
      <c r="F537">
        <f t="shared" si="8"/>
        <v>32344</v>
      </c>
    </row>
    <row r="538" spans="1:6" x14ac:dyDescent="0.25">
      <c r="A538">
        <v>6</v>
      </c>
      <c r="B538">
        <v>1</v>
      </c>
      <c r="C538">
        <v>2047</v>
      </c>
      <c r="D538">
        <v>33860</v>
      </c>
      <c r="E538">
        <v>735</v>
      </c>
      <c r="F538">
        <f t="shared" si="8"/>
        <v>33125</v>
      </c>
    </row>
    <row r="539" spans="1:6" x14ac:dyDescent="0.25">
      <c r="A539">
        <v>6</v>
      </c>
      <c r="B539">
        <v>1</v>
      </c>
      <c r="C539">
        <v>2048</v>
      </c>
      <c r="D539">
        <v>34543</v>
      </c>
      <c r="E539">
        <v>739</v>
      </c>
      <c r="F539">
        <f t="shared" si="8"/>
        <v>33804</v>
      </c>
    </row>
    <row r="540" spans="1:6" x14ac:dyDescent="0.25">
      <c r="A540">
        <v>6</v>
      </c>
      <c r="B540">
        <v>1</v>
      </c>
      <c r="C540">
        <v>2049</v>
      </c>
      <c r="D540">
        <v>35310</v>
      </c>
      <c r="E540">
        <v>738</v>
      </c>
      <c r="F540">
        <f t="shared" si="8"/>
        <v>34572</v>
      </c>
    </row>
    <row r="541" spans="1:6" x14ac:dyDescent="0.25">
      <c r="A541">
        <v>6</v>
      </c>
      <c r="B541">
        <v>1</v>
      </c>
      <c r="C541">
        <v>2050</v>
      </c>
      <c r="D541">
        <v>36115</v>
      </c>
      <c r="E541">
        <v>737</v>
      </c>
      <c r="F541">
        <f t="shared" si="8"/>
        <v>35378</v>
      </c>
    </row>
    <row r="542" spans="1:6" x14ac:dyDescent="0.25">
      <c r="A542">
        <v>6</v>
      </c>
      <c r="B542">
        <v>2</v>
      </c>
      <c r="C542">
        <v>2024</v>
      </c>
      <c r="D542">
        <v>15836</v>
      </c>
      <c r="E542">
        <v>483</v>
      </c>
      <c r="F542">
        <f t="shared" si="8"/>
        <v>15353</v>
      </c>
    </row>
    <row r="543" spans="1:6" x14ac:dyDescent="0.25">
      <c r="A543">
        <v>6</v>
      </c>
      <c r="B543">
        <v>2</v>
      </c>
      <c r="C543">
        <v>2025</v>
      </c>
      <c r="D543">
        <v>16302</v>
      </c>
      <c r="E543">
        <v>490</v>
      </c>
      <c r="F543">
        <f t="shared" si="8"/>
        <v>15812</v>
      </c>
    </row>
    <row r="544" spans="1:6" x14ac:dyDescent="0.25">
      <c r="A544">
        <v>6</v>
      </c>
      <c r="B544">
        <v>2</v>
      </c>
      <c r="C544">
        <v>2026</v>
      </c>
      <c r="D544">
        <v>16741</v>
      </c>
      <c r="E544">
        <v>497</v>
      </c>
      <c r="F544">
        <f t="shared" si="8"/>
        <v>16244</v>
      </c>
    </row>
    <row r="545" spans="1:6" x14ac:dyDescent="0.25">
      <c r="A545">
        <v>6</v>
      </c>
      <c r="B545">
        <v>2</v>
      </c>
      <c r="C545">
        <v>2027</v>
      </c>
      <c r="D545">
        <v>17260</v>
      </c>
      <c r="E545">
        <v>506</v>
      </c>
      <c r="F545">
        <f t="shared" si="8"/>
        <v>16754</v>
      </c>
    </row>
    <row r="546" spans="1:6" x14ac:dyDescent="0.25">
      <c r="A546">
        <v>6</v>
      </c>
      <c r="B546">
        <v>2</v>
      </c>
      <c r="C546">
        <v>2028</v>
      </c>
      <c r="D546">
        <v>17792</v>
      </c>
      <c r="E546">
        <v>512</v>
      </c>
      <c r="F546">
        <f t="shared" si="8"/>
        <v>17280</v>
      </c>
    </row>
    <row r="547" spans="1:6" x14ac:dyDescent="0.25">
      <c r="A547">
        <v>6</v>
      </c>
      <c r="B547">
        <v>2</v>
      </c>
      <c r="C547">
        <v>2029</v>
      </c>
      <c r="D547">
        <v>18350</v>
      </c>
      <c r="E547">
        <v>518</v>
      </c>
      <c r="F547">
        <f t="shared" si="8"/>
        <v>17832</v>
      </c>
    </row>
    <row r="548" spans="1:6" x14ac:dyDescent="0.25">
      <c r="A548">
        <v>6</v>
      </c>
      <c r="B548">
        <v>2</v>
      </c>
      <c r="C548">
        <v>2030</v>
      </c>
      <c r="D548">
        <v>18962</v>
      </c>
      <c r="E548">
        <v>527</v>
      </c>
      <c r="F548">
        <f t="shared" si="8"/>
        <v>18435</v>
      </c>
    </row>
    <row r="549" spans="1:6" x14ac:dyDescent="0.25">
      <c r="A549">
        <v>6</v>
      </c>
      <c r="B549">
        <v>2</v>
      </c>
      <c r="C549">
        <v>2031</v>
      </c>
      <c r="D549">
        <v>19544</v>
      </c>
      <c r="E549">
        <v>533</v>
      </c>
      <c r="F549">
        <f t="shared" si="8"/>
        <v>19011</v>
      </c>
    </row>
    <row r="550" spans="1:6" x14ac:dyDescent="0.25">
      <c r="A550">
        <v>6</v>
      </c>
      <c r="B550">
        <v>2</v>
      </c>
      <c r="C550">
        <v>2032</v>
      </c>
      <c r="D550">
        <v>20150</v>
      </c>
      <c r="E550">
        <v>541</v>
      </c>
      <c r="F550">
        <f t="shared" si="8"/>
        <v>19609</v>
      </c>
    </row>
    <row r="551" spans="1:6" x14ac:dyDescent="0.25">
      <c r="A551">
        <v>6</v>
      </c>
      <c r="B551">
        <v>2</v>
      </c>
      <c r="C551">
        <v>2033</v>
      </c>
      <c r="D551">
        <v>20789</v>
      </c>
      <c r="E551">
        <v>547</v>
      </c>
      <c r="F551">
        <f t="shared" si="8"/>
        <v>20242</v>
      </c>
    </row>
    <row r="552" spans="1:6" x14ac:dyDescent="0.25">
      <c r="A552">
        <v>6</v>
      </c>
      <c r="B552">
        <v>2</v>
      </c>
      <c r="C552">
        <v>2034</v>
      </c>
      <c r="D552">
        <v>21437</v>
      </c>
      <c r="E552">
        <v>553</v>
      </c>
      <c r="F552">
        <f t="shared" si="8"/>
        <v>20884</v>
      </c>
    </row>
    <row r="553" spans="1:6" x14ac:dyDescent="0.25">
      <c r="A553">
        <v>6</v>
      </c>
      <c r="B553">
        <v>2</v>
      </c>
      <c r="C553">
        <v>2035</v>
      </c>
      <c r="D553">
        <v>22138</v>
      </c>
      <c r="E553">
        <v>557</v>
      </c>
      <c r="F553">
        <f t="shared" si="8"/>
        <v>21581</v>
      </c>
    </row>
    <row r="554" spans="1:6" x14ac:dyDescent="0.25">
      <c r="A554">
        <v>6</v>
      </c>
      <c r="B554">
        <v>2</v>
      </c>
      <c r="C554">
        <v>2036</v>
      </c>
      <c r="D554">
        <v>22857</v>
      </c>
      <c r="E554">
        <v>562</v>
      </c>
      <c r="F554">
        <f t="shared" si="8"/>
        <v>22295</v>
      </c>
    </row>
    <row r="555" spans="1:6" x14ac:dyDescent="0.25">
      <c r="A555">
        <v>6</v>
      </c>
      <c r="B555">
        <v>2</v>
      </c>
      <c r="C555">
        <v>2037</v>
      </c>
      <c r="D555">
        <v>23534</v>
      </c>
      <c r="E555">
        <v>568</v>
      </c>
      <c r="F555">
        <f t="shared" si="8"/>
        <v>22966</v>
      </c>
    </row>
    <row r="556" spans="1:6" x14ac:dyDescent="0.25">
      <c r="A556">
        <v>6</v>
      </c>
      <c r="B556">
        <v>2</v>
      </c>
      <c r="C556">
        <v>2038</v>
      </c>
      <c r="D556">
        <v>24286</v>
      </c>
      <c r="E556">
        <v>568</v>
      </c>
      <c r="F556">
        <f t="shared" si="8"/>
        <v>23718</v>
      </c>
    </row>
    <row r="557" spans="1:6" x14ac:dyDescent="0.25">
      <c r="A557">
        <v>6</v>
      </c>
      <c r="B557">
        <v>2</v>
      </c>
      <c r="C557">
        <v>2039</v>
      </c>
      <c r="D557">
        <v>25005</v>
      </c>
      <c r="E557">
        <v>574</v>
      </c>
      <c r="F557">
        <f t="shared" si="8"/>
        <v>24431</v>
      </c>
    </row>
    <row r="558" spans="1:6" x14ac:dyDescent="0.25">
      <c r="A558">
        <v>6</v>
      </c>
      <c r="B558">
        <v>2</v>
      </c>
      <c r="C558">
        <v>2040</v>
      </c>
      <c r="D558">
        <v>25808</v>
      </c>
      <c r="E558">
        <v>575</v>
      </c>
      <c r="F558">
        <f t="shared" si="8"/>
        <v>25233</v>
      </c>
    </row>
    <row r="559" spans="1:6" x14ac:dyDescent="0.25">
      <c r="A559">
        <v>6</v>
      </c>
      <c r="B559">
        <v>2</v>
      </c>
      <c r="C559">
        <v>2041</v>
      </c>
      <c r="D559">
        <v>26555</v>
      </c>
      <c r="E559">
        <v>579</v>
      </c>
      <c r="F559">
        <f t="shared" si="8"/>
        <v>25976</v>
      </c>
    </row>
    <row r="560" spans="1:6" x14ac:dyDescent="0.25">
      <c r="A560">
        <v>6</v>
      </c>
      <c r="B560">
        <v>2</v>
      </c>
      <c r="C560">
        <v>2042</v>
      </c>
      <c r="D560">
        <v>27376</v>
      </c>
      <c r="E560">
        <v>581</v>
      </c>
      <c r="F560">
        <f t="shared" si="8"/>
        <v>26795</v>
      </c>
    </row>
    <row r="561" spans="1:6" x14ac:dyDescent="0.25">
      <c r="A561">
        <v>6</v>
      </c>
      <c r="B561">
        <v>2</v>
      </c>
      <c r="C561">
        <v>2043</v>
      </c>
      <c r="D561">
        <v>28117</v>
      </c>
      <c r="E561">
        <v>582</v>
      </c>
      <c r="F561">
        <f t="shared" si="8"/>
        <v>27535</v>
      </c>
    </row>
    <row r="562" spans="1:6" x14ac:dyDescent="0.25">
      <c r="A562">
        <v>6</v>
      </c>
      <c r="B562">
        <v>2</v>
      </c>
      <c r="C562">
        <v>2044</v>
      </c>
      <c r="D562">
        <v>28910</v>
      </c>
      <c r="E562">
        <v>586</v>
      </c>
      <c r="F562">
        <f t="shared" si="8"/>
        <v>28324</v>
      </c>
    </row>
    <row r="563" spans="1:6" x14ac:dyDescent="0.25">
      <c r="A563">
        <v>6</v>
      </c>
      <c r="B563">
        <v>2</v>
      </c>
      <c r="C563">
        <v>2045</v>
      </c>
      <c r="D563">
        <v>29728</v>
      </c>
      <c r="E563">
        <v>587</v>
      </c>
      <c r="F563">
        <f t="shared" si="8"/>
        <v>29141</v>
      </c>
    </row>
    <row r="564" spans="1:6" x14ac:dyDescent="0.25">
      <c r="A564">
        <v>6</v>
      </c>
      <c r="B564">
        <v>2</v>
      </c>
      <c r="C564">
        <v>2046</v>
      </c>
      <c r="D564">
        <v>30532</v>
      </c>
      <c r="E564">
        <v>587</v>
      </c>
      <c r="F564">
        <f t="shared" si="8"/>
        <v>29945</v>
      </c>
    </row>
    <row r="565" spans="1:6" x14ac:dyDescent="0.25">
      <c r="A565">
        <v>6</v>
      </c>
      <c r="B565">
        <v>2</v>
      </c>
      <c r="C565">
        <v>2047</v>
      </c>
      <c r="D565">
        <v>31307</v>
      </c>
      <c r="E565">
        <v>589</v>
      </c>
      <c r="F565">
        <f t="shared" si="8"/>
        <v>30718</v>
      </c>
    </row>
    <row r="566" spans="1:6" x14ac:dyDescent="0.25">
      <c r="A566">
        <v>6</v>
      </c>
      <c r="B566">
        <v>2</v>
      </c>
      <c r="C566">
        <v>2048</v>
      </c>
      <c r="D566">
        <v>32143</v>
      </c>
      <c r="E566">
        <v>587</v>
      </c>
      <c r="F566">
        <f t="shared" si="8"/>
        <v>31556</v>
      </c>
    </row>
    <row r="567" spans="1:6" x14ac:dyDescent="0.25">
      <c r="A567">
        <v>6</v>
      </c>
      <c r="B567">
        <v>2</v>
      </c>
      <c r="C567">
        <v>2049</v>
      </c>
      <c r="D567">
        <v>32928</v>
      </c>
      <c r="E567">
        <v>589</v>
      </c>
      <c r="F567">
        <f t="shared" si="8"/>
        <v>32339</v>
      </c>
    </row>
    <row r="568" spans="1:6" x14ac:dyDescent="0.25">
      <c r="A568">
        <v>6</v>
      </c>
      <c r="B568">
        <v>2</v>
      </c>
      <c r="C568">
        <v>2050</v>
      </c>
      <c r="D568">
        <v>33701</v>
      </c>
      <c r="E568">
        <v>592</v>
      </c>
      <c r="F568">
        <f t="shared" si="8"/>
        <v>33109</v>
      </c>
    </row>
    <row r="569" spans="1:6" x14ac:dyDescent="0.25">
      <c r="A569">
        <v>7</v>
      </c>
      <c r="B569">
        <v>0</v>
      </c>
      <c r="C569">
        <v>2024</v>
      </c>
      <c r="D569">
        <v>2657640</v>
      </c>
      <c r="E569">
        <v>13074</v>
      </c>
      <c r="F569">
        <f t="shared" si="8"/>
        <v>2644566</v>
      </c>
    </row>
    <row r="570" spans="1:6" x14ac:dyDescent="0.25">
      <c r="A570">
        <v>7</v>
      </c>
      <c r="B570">
        <v>0</v>
      </c>
      <c r="C570">
        <v>2025</v>
      </c>
      <c r="D570">
        <v>2697721</v>
      </c>
      <c r="E570">
        <v>12946</v>
      </c>
      <c r="F570">
        <f t="shared" si="8"/>
        <v>2684775</v>
      </c>
    </row>
    <row r="571" spans="1:6" x14ac:dyDescent="0.25">
      <c r="A571">
        <v>7</v>
      </c>
      <c r="B571">
        <v>0</v>
      </c>
      <c r="C571">
        <v>2026</v>
      </c>
      <c r="D571">
        <v>2737297</v>
      </c>
      <c r="E571">
        <v>12815</v>
      </c>
      <c r="F571">
        <f t="shared" si="8"/>
        <v>2724482</v>
      </c>
    </row>
    <row r="572" spans="1:6" x14ac:dyDescent="0.25">
      <c r="A572">
        <v>7</v>
      </c>
      <c r="B572">
        <v>0</v>
      </c>
      <c r="C572">
        <v>2027</v>
      </c>
      <c r="D572">
        <v>2777192</v>
      </c>
      <c r="E572">
        <v>12682</v>
      </c>
      <c r="F572">
        <f t="shared" si="8"/>
        <v>2764510</v>
      </c>
    </row>
    <row r="573" spans="1:6" x14ac:dyDescent="0.25">
      <c r="A573">
        <v>7</v>
      </c>
      <c r="B573">
        <v>0</v>
      </c>
      <c r="C573">
        <v>2028</v>
      </c>
      <c r="D573">
        <v>2817909</v>
      </c>
      <c r="E573">
        <v>12542</v>
      </c>
      <c r="F573">
        <f t="shared" si="8"/>
        <v>2805367</v>
      </c>
    </row>
    <row r="574" spans="1:6" x14ac:dyDescent="0.25">
      <c r="A574">
        <v>7</v>
      </c>
      <c r="B574">
        <v>0</v>
      </c>
      <c r="C574">
        <v>2029</v>
      </c>
      <c r="D574">
        <v>2859523</v>
      </c>
      <c r="E574">
        <v>12404</v>
      </c>
      <c r="F574">
        <f t="shared" si="8"/>
        <v>2847119</v>
      </c>
    </row>
    <row r="575" spans="1:6" x14ac:dyDescent="0.25">
      <c r="A575">
        <v>7</v>
      </c>
      <c r="B575">
        <v>0</v>
      </c>
      <c r="C575">
        <v>2030</v>
      </c>
      <c r="D575">
        <v>2901920</v>
      </c>
      <c r="E575">
        <v>12264</v>
      </c>
      <c r="F575">
        <f t="shared" si="8"/>
        <v>2889656</v>
      </c>
    </row>
    <row r="576" spans="1:6" x14ac:dyDescent="0.25">
      <c r="A576">
        <v>7</v>
      </c>
      <c r="B576">
        <v>0</v>
      </c>
      <c r="C576">
        <v>2031</v>
      </c>
      <c r="D576">
        <v>2944807</v>
      </c>
      <c r="E576">
        <v>12123</v>
      </c>
      <c r="F576">
        <f t="shared" si="8"/>
        <v>2932684</v>
      </c>
    </row>
    <row r="577" spans="1:6" x14ac:dyDescent="0.25">
      <c r="A577">
        <v>7</v>
      </c>
      <c r="B577">
        <v>0</v>
      </c>
      <c r="C577">
        <v>2032</v>
      </c>
      <c r="D577">
        <v>2987898</v>
      </c>
      <c r="E577">
        <v>11980</v>
      </c>
      <c r="F577">
        <f t="shared" si="8"/>
        <v>2975918</v>
      </c>
    </row>
    <row r="578" spans="1:6" x14ac:dyDescent="0.25">
      <c r="A578">
        <v>7</v>
      </c>
      <c r="B578">
        <v>0</v>
      </c>
      <c r="C578">
        <v>2033</v>
      </c>
      <c r="D578">
        <v>3030758</v>
      </c>
      <c r="E578">
        <v>11834</v>
      </c>
      <c r="F578">
        <f t="shared" ref="F578:F641" si="9">D578-E578</f>
        <v>3018924</v>
      </c>
    </row>
    <row r="579" spans="1:6" x14ac:dyDescent="0.25">
      <c r="A579">
        <v>7</v>
      </c>
      <c r="B579">
        <v>0</v>
      </c>
      <c r="C579">
        <v>2034</v>
      </c>
      <c r="D579">
        <v>3073124</v>
      </c>
      <c r="E579">
        <v>11687</v>
      </c>
      <c r="F579">
        <f t="shared" si="9"/>
        <v>3061437</v>
      </c>
    </row>
    <row r="580" spans="1:6" x14ac:dyDescent="0.25">
      <c r="A580">
        <v>7</v>
      </c>
      <c r="B580">
        <v>0</v>
      </c>
      <c r="C580">
        <v>2035</v>
      </c>
      <c r="D580">
        <v>3114924</v>
      </c>
      <c r="E580">
        <v>11538</v>
      </c>
      <c r="F580">
        <f t="shared" si="9"/>
        <v>3103386</v>
      </c>
    </row>
    <row r="581" spans="1:6" x14ac:dyDescent="0.25">
      <c r="A581">
        <v>7</v>
      </c>
      <c r="B581">
        <v>0</v>
      </c>
      <c r="C581">
        <v>2036</v>
      </c>
      <c r="D581">
        <v>3155501</v>
      </c>
      <c r="E581">
        <v>11389</v>
      </c>
      <c r="F581">
        <f t="shared" si="9"/>
        <v>3144112</v>
      </c>
    </row>
    <row r="582" spans="1:6" x14ac:dyDescent="0.25">
      <c r="A582">
        <v>7</v>
      </c>
      <c r="B582">
        <v>0</v>
      </c>
      <c r="C582">
        <v>2037</v>
      </c>
      <c r="D582">
        <v>3194478</v>
      </c>
      <c r="E582">
        <v>11236</v>
      </c>
      <c r="F582">
        <f t="shared" si="9"/>
        <v>3183242</v>
      </c>
    </row>
    <row r="583" spans="1:6" x14ac:dyDescent="0.25">
      <c r="A583">
        <v>7</v>
      </c>
      <c r="B583">
        <v>0</v>
      </c>
      <c r="C583">
        <v>2038</v>
      </c>
      <c r="D583">
        <v>3231544</v>
      </c>
      <c r="E583">
        <v>11082</v>
      </c>
      <c r="F583">
        <f t="shared" si="9"/>
        <v>3220462</v>
      </c>
    </row>
    <row r="584" spans="1:6" x14ac:dyDescent="0.25">
      <c r="A584">
        <v>7</v>
      </c>
      <c r="B584">
        <v>0</v>
      </c>
      <c r="C584">
        <v>2039</v>
      </c>
      <c r="D584">
        <v>3266143</v>
      </c>
      <c r="E584">
        <v>10927</v>
      </c>
      <c r="F584">
        <f t="shared" si="9"/>
        <v>3255216</v>
      </c>
    </row>
    <row r="585" spans="1:6" x14ac:dyDescent="0.25">
      <c r="A585">
        <v>7</v>
      </c>
      <c r="B585">
        <v>0</v>
      </c>
      <c r="C585">
        <v>2040</v>
      </c>
      <c r="D585">
        <v>3297930</v>
      </c>
      <c r="E585">
        <v>10772</v>
      </c>
      <c r="F585">
        <f t="shared" si="9"/>
        <v>3287158</v>
      </c>
    </row>
    <row r="586" spans="1:6" x14ac:dyDescent="0.25">
      <c r="A586">
        <v>7</v>
      </c>
      <c r="B586">
        <v>0</v>
      </c>
      <c r="C586">
        <v>2041</v>
      </c>
      <c r="D586">
        <v>3326585</v>
      </c>
      <c r="E586">
        <v>10614</v>
      </c>
      <c r="F586">
        <f t="shared" si="9"/>
        <v>3315971</v>
      </c>
    </row>
    <row r="587" spans="1:6" x14ac:dyDescent="0.25">
      <c r="A587">
        <v>7</v>
      </c>
      <c r="B587">
        <v>0</v>
      </c>
      <c r="C587">
        <v>2042</v>
      </c>
      <c r="D587">
        <v>3351893</v>
      </c>
      <c r="E587">
        <v>10458</v>
      </c>
      <c r="F587">
        <f t="shared" si="9"/>
        <v>3341435</v>
      </c>
    </row>
    <row r="588" spans="1:6" x14ac:dyDescent="0.25">
      <c r="A588">
        <v>7</v>
      </c>
      <c r="B588">
        <v>0</v>
      </c>
      <c r="C588">
        <v>2043</v>
      </c>
      <c r="D588">
        <v>3373825</v>
      </c>
      <c r="E588">
        <v>10306</v>
      </c>
      <c r="F588">
        <f t="shared" si="9"/>
        <v>3363519</v>
      </c>
    </row>
    <row r="589" spans="1:6" x14ac:dyDescent="0.25">
      <c r="A589">
        <v>7</v>
      </c>
      <c r="B589">
        <v>0</v>
      </c>
      <c r="C589">
        <v>2044</v>
      </c>
      <c r="D589">
        <v>3391569</v>
      </c>
      <c r="E589">
        <v>10156</v>
      </c>
      <c r="F589">
        <f t="shared" si="9"/>
        <v>3381413</v>
      </c>
    </row>
    <row r="590" spans="1:6" x14ac:dyDescent="0.25">
      <c r="A590">
        <v>7</v>
      </c>
      <c r="B590">
        <v>0</v>
      </c>
      <c r="C590">
        <v>2045</v>
      </c>
      <c r="D590">
        <v>3404952</v>
      </c>
      <c r="E590">
        <v>10013</v>
      </c>
      <c r="F590">
        <f t="shared" si="9"/>
        <v>3394939</v>
      </c>
    </row>
    <row r="591" spans="1:6" x14ac:dyDescent="0.25">
      <c r="A591">
        <v>7</v>
      </c>
      <c r="B591">
        <v>0</v>
      </c>
      <c r="C591">
        <v>2046</v>
      </c>
      <c r="D591">
        <v>3413935</v>
      </c>
      <c r="E591">
        <v>9872</v>
      </c>
      <c r="F591">
        <f t="shared" si="9"/>
        <v>3404063</v>
      </c>
    </row>
    <row r="592" spans="1:6" x14ac:dyDescent="0.25">
      <c r="A592">
        <v>7</v>
      </c>
      <c r="B592">
        <v>0</v>
      </c>
      <c r="C592">
        <v>2047</v>
      </c>
      <c r="D592">
        <v>3420355</v>
      </c>
      <c r="E592">
        <v>9736</v>
      </c>
      <c r="F592">
        <f t="shared" si="9"/>
        <v>3410619</v>
      </c>
    </row>
    <row r="593" spans="1:6" x14ac:dyDescent="0.25">
      <c r="A593">
        <v>7</v>
      </c>
      <c r="B593">
        <v>0</v>
      </c>
      <c r="C593">
        <v>2048</v>
      </c>
      <c r="D593">
        <v>3422688</v>
      </c>
      <c r="E593">
        <v>9604</v>
      </c>
      <c r="F593">
        <f t="shared" si="9"/>
        <v>3413084</v>
      </c>
    </row>
    <row r="594" spans="1:6" x14ac:dyDescent="0.25">
      <c r="A594">
        <v>7</v>
      </c>
      <c r="B594">
        <v>0</v>
      </c>
      <c r="C594">
        <v>2049</v>
      </c>
      <c r="D594">
        <v>3420902</v>
      </c>
      <c r="E594">
        <v>9475</v>
      </c>
      <c r="F594">
        <f t="shared" si="9"/>
        <v>3411427</v>
      </c>
    </row>
    <row r="595" spans="1:6" x14ac:dyDescent="0.25">
      <c r="A595">
        <v>7</v>
      </c>
      <c r="B595">
        <v>0</v>
      </c>
      <c r="C595">
        <v>2050</v>
      </c>
      <c r="D595">
        <v>3415258</v>
      </c>
      <c r="E595">
        <v>9350</v>
      </c>
      <c r="F595">
        <f t="shared" si="9"/>
        <v>3405908</v>
      </c>
    </row>
    <row r="596" spans="1:6" x14ac:dyDescent="0.25">
      <c r="A596">
        <v>7</v>
      </c>
      <c r="B596">
        <v>1</v>
      </c>
      <c r="C596">
        <v>2024</v>
      </c>
      <c r="D596">
        <v>1363289</v>
      </c>
      <c r="E596">
        <v>7406</v>
      </c>
      <c r="F596">
        <f t="shared" si="9"/>
        <v>1355883</v>
      </c>
    </row>
    <row r="597" spans="1:6" x14ac:dyDescent="0.25">
      <c r="A597">
        <v>7</v>
      </c>
      <c r="B597">
        <v>1</v>
      </c>
      <c r="C597">
        <v>2025</v>
      </c>
      <c r="D597">
        <v>1385772</v>
      </c>
      <c r="E597">
        <v>7326</v>
      </c>
      <c r="F597">
        <f t="shared" si="9"/>
        <v>1378446</v>
      </c>
    </row>
    <row r="598" spans="1:6" x14ac:dyDescent="0.25">
      <c r="A598">
        <v>7</v>
      </c>
      <c r="B598">
        <v>1</v>
      </c>
      <c r="C598">
        <v>2026</v>
      </c>
      <c r="D598">
        <v>1407933</v>
      </c>
      <c r="E598">
        <v>7245</v>
      </c>
      <c r="F598">
        <f t="shared" si="9"/>
        <v>1400688</v>
      </c>
    </row>
    <row r="599" spans="1:6" x14ac:dyDescent="0.25">
      <c r="A599">
        <v>7</v>
      </c>
      <c r="B599">
        <v>1</v>
      </c>
      <c r="C599">
        <v>2027</v>
      </c>
      <c r="D599">
        <v>1429852</v>
      </c>
      <c r="E599">
        <v>7163</v>
      </c>
      <c r="F599">
        <f t="shared" si="9"/>
        <v>1422689</v>
      </c>
    </row>
    <row r="600" spans="1:6" x14ac:dyDescent="0.25">
      <c r="A600">
        <v>7</v>
      </c>
      <c r="B600">
        <v>1</v>
      </c>
      <c r="C600">
        <v>2028</v>
      </c>
      <c r="D600">
        <v>1451663</v>
      </c>
      <c r="E600">
        <v>7078</v>
      </c>
      <c r="F600">
        <f t="shared" si="9"/>
        <v>1444585</v>
      </c>
    </row>
    <row r="601" spans="1:6" x14ac:dyDescent="0.25">
      <c r="A601">
        <v>7</v>
      </c>
      <c r="B601">
        <v>1</v>
      </c>
      <c r="C601">
        <v>2029</v>
      </c>
      <c r="D601">
        <v>1473413</v>
      </c>
      <c r="E601">
        <v>6994</v>
      </c>
      <c r="F601">
        <f t="shared" si="9"/>
        <v>1466419</v>
      </c>
    </row>
    <row r="602" spans="1:6" x14ac:dyDescent="0.25">
      <c r="A602">
        <v>7</v>
      </c>
      <c r="B602">
        <v>1</v>
      </c>
      <c r="C602">
        <v>2030</v>
      </c>
      <c r="D602">
        <v>1494913</v>
      </c>
      <c r="E602">
        <v>6909</v>
      </c>
      <c r="F602">
        <f t="shared" si="9"/>
        <v>1488004</v>
      </c>
    </row>
    <row r="603" spans="1:6" x14ac:dyDescent="0.25">
      <c r="A603">
        <v>7</v>
      </c>
      <c r="B603">
        <v>1</v>
      </c>
      <c r="C603">
        <v>2031</v>
      </c>
      <c r="D603">
        <v>1516006</v>
      </c>
      <c r="E603">
        <v>6825</v>
      </c>
      <c r="F603">
        <f t="shared" si="9"/>
        <v>1509181</v>
      </c>
    </row>
    <row r="604" spans="1:6" x14ac:dyDescent="0.25">
      <c r="A604">
        <v>7</v>
      </c>
      <c r="B604">
        <v>1</v>
      </c>
      <c r="C604">
        <v>2032</v>
      </c>
      <c r="D604">
        <v>1536568</v>
      </c>
      <c r="E604">
        <v>6737</v>
      </c>
      <c r="F604">
        <f t="shared" si="9"/>
        <v>1529831</v>
      </c>
    </row>
    <row r="605" spans="1:6" x14ac:dyDescent="0.25">
      <c r="A605">
        <v>7</v>
      </c>
      <c r="B605">
        <v>1</v>
      </c>
      <c r="C605">
        <v>2033</v>
      </c>
      <c r="D605">
        <v>1556408</v>
      </c>
      <c r="E605">
        <v>6650</v>
      </c>
      <c r="F605">
        <f t="shared" si="9"/>
        <v>1549758</v>
      </c>
    </row>
    <row r="606" spans="1:6" x14ac:dyDescent="0.25">
      <c r="A606">
        <v>7</v>
      </c>
      <c r="B606">
        <v>1</v>
      </c>
      <c r="C606">
        <v>2034</v>
      </c>
      <c r="D606">
        <v>1575471</v>
      </c>
      <c r="E606">
        <v>6561</v>
      </c>
      <c r="F606">
        <f t="shared" si="9"/>
        <v>1568910</v>
      </c>
    </row>
    <row r="607" spans="1:6" x14ac:dyDescent="0.25">
      <c r="A607">
        <v>7</v>
      </c>
      <c r="B607">
        <v>1</v>
      </c>
      <c r="C607">
        <v>2035</v>
      </c>
      <c r="D607">
        <v>1593731</v>
      </c>
      <c r="E607">
        <v>6472</v>
      </c>
      <c r="F607">
        <f t="shared" si="9"/>
        <v>1587259</v>
      </c>
    </row>
    <row r="608" spans="1:6" x14ac:dyDescent="0.25">
      <c r="A608">
        <v>7</v>
      </c>
      <c r="B608">
        <v>1</v>
      </c>
      <c r="C608">
        <v>2036</v>
      </c>
      <c r="D608">
        <v>1610974</v>
      </c>
      <c r="E608">
        <v>6385</v>
      </c>
      <c r="F608">
        <f t="shared" si="9"/>
        <v>1604589</v>
      </c>
    </row>
    <row r="609" spans="1:6" x14ac:dyDescent="0.25">
      <c r="A609">
        <v>7</v>
      </c>
      <c r="B609">
        <v>1</v>
      </c>
      <c r="C609">
        <v>2037</v>
      </c>
      <c r="D609">
        <v>1627069</v>
      </c>
      <c r="E609">
        <v>6291</v>
      </c>
      <c r="F609">
        <f t="shared" si="9"/>
        <v>1620778</v>
      </c>
    </row>
    <row r="610" spans="1:6" x14ac:dyDescent="0.25">
      <c r="A610">
        <v>7</v>
      </c>
      <c r="B610">
        <v>1</v>
      </c>
      <c r="C610">
        <v>2038</v>
      </c>
      <c r="D610">
        <v>1641867</v>
      </c>
      <c r="E610">
        <v>6201</v>
      </c>
      <c r="F610">
        <f t="shared" si="9"/>
        <v>1635666</v>
      </c>
    </row>
    <row r="611" spans="1:6" x14ac:dyDescent="0.25">
      <c r="A611">
        <v>7</v>
      </c>
      <c r="B611">
        <v>1</v>
      </c>
      <c r="C611">
        <v>2039</v>
      </c>
      <c r="D611">
        <v>1655233</v>
      </c>
      <c r="E611">
        <v>6106</v>
      </c>
      <c r="F611">
        <f t="shared" si="9"/>
        <v>1649127</v>
      </c>
    </row>
    <row r="612" spans="1:6" x14ac:dyDescent="0.25">
      <c r="A612">
        <v>7</v>
      </c>
      <c r="B612">
        <v>1</v>
      </c>
      <c r="C612">
        <v>2040</v>
      </c>
      <c r="D612">
        <v>1667002</v>
      </c>
      <c r="E612">
        <v>6014</v>
      </c>
      <c r="F612">
        <f t="shared" si="9"/>
        <v>1660988</v>
      </c>
    </row>
    <row r="613" spans="1:6" x14ac:dyDescent="0.25">
      <c r="A613">
        <v>7</v>
      </c>
      <c r="B613">
        <v>1</v>
      </c>
      <c r="C613">
        <v>2041</v>
      </c>
      <c r="D613">
        <v>1677145</v>
      </c>
      <c r="E613">
        <v>5921</v>
      </c>
      <c r="F613">
        <f t="shared" si="9"/>
        <v>1671224</v>
      </c>
    </row>
    <row r="614" spans="1:6" x14ac:dyDescent="0.25">
      <c r="A614">
        <v>7</v>
      </c>
      <c r="B614">
        <v>1</v>
      </c>
      <c r="C614">
        <v>2042</v>
      </c>
      <c r="D614">
        <v>1685580</v>
      </c>
      <c r="E614">
        <v>5828</v>
      </c>
      <c r="F614">
        <f t="shared" si="9"/>
        <v>1679752</v>
      </c>
    </row>
    <row r="615" spans="1:6" x14ac:dyDescent="0.25">
      <c r="A615">
        <v>7</v>
      </c>
      <c r="B615">
        <v>1</v>
      </c>
      <c r="C615">
        <v>2043</v>
      </c>
      <c r="D615">
        <v>1692404</v>
      </c>
      <c r="E615">
        <v>5737</v>
      </c>
      <c r="F615">
        <f t="shared" si="9"/>
        <v>1686667</v>
      </c>
    </row>
    <row r="616" spans="1:6" x14ac:dyDescent="0.25">
      <c r="A616">
        <v>7</v>
      </c>
      <c r="B616">
        <v>1</v>
      </c>
      <c r="C616">
        <v>2044</v>
      </c>
      <c r="D616">
        <v>1697241</v>
      </c>
      <c r="E616">
        <v>5648</v>
      </c>
      <c r="F616">
        <f t="shared" si="9"/>
        <v>1691593</v>
      </c>
    </row>
    <row r="617" spans="1:6" x14ac:dyDescent="0.25">
      <c r="A617">
        <v>7</v>
      </c>
      <c r="B617">
        <v>1</v>
      </c>
      <c r="C617">
        <v>2045</v>
      </c>
      <c r="D617">
        <v>1700188</v>
      </c>
      <c r="E617">
        <v>5562</v>
      </c>
      <c r="F617">
        <f t="shared" si="9"/>
        <v>1694626</v>
      </c>
    </row>
    <row r="618" spans="1:6" x14ac:dyDescent="0.25">
      <c r="A618">
        <v>7</v>
      </c>
      <c r="B618">
        <v>1</v>
      </c>
      <c r="C618">
        <v>2046</v>
      </c>
      <c r="D618">
        <v>1701217</v>
      </c>
      <c r="E618">
        <v>5481</v>
      </c>
      <c r="F618">
        <f t="shared" si="9"/>
        <v>1695736</v>
      </c>
    </row>
    <row r="619" spans="1:6" x14ac:dyDescent="0.25">
      <c r="A619">
        <v>7</v>
      </c>
      <c r="B619">
        <v>1</v>
      </c>
      <c r="C619">
        <v>2047</v>
      </c>
      <c r="D619">
        <v>1701056</v>
      </c>
      <c r="E619">
        <v>5400</v>
      </c>
      <c r="F619">
        <f t="shared" si="9"/>
        <v>1695656</v>
      </c>
    </row>
    <row r="620" spans="1:6" x14ac:dyDescent="0.25">
      <c r="A620">
        <v>7</v>
      </c>
      <c r="B620">
        <v>1</v>
      </c>
      <c r="C620">
        <v>2048</v>
      </c>
      <c r="D620">
        <v>1699149</v>
      </c>
      <c r="E620">
        <v>5322</v>
      </c>
      <c r="F620">
        <f t="shared" si="9"/>
        <v>1693827</v>
      </c>
    </row>
    <row r="621" spans="1:6" x14ac:dyDescent="0.25">
      <c r="A621">
        <v>7</v>
      </c>
      <c r="B621">
        <v>1</v>
      </c>
      <c r="C621">
        <v>2049</v>
      </c>
      <c r="D621">
        <v>1695615</v>
      </c>
      <c r="E621">
        <v>5246</v>
      </c>
      <c r="F621">
        <f t="shared" si="9"/>
        <v>1690369</v>
      </c>
    </row>
    <row r="622" spans="1:6" x14ac:dyDescent="0.25">
      <c r="A622">
        <v>7</v>
      </c>
      <c r="B622">
        <v>1</v>
      </c>
      <c r="C622">
        <v>2050</v>
      </c>
      <c r="D622">
        <v>1690616</v>
      </c>
      <c r="E622">
        <v>5169</v>
      </c>
      <c r="F622">
        <f t="shared" si="9"/>
        <v>1685447</v>
      </c>
    </row>
    <row r="623" spans="1:6" x14ac:dyDescent="0.25">
      <c r="A623">
        <v>7</v>
      </c>
      <c r="B623">
        <v>2</v>
      </c>
      <c r="C623">
        <v>2024</v>
      </c>
      <c r="D623">
        <v>1294351</v>
      </c>
      <c r="E623">
        <v>5668</v>
      </c>
      <c r="F623">
        <f t="shared" si="9"/>
        <v>1288683</v>
      </c>
    </row>
    <row r="624" spans="1:6" x14ac:dyDescent="0.25">
      <c r="A624">
        <v>7</v>
      </c>
      <c r="B624">
        <v>2</v>
      </c>
      <c r="C624">
        <v>2025</v>
      </c>
      <c r="D624">
        <v>1311949</v>
      </c>
      <c r="E624">
        <v>5620</v>
      </c>
      <c r="F624">
        <f t="shared" si="9"/>
        <v>1306329</v>
      </c>
    </row>
    <row r="625" spans="1:6" x14ac:dyDescent="0.25">
      <c r="A625">
        <v>7</v>
      </c>
      <c r="B625">
        <v>2</v>
      </c>
      <c r="C625">
        <v>2026</v>
      </c>
      <c r="D625">
        <v>1329364</v>
      </c>
      <c r="E625">
        <v>5570</v>
      </c>
      <c r="F625">
        <f t="shared" si="9"/>
        <v>1323794</v>
      </c>
    </row>
    <row r="626" spans="1:6" x14ac:dyDescent="0.25">
      <c r="A626">
        <v>7</v>
      </c>
      <c r="B626">
        <v>2</v>
      </c>
      <c r="C626">
        <v>2027</v>
      </c>
      <c r="D626">
        <v>1347340</v>
      </c>
      <c r="E626">
        <v>5519</v>
      </c>
      <c r="F626">
        <f t="shared" si="9"/>
        <v>1341821</v>
      </c>
    </row>
    <row r="627" spans="1:6" x14ac:dyDescent="0.25">
      <c r="A627">
        <v>7</v>
      </c>
      <c r="B627">
        <v>2</v>
      </c>
      <c r="C627">
        <v>2028</v>
      </c>
      <c r="D627">
        <v>1366246</v>
      </c>
      <c r="E627">
        <v>5464</v>
      </c>
      <c r="F627">
        <f t="shared" si="9"/>
        <v>1360782</v>
      </c>
    </row>
    <row r="628" spans="1:6" x14ac:dyDescent="0.25">
      <c r="A628">
        <v>7</v>
      </c>
      <c r="B628">
        <v>2</v>
      </c>
      <c r="C628">
        <v>2029</v>
      </c>
      <c r="D628">
        <v>1386110</v>
      </c>
      <c r="E628">
        <v>5410</v>
      </c>
      <c r="F628">
        <f t="shared" si="9"/>
        <v>1380700</v>
      </c>
    </row>
    <row r="629" spans="1:6" x14ac:dyDescent="0.25">
      <c r="A629">
        <v>7</v>
      </c>
      <c r="B629">
        <v>2</v>
      </c>
      <c r="C629">
        <v>2030</v>
      </c>
      <c r="D629">
        <v>1407007</v>
      </c>
      <c r="E629">
        <v>5355</v>
      </c>
      <c r="F629">
        <f t="shared" si="9"/>
        <v>1401652</v>
      </c>
    </row>
    <row r="630" spans="1:6" x14ac:dyDescent="0.25">
      <c r="A630">
        <v>7</v>
      </c>
      <c r="B630">
        <v>2</v>
      </c>
      <c r="C630">
        <v>2031</v>
      </c>
      <c r="D630">
        <v>1428801</v>
      </c>
      <c r="E630">
        <v>5298</v>
      </c>
      <c r="F630">
        <f t="shared" si="9"/>
        <v>1423503</v>
      </c>
    </row>
    <row r="631" spans="1:6" x14ac:dyDescent="0.25">
      <c r="A631">
        <v>7</v>
      </c>
      <c r="B631">
        <v>2</v>
      </c>
      <c r="C631">
        <v>2032</v>
      </c>
      <c r="D631">
        <v>1451330</v>
      </c>
      <c r="E631">
        <v>5243</v>
      </c>
      <c r="F631">
        <f t="shared" si="9"/>
        <v>1446087</v>
      </c>
    </row>
    <row r="632" spans="1:6" x14ac:dyDescent="0.25">
      <c r="A632">
        <v>7</v>
      </c>
      <c r="B632">
        <v>2</v>
      </c>
      <c r="C632">
        <v>2033</v>
      </c>
      <c r="D632">
        <v>1474350</v>
      </c>
      <c r="E632">
        <v>5184</v>
      </c>
      <c r="F632">
        <f t="shared" si="9"/>
        <v>1469166</v>
      </c>
    </row>
    <row r="633" spans="1:6" x14ac:dyDescent="0.25">
      <c r="A633">
        <v>7</v>
      </c>
      <c r="B633">
        <v>2</v>
      </c>
      <c r="C633">
        <v>2034</v>
      </c>
      <c r="D633">
        <v>1497653</v>
      </c>
      <c r="E633">
        <v>5126</v>
      </c>
      <c r="F633">
        <f t="shared" si="9"/>
        <v>1492527</v>
      </c>
    </row>
    <row r="634" spans="1:6" x14ac:dyDescent="0.25">
      <c r="A634">
        <v>7</v>
      </c>
      <c r="B634">
        <v>2</v>
      </c>
      <c r="C634">
        <v>2035</v>
      </c>
      <c r="D634">
        <v>1521193</v>
      </c>
      <c r="E634">
        <v>5066</v>
      </c>
      <c r="F634">
        <f t="shared" si="9"/>
        <v>1516127</v>
      </c>
    </row>
    <row r="635" spans="1:6" x14ac:dyDescent="0.25">
      <c r="A635">
        <v>7</v>
      </c>
      <c r="B635">
        <v>2</v>
      </c>
      <c r="C635">
        <v>2036</v>
      </c>
      <c r="D635">
        <v>1544527</v>
      </c>
      <c r="E635">
        <v>5004</v>
      </c>
      <c r="F635">
        <f t="shared" si="9"/>
        <v>1539523</v>
      </c>
    </row>
    <row r="636" spans="1:6" x14ac:dyDescent="0.25">
      <c r="A636">
        <v>7</v>
      </c>
      <c r="B636">
        <v>2</v>
      </c>
      <c r="C636">
        <v>2037</v>
      </c>
      <c r="D636">
        <v>1567409</v>
      </c>
      <c r="E636">
        <v>4945</v>
      </c>
      <c r="F636">
        <f t="shared" si="9"/>
        <v>1562464</v>
      </c>
    </row>
    <row r="637" spans="1:6" x14ac:dyDescent="0.25">
      <c r="A637">
        <v>7</v>
      </c>
      <c r="B637">
        <v>2</v>
      </c>
      <c r="C637">
        <v>2038</v>
      </c>
      <c r="D637">
        <v>1589677</v>
      </c>
      <c r="E637">
        <v>4881</v>
      </c>
      <c r="F637">
        <f t="shared" si="9"/>
        <v>1584796</v>
      </c>
    </row>
    <row r="638" spans="1:6" x14ac:dyDescent="0.25">
      <c r="A638">
        <v>7</v>
      </c>
      <c r="B638">
        <v>2</v>
      </c>
      <c r="C638">
        <v>2039</v>
      </c>
      <c r="D638">
        <v>1610910</v>
      </c>
      <c r="E638">
        <v>4821</v>
      </c>
      <c r="F638">
        <f t="shared" si="9"/>
        <v>1606089</v>
      </c>
    </row>
    <row r="639" spans="1:6" x14ac:dyDescent="0.25">
      <c r="A639">
        <v>7</v>
      </c>
      <c r="B639">
        <v>2</v>
      </c>
      <c r="C639">
        <v>2040</v>
      </c>
      <c r="D639">
        <v>1630928</v>
      </c>
      <c r="E639">
        <v>4758</v>
      </c>
      <c r="F639">
        <f t="shared" si="9"/>
        <v>1626170</v>
      </c>
    </row>
    <row r="640" spans="1:6" x14ac:dyDescent="0.25">
      <c r="A640">
        <v>7</v>
      </c>
      <c r="B640">
        <v>2</v>
      </c>
      <c r="C640">
        <v>2041</v>
      </c>
      <c r="D640">
        <v>1649440</v>
      </c>
      <c r="E640">
        <v>4693</v>
      </c>
      <c r="F640">
        <f t="shared" si="9"/>
        <v>1644747</v>
      </c>
    </row>
    <row r="641" spans="1:6" x14ac:dyDescent="0.25">
      <c r="A641">
        <v>7</v>
      </c>
      <c r="B641">
        <v>2</v>
      </c>
      <c r="C641">
        <v>2042</v>
      </c>
      <c r="D641">
        <v>1666313</v>
      </c>
      <c r="E641">
        <v>4630</v>
      </c>
      <c r="F641">
        <f t="shared" si="9"/>
        <v>1661683</v>
      </c>
    </row>
    <row r="642" spans="1:6" x14ac:dyDescent="0.25">
      <c r="A642">
        <v>7</v>
      </c>
      <c r="B642">
        <v>2</v>
      </c>
      <c r="C642">
        <v>2043</v>
      </c>
      <c r="D642">
        <v>1681421</v>
      </c>
      <c r="E642">
        <v>4569</v>
      </c>
      <c r="F642">
        <f t="shared" ref="F642:F705" si="10">D642-E642</f>
        <v>1676852</v>
      </c>
    </row>
    <row r="643" spans="1:6" x14ac:dyDescent="0.25">
      <c r="A643">
        <v>7</v>
      </c>
      <c r="B643">
        <v>2</v>
      </c>
      <c r="C643">
        <v>2044</v>
      </c>
      <c r="D643">
        <v>1694328</v>
      </c>
      <c r="E643">
        <v>4508</v>
      </c>
      <c r="F643">
        <f t="shared" si="10"/>
        <v>1689820</v>
      </c>
    </row>
    <row r="644" spans="1:6" x14ac:dyDescent="0.25">
      <c r="A644">
        <v>7</v>
      </c>
      <c r="B644">
        <v>2</v>
      </c>
      <c r="C644">
        <v>2045</v>
      </c>
      <c r="D644">
        <v>1704764</v>
      </c>
      <c r="E644">
        <v>4451</v>
      </c>
      <c r="F644">
        <f t="shared" si="10"/>
        <v>1700313</v>
      </c>
    </row>
    <row r="645" spans="1:6" x14ac:dyDescent="0.25">
      <c r="A645">
        <v>7</v>
      </c>
      <c r="B645">
        <v>2</v>
      </c>
      <c r="C645">
        <v>2046</v>
      </c>
      <c r="D645">
        <v>1712718</v>
      </c>
      <c r="E645">
        <v>4391</v>
      </c>
      <c r="F645">
        <f t="shared" si="10"/>
        <v>1708327</v>
      </c>
    </row>
    <row r="646" spans="1:6" x14ac:dyDescent="0.25">
      <c r="A646">
        <v>7</v>
      </c>
      <c r="B646">
        <v>2</v>
      </c>
      <c r="C646">
        <v>2047</v>
      </c>
      <c r="D646">
        <v>1719299</v>
      </c>
      <c r="E646">
        <v>4336</v>
      </c>
      <c r="F646">
        <f t="shared" si="10"/>
        <v>1714963</v>
      </c>
    </row>
    <row r="647" spans="1:6" x14ac:dyDescent="0.25">
      <c r="A647">
        <v>7</v>
      </c>
      <c r="B647">
        <v>2</v>
      </c>
      <c r="C647">
        <v>2048</v>
      </c>
      <c r="D647">
        <v>1723539</v>
      </c>
      <c r="E647">
        <v>4282</v>
      </c>
      <c r="F647">
        <f t="shared" si="10"/>
        <v>1719257</v>
      </c>
    </row>
    <row r="648" spans="1:6" x14ac:dyDescent="0.25">
      <c r="A648">
        <v>7</v>
      </c>
      <c r="B648">
        <v>2</v>
      </c>
      <c r="C648">
        <v>2049</v>
      </c>
      <c r="D648">
        <v>1725287</v>
      </c>
      <c r="E648">
        <v>4229</v>
      </c>
      <c r="F648">
        <f t="shared" si="10"/>
        <v>1721058</v>
      </c>
    </row>
    <row r="649" spans="1:6" x14ac:dyDescent="0.25">
      <c r="A649">
        <v>7</v>
      </c>
      <c r="B649">
        <v>2</v>
      </c>
      <c r="C649">
        <v>2050</v>
      </c>
      <c r="D649">
        <v>1724642</v>
      </c>
      <c r="E649">
        <v>4181</v>
      </c>
      <c r="F649">
        <f t="shared" si="10"/>
        <v>1720461</v>
      </c>
    </row>
    <row r="650" spans="1:6" x14ac:dyDescent="0.25">
      <c r="A650">
        <v>8</v>
      </c>
      <c r="B650">
        <v>0</v>
      </c>
      <c r="C650">
        <v>2024</v>
      </c>
      <c r="D650">
        <v>253931</v>
      </c>
      <c r="E650">
        <v>3841</v>
      </c>
      <c r="F650">
        <f t="shared" si="10"/>
        <v>250090</v>
      </c>
    </row>
    <row r="651" spans="1:6" x14ac:dyDescent="0.25">
      <c r="A651">
        <v>8</v>
      </c>
      <c r="B651">
        <v>0</v>
      </c>
      <c r="C651">
        <v>2025</v>
      </c>
      <c r="D651">
        <v>262766</v>
      </c>
      <c r="E651">
        <v>3857</v>
      </c>
      <c r="F651">
        <f t="shared" si="10"/>
        <v>258909</v>
      </c>
    </row>
    <row r="652" spans="1:6" x14ac:dyDescent="0.25">
      <c r="A652">
        <v>8</v>
      </c>
      <c r="B652">
        <v>0</v>
      </c>
      <c r="C652">
        <v>2026</v>
      </c>
      <c r="D652">
        <v>271772</v>
      </c>
      <c r="E652">
        <v>3875</v>
      </c>
      <c r="F652">
        <f t="shared" si="10"/>
        <v>267897</v>
      </c>
    </row>
    <row r="653" spans="1:6" x14ac:dyDescent="0.25">
      <c r="A653">
        <v>8</v>
      </c>
      <c r="B653">
        <v>0</v>
      </c>
      <c r="C653">
        <v>2027</v>
      </c>
      <c r="D653">
        <v>280988</v>
      </c>
      <c r="E653">
        <v>3894</v>
      </c>
      <c r="F653">
        <f t="shared" si="10"/>
        <v>277094</v>
      </c>
    </row>
    <row r="654" spans="1:6" x14ac:dyDescent="0.25">
      <c r="A654">
        <v>8</v>
      </c>
      <c r="B654">
        <v>0</v>
      </c>
      <c r="C654">
        <v>2028</v>
      </c>
      <c r="D654">
        <v>290415</v>
      </c>
      <c r="E654">
        <v>3916</v>
      </c>
      <c r="F654">
        <f t="shared" si="10"/>
        <v>286499</v>
      </c>
    </row>
    <row r="655" spans="1:6" x14ac:dyDescent="0.25">
      <c r="A655">
        <v>8</v>
      </c>
      <c r="B655">
        <v>0</v>
      </c>
      <c r="C655">
        <v>2029</v>
      </c>
      <c r="D655">
        <v>300078</v>
      </c>
      <c r="E655">
        <v>3934</v>
      </c>
      <c r="F655">
        <f t="shared" si="10"/>
        <v>296144</v>
      </c>
    </row>
    <row r="656" spans="1:6" x14ac:dyDescent="0.25">
      <c r="A656">
        <v>8</v>
      </c>
      <c r="B656">
        <v>0</v>
      </c>
      <c r="C656">
        <v>2030</v>
      </c>
      <c r="D656">
        <v>310072</v>
      </c>
      <c r="E656">
        <v>3951</v>
      </c>
      <c r="F656">
        <f t="shared" si="10"/>
        <v>306121</v>
      </c>
    </row>
    <row r="657" spans="1:6" x14ac:dyDescent="0.25">
      <c r="A657">
        <v>8</v>
      </c>
      <c r="B657">
        <v>0</v>
      </c>
      <c r="C657">
        <v>2031</v>
      </c>
      <c r="D657">
        <v>320395</v>
      </c>
      <c r="E657">
        <v>3967</v>
      </c>
      <c r="F657">
        <f t="shared" si="10"/>
        <v>316428</v>
      </c>
    </row>
    <row r="658" spans="1:6" x14ac:dyDescent="0.25">
      <c r="A658">
        <v>8</v>
      </c>
      <c r="B658">
        <v>0</v>
      </c>
      <c r="C658">
        <v>2032</v>
      </c>
      <c r="D658">
        <v>330957</v>
      </c>
      <c r="E658">
        <v>3981</v>
      </c>
      <c r="F658">
        <f t="shared" si="10"/>
        <v>326976</v>
      </c>
    </row>
    <row r="659" spans="1:6" x14ac:dyDescent="0.25">
      <c r="A659">
        <v>8</v>
      </c>
      <c r="B659">
        <v>0</v>
      </c>
      <c r="C659">
        <v>2033</v>
      </c>
      <c r="D659">
        <v>341841</v>
      </c>
      <c r="E659">
        <v>3993</v>
      </c>
      <c r="F659">
        <f t="shared" si="10"/>
        <v>337848</v>
      </c>
    </row>
    <row r="660" spans="1:6" x14ac:dyDescent="0.25">
      <c r="A660">
        <v>8</v>
      </c>
      <c r="B660">
        <v>0</v>
      </c>
      <c r="C660">
        <v>2034</v>
      </c>
      <c r="D660">
        <v>353100</v>
      </c>
      <c r="E660">
        <v>4002</v>
      </c>
      <c r="F660">
        <f t="shared" si="10"/>
        <v>349098</v>
      </c>
    </row>
    <row r="661" spans="1:6" x14ac:dyDescent="0.25">
      <c r="A661">
        <v>8</v>
      </c>
      <c r="B661">
        <v>0</v>
      </c>
      <c r="C661">
        <v>2035</v>
      </c>
      <c r="D661">
        <v>364645</v>
      </c>
      <c r="E661">
        <v>4008</v>
      </c>
      <c r="F661">
        <f t="shared" si="10"/>
        <v>360637</v>
      </c>
    </row>
    <row r="662" spans="1:6" x14ac:dyDescent="0.25">
      <c r="A662">
        <v>8</v>
      </c>
      <c r="B662">
        <v>0</v>
      </c>
      <c r="C662">
        <v>2036</v>
      </c>
      <c r="D662">
        <v>376566</v>
      </c>
      <c r="E662">
        <v>4011</v>
      </c>
      <c r="F662">
        <f t="shared" si="10"/>
        <v>372555</v>
      </c>
    </row>
    <row r="663" spans="1:6" x14ac:dyDescent="0.25">
      <c r="A663">
        <v>8</v>
      </c>
      <c r="B663">
        <v>0</v>
      </c>
      <c r="C663">
        <v>2037</v>
      </c>
      <c r="D663">
        <v>388797</v>
      </c>
      <c r="E663">
        <v>4011</v>
      </c>
      <c r="F663">
        <f t="shared" si="10"/>
        <v>384786</v>
      </c>
    </row>
    <row r="664" spans="1:6" x14ac:dyDescent="0.25">
      <c r="A664">
        <v>8</v>
      </c>
      <c r="B664">
        <v>0</v>
      </c>
      <c r="C664">
        <v>2038</v>
      </c>
      <c r="D664">
        <v>401314</v>
      </c>
      <c r="E664">
        <v>4005</v>
      </c>
      <c r="F664">
        <f t="shared" si="10"/>
        <v>397309</v>
      </c>
    </row>
    <row r="665" spans="1:6" x14ac:dyDescent="0.25">
      <c r="A665">
        <v>8</v>
      </c>
      <c r="B665">
        <v>0</v>
      </c>
      <c r="C665">
        <v>2039</v>
      </c>
      <c r="D665">
        <v>414134</v>
      </c>
      <c r="E665">
        <v>3996</v>
      </c>
      <c r="F665">
        <f t="shared" si="10"/>
        <v>410138</v>
      </c>
    </row>
    <row r="666" spans="1:6" x14ac:dyDescent="0.25">
      <c r="A666">
        <v>8</v>
      </c>
      <c r="B666">
        <v>0</v>
      </c>
      <c r="C666">
        <v>2040</v>
      </c>
      <c r="D666">
        <v>427168</v>
      </c>
      <c r="E666">
        <v>3981</v>
      </c>
      <c r="F666">
        <f t="shared" si="10"/>
        <v>423187</v>
      </c>
    </row>
    <row r="667" spans="1:6" x14ac:dyDescent="0.25">
      <c r="A667">
        <v>8</v>
      </c>
      <c r="B667">
        <v>0</v>
      </c>
      <c r="C667">
        <v>2041</v>
      </c>
      <c r="D667">
        <v>440418</v>
      </c>
      <c r="E667">
        <v>3966</v>
      </c>
      <c r="F667">
        <f t="shared" si="10"/>
        <v>436452</v>
      </c>
    </row>
    <row r="668" spans="1:6" x14ac:dyDescent="0.25">
      <c r="A668">
        <v>8</v>
      </c>
      <c r="B668">
        <v>0</v>
      </c>
      <c r="C668">
        <v>2042</v>
      </c>
      <c r="D668">
        <v>453869</v>
      </c>
      <c r="E668">
        <v>3947</v>
      </c>
      <c r="F668">
        <f t="shared" si="10"/>
        <v>449922</v>
      </c>
    </row>
    <row r="669" spans="1:6" x14ac:dyDescent="0.25">
      <c r="A669">
        <v>8</v>
      </c>
      <c r="B669">
        <v>0</v>
      </c>
      <c r="C669">
        <v>2043</v>
      </c>
      <c r="D669">
        <v>467490</v>
      </c>
      <c r="E669">
        <v>3924</v>
      </c>
      <c r="F669">
        <f t="shared" si="10"/>
        <v>463566</v>
      </c>
    </row>
    <row r="670" spans="1:6" x14ac:dyDescent="0.25">
      <c r="A670">
        <v>8</v>
      </c>
      <c r="B670">
        <v>0</v>
      </c>
      <c r="C670">
        <v>2044</v>
      </c>
      <c r="D670">
        <v>481224</v>
      </c>
      <c r="E670">
        <v>3901</v>
      </c>
      <c r="F670">
        <f t="shared" si="10"/>
        <v>477323</v>
      </c>
    </row>
    <row r="671" spans="1:6" x14ac:dyDescent="0.25">
      <c r="A671">
        <v>8</v>
      </c>
      <c r="B671">
        <v>0</v>
      </c>
      <c r="C671">
        <v>2045</v>
      </c>
      <c r="D671">
        <v>495002</v>
      </c>
      <c r="E671">
        <v>3873</v>
      </c>
      <c r="F671">
        <f t="shared" si="10"/>
        <v>491129</v>
      </c>
    </row>
    <row r="672" spans="1:6" x14ac:dyDescent="0.25">
      <c r="A672">
        <v>8</v>
      </c>
      <c r="B672">
        <v>0</v>
      </c>
      <c r="C672">
        <v>2046</v>
      </c>
      <c r="D672">
        <v>508896</v>
      </c>
      <c r="E672">
        <v>3850</v>
      </c>
      <c r="F672">
        <f t="shared" si="10"/>
        <v>505046</v>
      </c>
    </row>
    <row r="673" spans="1:6" x14ac:dyDescent="0.25">
      <c r="A673">
        <v>8</v>
      </c>
      <c r="B673">
        <v>0</v>
      </c>
      <c r="C673">
        <v>2047</v>
      </c>
      <c r="D673">
        <v>522799</v>
      </c>
      <c r="E673">
        <v>3826</v>
      </c>
      <c r="F673">
        <f t="shared" si="10"/>
        <v>518973</v>
      </c>
    </row>
    <row r="674" spans="1:6" x14ac:dyDescent="0.25">
      <c r="A674">
        <v>8</v>
      </c>
      <c r="B674">
        <v>0</v>
      </c>
      <c r="C674">
        <v>2048</v>
      </c>
      <c r="D674">
        <v>536708</v>
      </c>
      <c r="E674">
        <v>3802</v>
      </c>
      <c r="F674">
        <f t="shared" si="10"/>
        <v>532906</v>
      </c>
    </row>
    <row r="675" spans="1:6" x14ac:dyDescent="0.25">
      <c r="A675">
        <v>8</v>
      </c>
      <c r="B675">
        <v>0</v>
      </c>
      <c r="C675">
        <v>2049</v>
      </c>
      <c r="D675">
        <v>550508</v>
      </c>
      <c r="E675">
        <v>3779</v>
      </c>
      <c r="F675">
        <f t="shared" si="10"/>
        <v>546729</v>
      </c>
    </row>
    <row r="676" spans="1:6" x14ac:dyDescent="0.25">
      <c r="A676">
        <v>8</v>
      </c>
      <c r="B676">
        <v>0</v>
      </c>
      <c r="C676">
        <v>2050</v>
      </c>
      <c r="D676">
        <v>564189</v>
      </c>
      <c r="E676">
        <v>3758</v>
      </c>
      <c r="F676">
        <f t="shared" si="10"/>
        <v>560431</v>
      </c>
    </row>
    <row r="677" spans="1:6" x14ac:dyDescent="0.25">
      <c r="A677">
        <v>8</v>
      </c>
      <c r="B677">
        <v>1</v>
      </c>
      <c r="C677">
        <v>2024</v>
      </c>
      <c r="D677">
        <v>138460</v>
      </c>
      <c r="E677">
        <v>2005</v>
      </c>
      <c r="F677">
        <f t="shared" si="10"/>
        <v>136455</v>
      </c>
    </row>
    <row r="678" spans="1:6" x14ac:dyDescent="0.25">
      <c r="A678">
        <v>8</v>
      </c>
      <c r="B678">
        <v>1</v>
      </c>
      <c r="C678">
        <v>2025</v>
      </c>
      <c r="D678">
        <v>143089</v>
      </c>
      <c r="E678">
        <v>2014</v>
      </c>
      <c r="F678">
        <f t="shared" si="10"/>
        <v>141075</v>
      </c>
    </row>
    <row r="679" spans="1:6" x14ac:dyDescent="0.25">
      <c r="A679">
        <v>8</v>
      </c>
      <c r="B679">
        <v>1</v>
      </c>
      <c r="C679">
        <v>2026</v>
      </c>
      <c r="D679">
        <v>147814</v>
      </c>
      <c r="E679">
        <v>2023</v>
      </c>
      <c r="F679">
        <f t="shared" si="10"/>
        <v>145791</v>
      </c>
    </row>
    <row r="680" spans="1:6" x14ac:dyDescent="0.25">
      <c r="A680">
        <v>8</v>
      </c>
      <c r="B680">
        <v>1</v>
      </c>
      <c r="C680">
        <v>2027</v>
      </c>
      <c r="D680">
        <v>152671</v>
      </c>
      <c r="E680">
        <v>2033</v>
      </c>
      <c r="F680">
        <f t="shared" si="10"/>
        <v>150638</v>
      </c>
    </row>
    <row r="681" spans="1:6" x14ac:dyDescent="0.25">
      <c r="A681">
        <v>8</v>
      </c>
      <c r="B681">
        <v>1</v>
      </c>
      <c r="C681">
        <v>2028</v>
      </c>
      <c r="D681">
        <v>157635</v>
      </c>
      <c r="E681">
        <v>2044</v>
      </c>
      <c r="F681">
        <f t="shared" si="10"/>
        <v>155591</v>
      </c>
    </row>
    <row r="682" spans="1:6" x14ac:dyDescent="0.25">
      <c r="A682">
        <v>8</v>
      </c>
      <c r="B682">
        <v>1</v>
      </c>
      <c r="C682">
        <v>2029</v>
      </c>
      <c r="D682">
        <v>162690</v>
      </c>
      <c r="E682">
        <v>2052</v>
      </c>
      <c r="F682">
        <f t="shared" si="10"/>
        <v>160638</v>
      </c>
    </row>
    <row r="683" spans="1:6" x14ac:dyDescent="0.25">
      <c r="A683">
        <v>8</v>
      </c>
      <c r="B683">
        <v>1</v>
      </c>
      <c r="C683">
        <v>2030</v>
      </c>
      <c r="D683">
        <v>167888</v>
      </c>
      <c r="E683">
        <v>2059</v>
      </c>
      <c r="F683">
        <f t="shared" si="10"/>
        <v>165829</v>
      </c>
    </row>
    <row r="684" spans="1:6" x14ac:dyDescent="0.25">
      <c r="A684">
        <v>8</v>
      </c>
      <c r="B684">
        <v>1</v>
      </c>
      <c r="C684">
        <v>2031</v>
      </c>
      <c r="D684">
        <v>173265</v>
      </c>
      <c r="E684">
        <v>2068</v>
      </c>
      <c r="F684">
        <f t="shared" si="10"/>
        <v>171197</v>
      </c>
    </row>
    <row r="685" spans="1:6" x14ac:dyDescent="0.25">
      <c r="A685">
        <v>8</v>
      </c>
      <c r="B685">
        <v>1</v>
      </c>
      <c r="C685">
        <v>2032</v>
      </c>
      <c r="D685">
        <v>178665</v>
      </c>
      <c r="E685">
        <v>2074</v>
      </c>
      <c r="F685">
        <f t="shared" si="10"/>
        <v>176591</v>
      </c>
    </row>
    <row r="686" spans="1:6" x14ac:dyDescent="0.25">
      <c r="A686">
        <v>8</v>
      </c>
      <c r="B686">
        <v>1</v>
      </c>
      <c r="C686">
        <v>2033</v>
      </c>
      <c r="D686">
        <v>184301</v>
      </c>
      <c r="E686">
        <v>2080</v>
      </c>
      <c r="F686">
        <f t="shared" si="10"/>
        <v>182221</v>
      </c>
    </row>
    <row r="687" spans="1:6" x14ac:dyDescent="0.25">
      <c r="A687">
        <v>8</v>
      </c>
      <c r="B687">
        <v>1</v>
      </c>
      <c r="C687">
        <v>2034</v>
      </c>
      <c r="D687">
        <v>190058</v>
      </c>
      <c r="E687">
        <v>2082</v>
      </c>
      <c r="F687">
        <f t="shared" si="10"/>
        <v>187976</v>
      </c>
    </row>
    <row r="688" spans="1:6" x14ac:dyDescent="0.25">
      <c r="A688">
        <v>8</v>
      </c>
      <c r="B688">
        <v>1</v>
      </c>
      <c r="C688">
        <v>2035</v>
      </c>
      <c r="D688">
        <v>195924</v>
      </c>
      <c r="E688">
        <v>2085</v>
      </c>
      <c r="F688">
        <f t="shared" si="10"/>
        <v>193839</v>
      </c>
    </row>
    <row r="689" spans="1:6" x14ac:dyDescent="0.25">
      <c r="A689">
        <v>8</v>
      </c>
      <c r="B689">
        <v>1</v>
      </c>
      <c r="C689">
        <v>2036</v>
      </c>
      <c r="D689">
        <v>201918</v>
      </c>
      <c r="E689">
        <v>2088</v>
      </c>
      <c r="F689">
        <f t="shared" si="10"/>
        <v>199830</v>
      </c>
    </row>
    <row r="690" spans="1:6" x14ac:dyDescent="0.25">
      <c r="A690">
        <v>8</v>
      </c>
      <c r="B690">
        <v>1</v>
      </c>
      <c r="C690">
        <v>2037</v>
      </c>
      <c r="D690">
        <v>208075</v>
      </c>
      <c r="E690">
        <v>2086</v>
      </c>
      <c r="F690">
        <f t="shared" si="10"/>
        <v>205989</v>
      </c>
    </row>
    <row r="691" spans="1:6" x14ac:dyDescent="0.25">
      <c r="A691">
        <v>8</v>
      </c>
      <c r="B691">
        <v>1</v>
      </c>
      <c r="C691">
        <v>2038</v>
      </c>
      <c r="D691">
        <v>214313</v>
      </c>
      <c r="E691">
        <v>2083</v>
      </c>
      <c r="F691">
        <f t="shared" si="10"/>
        <v>212230</v>
      </c>
    </row>
    <row r="692" spans="1:6" x14ac:dyDescent="0.25">
      <c r="A692">
        <v>8</v>
      </c>
      <c r="B692">
        <v>1</v>
      </c>
      <c r="C692">
        <v>2039</v>
      </c>
      <c r="D692">
        <v>220713</v>
      </c>
      <c r="E692">
        <v>2079</v>
      </c>
      <c r="F692">
        <f t="shared" si="10"/>
        <v>218634</v>
      </c>
    </row>
    <row r="693" spans="1:6" x14ac:dyDescent="0.25">
      <c r="A693">
        <v>8</v>
      </c>
      <c r="B693">
        <v>1</v>
      </c>
      <c r="C693">
        <v>2040</v>
      </c>
      <c r="D693">
        <v>227157</v>
      </c>
      <c r="E693">
        <v>2071</v>
      </c>
      <c r="F693">
        <f t="shared" si="10"/>
        <v>225086</v>
      </c>
    </row>
    <row r="694" spans="1:6" x14ac:dyDescent="0.25">
      <c r="A694">
        <v>8</v>
      </c>
      <c r="B694">
        <v>1</v>
      </c>
      <c r="C694">
        <v>2041</v>
      </c>
      <c r="D694">
        <v>233687</v>
      </c>
      <c r="E694">
        <v>2061</v>
      </c>
      <c r="F694">
        <f t="shared" si="10"/>
        <v>231626</v>
      </c>
    </row>
    <row r="695" spans="1:6" x14ac:dyDescent="0.25">
      <c r="A695">
        <v>8</v>
      </c>
      <c r="B695">
        <v>1</v>
      </c>
      <c r="C695">
        <v>2042</v>
      </c>
      <c r="D695">
        <v>240290</v>
      </c>
      <c r="E695">
        <v>2051</v>
      </c>
      <c r="F695">
        <f t="shared" si="10"/>
        <v>238239</v>
      </c>
    </row>
    <row r="696" spans="1:6" x14ac:dyDescent="0.25">
      <c r="A696">
        <v>8</v>
      </c>
      <c r="B696">
        <v>1</v>
      </c>
      <c r="C696">
        <v>2043</v>
      </c>
      <c r="D696">
        <v>246977</v>
      </c>
      <c r="E696">
        <v>2039</v>
      </c>
      <c r="F696">
        <f t="shared" si="10"/>
        <v>244938</v>
      </c>
    </row>
    <row r="697" spans="1:6" x14ac:dyDescent="0.25">
      <c r="A697">
        <v>8</v>
      </c>
      <c r="B697">
        <v>1</v>
      </c>
      <c r="C697">
        <v>2044</v>
      </c>
      <c r="D697">
        <v>253672</v>
      </c>
      <c r="E697">
        <v>2025</v>
      </c>
      <c r="F697">
        <f t="shared" si="10"/>
        <v>251647</v>
      </c>
    </row>
    <row r="698" spans="1:6" x14ac:dyDescent="0.25">
      <c r="A698">
        <v>8</v>
      </c>
      <c r="B698">
        <v>1</v>
      </c>
      <c r="C698">
        <v>2045</v>
      </c>
      <c r="D698">
        <v>260409</v>
      </c>
      <c r="E698">
        <v>2009</v>
      </c>
      <c r="F698">
        <f t="shared" si="10"/>
        <v>258400</v>
      </c>
    </row>
    <row r="699" spans="1:6" x14ac:dyDescent="0.25">
      <c r="A699">
        <v>8</v>
      </c>
      <c r="B699">
        <v>1</v>
      </c>
      <c r="C699">
        <v>2046</v>
      </c>
      <c r="D699">
        <v>267133</v>
      </c>
      <c r="E699">
        <v>1996</v>
      </c>
      <c r="F699">
        <f t="shared" si="10"/>
        <v>265137</v>
      </c>
    </row>
    <row r="700" spans="1:6" x14ac:dyDescent="0.25">
      <c r="A700">
        <v>8</v>
      </c>
      <c r="B700">
        <v>1</v>
      </c>
      <c r="C700">
        <v>2047</v>
      </c>
      <c r="D700">
        <v>273926</v>
      </c>
      <c r="E700">
        <v>1983</v>
      </c>
      <c r="F700">
        <f t="shared" si="10"/>
        <v>271943</v>
      </c>
    </row>
    <row r="701" spans="1:6" x14ac:dyDescent="0.25">
      <c r="A701">
        <v>8</v>
      </c>
      <c r="B701">
        <v>1</v>
      </c>
      <c r="C701">
        <v>2048</v>
      </c>
      <c r="D701">
        <v>280649</v>
      </c>
      <c r="E701">
        <v>1972</v>
      </c>
      <c r="F701">
        <f t="shared" si="10"/>
        <v>278677</v>
      </c>
    </row>
    <row r="702" spans="1:6" x14ac:dyDescent="0.25">
      <c r="A702">
        <v>8</v>
      </c>
      <c r="B702">
        <v>1</v>
      </c>
      <c r="C702">
        <v>2049</v>
      </c>
      <c r="D702">
        <v>287319</v>
      </c>
      <c r="E702">
        <v>1960</v>
      </c>
      <c r="F702">
        <f t="shared" si="10"/>
        <v>285359</v>
      </c>
    </row>
    <row r="703" spans="1:6" x14ac:dyDescent="0.25">
      <c r="A703">
        <v>8</v>
      </c>
      <c r="B703">
        <v>1</v>
      </c>
      <c r="C703">
        <v>2050</v>
      </c>
      <c r="D703">
        <v>293971</v>
      </c>
      <c r="E703">
        <v>1949</v>
      </c>
      <c r="F703">
        <f t="shared" si="10"/>
        <v>292022</v>
      </c>
    </row>
    <row r="704" spans="1:6" x14ac:dyDescent="0.25">
      <c r="A704">
        <v>8</v>
      </c>
      <c r="B704">
        <v>2</v>
      </c>
      <c r="C704">
        <v>2024</v>
      </c>
      <c r="D704">
        <v>115471</v>
      </c>
      <c r="E704">
        <v>1836</v>
      </c>
      <c r="F704">
        <f t="shared" si="10"/>
        <v>113635</v>
      </c>
    </row>
    <row r="705" spans="1:6" x14ac:dyDescent="0.25">
      <c r="A705">
        <v>8</v>
      </c>
      <c r="B705">
        <v>2</v>
      </c>
      <c r="C705">
        <v>2025</v>
      </c>
      <c r="D705">
        <v>119677</v>
      </c>
      <c r="E705">
        <v>1843</v>
      </c>
      <c r="F705">
        <f t="shared" si="10"/>
        <v>117834</v>
      </c>
    </row>
    <row r="706" spans="1:6" x14ac:dyDescent="0.25">
      <c r="A706">
        <v>8</v>
      </c>
      <c r="B706">
        <v>2</v>
      </c>
      <c r="C706">
        <v>2026</v>
      </c>
      <c r="D706">
        <v>123958</v>
      </c>
      <c r="E706">
        <v>1852</v>
      </c>
      <c r="F706">
        <f t="shared" ref="F706:F769" si="11">D706-E706</f>
        <v>122106</v>
      </c>
    </row>
    <row r="707" spans="1:6" x14ac:dyDescent="0.25">
      <c r="A707">
        <v>8</v>
      </c>
      <c r="B707">
        <v>2</v>
      </c>
      <c r="C707">
        <v>2027</v>
      </c>
      <c r="D707">
        <v>128317</v>
      </c>
      <c r="E707">
        <v>1861</v>
      </c>
      <c r="F707">
        <f t="shared" si="11"/>
        <v>126456</v>
      </c>
    </row>
    <row r="708" spans="1:6" x14ac:dyDescent="0.25">
      <c r="A708">
        <v>8</v>
      </c>
      <c r="B708">
        <v>2</v>
      </c>
      <c r="C708">
        <v>2028</v>
      </c>
      <c r="D708">
        <v>132780</v>
      </c>
      <c r="E708">
        <v>1872</v>
      </c>
      <c r="F708">
        <f t="shared" si="11"/>
        <v>130908</v>
      </c>
    </row>
    <row r="709" spans="1:6" x14ac:dyDescent="0.25">
      <c r="A709">
        <v>8</v>
      </c>
      <c r="B709">
        <v>2</v>
      </c>
      <c r="C709">
        <v>2029</v>
      </c>
      <c r="D709">
        <v>137388</v>
      </c>
      <c r="E709">
        <v>1882</v>
      </c>
      <c r="F709">
        <f t="shared" si="11"/>
        <v>135506</v>
      </c>
    </row>
    <row r="710" spans="1:6" x14ac:dyDescent="0.25">
      <c r="A710">
        <v>8</v>
      </c>
      <c r="B710">
        <v>2</v>
      </c>
      <c r="C710">
        <v>2030</v>
      </c>
      <c r="D710">
        <v>142184</v>
      </c>
      <c r="E710">
        <v>1892</v>
      </c>
      <c r="F710">
        <f t="shared" si="11"/>
        <v>140292</v>
      </c>
    </row>
    <row r="711" spans="1:6" x14ac:dyDescent="0.25">
      <c r="A711">
        <v>8</v>
      </c>
      <c r="B711">
        <v>2</v>
      </c>
      <c r="C711">
        <v>2031</v>
      </c>
      <c r="D711">
        <v>147130</v>
      </c>
      <c r="E711">
        <v>1899</v>
      </c>
      <c r="F711">
        <f t="shared" si="11"/>
        <v>145231</v>
      </c>
    </row>
    <row r="712" spans="1:6" x14ac:dyDescent="0.25">
      <c r="A712">
        <v>8</v>
      </c>
      <c r="B712">
        <v>2</v>
      </c>
      <c r="C712">
        <v>2032</v>
      </c>
      <c r="D712">
        <v>152292</v>
      </c>
      <c r="E712">
        <v>1907</v>
      </c>
      <c r="F712">
        <f t="shared" si="11"/>
        <v>150385</v>
      </c>
    </row>
    <row r="713" spans="1:6" x14ac:dyDescent="0.25">
      <c r="A713">
        <v>8</v>
      </c>
      <c r="B713">
        <v>2</v>
      </c>
      <c r="C713">
        <v>2033</v>
      </c>
      <c r="D713">
        <v>157540</v>
      </c>
      <c r="E713">
        <v>1913</v>
      </c>
      <c r="F713">
        <f t="shared" si="11"/>
        <v>155627</v>
      </c>
    </row>
    <row r="714" spans="1:6" x14ac:dyDescent="0.25">
      <c r="A714">
        <v>8</v>
      </c>
      <c r="B714">
        <v>2</v>
      </c>
      <c r="C714">
        <v>2034</v>
      </c>
      <c r="D714">
        <v>163042</v>
      </c>
      <c r="E714">
        <v>1920</v>
      </c>
      <c r="F714">
        <f t="shared" si="11"/>
        <v>161122</v>
      </c>
    </row>
    <row r="715" spans="1:6" x14ac:dyDescent="0.25">
      <c r="A715">
        <v>8</v>
      </c>
      <c r="B715">
        <v>2</v>
      </c>
      <c r="C715">
        <v>2035</v>
      </c>
      <c r="D715">
        <v>168721</v>
      </c>
      <c r="E715">
        <v>1923</v>
      </c>
      <c r="F715">
        <f t="shared" si="11"/>
        <v>166798</v>
      </c>
    </row>
    <row r="716" spans="1:6" x14ac:dyDescent="0.25">
      <c r="A716">
        <v>8</v>
      </c>
      <c r="B716">
        <v>2</v>
      </c>
      <c r="C716">
        <v>2036</v>
      </c>
      <c r="D716">
        <v>174648</v>
      </c>
      <c r="E716">
        <v>1923</v>
      </c>
      <c r="F716">
        <f t="shared" si="11"/>
        <v>172725</v>
      </c>
    </row>
    <row r="717" spans="1:6" x14ac:dyDescent="0.25">
      <c r="A717">
        <v>8</v>
      </c>
      <c r="B717">
        <v>2</v>
      </c>
      <c r="C717">
        <v>2037</v>
      </c>
      <c r="D717">
        <v>180722</v>
      </c>
      <c r="E717">
        <v>1925</v>
      </c>
      <c r="F717">
        <f t="shared" si="11"/>
        <v>178797</v>
      </c>
    </row>
    <row r="718" spans="1:6" x14ac:dyDescent="0.25">
      <c r="A718">
        <v>8</v>
      </c>
      <c r="B718">
        <v>2</v>
      </c>
      <c r="C718">
        <v>2038</v>
      </c>
      <c r="D718">
        <v>187001</v>
      </c>
      <c r="E718">
        <v>1922</v>
      </c>
      <c r="F718">
        <f t="shared" si="11"/>
        <v>185079</v>
      </c>
    </row>
    <row r="719" spans="1:6" x14ac:dyDescent="0.25">
      <c r="A719">
        <v>8</v>
      </c>
      <c r="B719">
        <v>2</v>
      </c>
      <c r="C719">
        <v>2039</v>
      </c>
      <c r="D719">
        <v>193421</v>
      </c>
      <c r="E719">
        <v>1917</v>
      </c>
      <c r="F719">
        <f t="shared" si="11"/>
        <v>191504</v>
      </c>
    </row>
    <row r="720" spans="1:6" x14ac:dyDescent="0.25">
      <c r="A720">
        <v>8</v>
      </c>
      <c r="B720">
        <v>2</v>
      </c>
      <c r="C720">
        <v>2040</v>
      </c>
      <c r="D720">
        <v>200011</v>
      </c>
      <c r="E720">
        <v>1910</v>
      </c>
      <c r="F720">
        <f t="shared" si="11"/>
        <v>198101</v>
      </c>
    </row>
    <row r="721" spans="1:6" x14ac:dyDescent="0.25">
      <c r="A721">
        <v>8</v>
      </c>
      <c r="B721">
        <v>2</v>
      </c>
      <c r="C721">
        <v>2041</v>
      </c>
      <c r="D721">
        <v>206731</v>
      </c>
      <c r="E721">
        <v>1905</v>
      </c>
      <c r="F721">
        <f t="shared" si="11"/>
        <v>204826</v>
      </c>
    </row>
    <row r="722" spans="1:6" x14ac:dyDescent="0.25">
      <c r="A722">
        <v>8</v>
      </c>
      <c r="B722">
        <v>2</v>
      </c>
      <c r="C722">
        <v>2042</v>
      </c>
      <c r="D722">
        <v>213579</v>
      </c>
      <c r="E722">
        <v>1896</v>
      </c>
      <c r="F722">
        <f t="shared" si="11"/>
        <v>211683</v>
      </c>
    </row>
    <row r="723" spans="1:6" x14ac:dyDescent="0.25">
      <c r="A723">
        <v>8</v>
      </c>
      <c r="B723">
        <v>2</v>
      </c>
      <c r="C723">
        <v>2043</v>
      </c>
      <c r="D723">
        <v>220513</v>
      </c>
      <c r="E723">
        <v>1885</v>
      </c>
      <c r="F723">
        <f t="shared" si="11"/>
        <v>218628</v>
      </c>
    </row>
    <row r="724" spans="1:6" x14ac:dyDescent="0.25">
      <c r="A724">
        <v>8</v>
      </c>
      <c r="B724">
        <v>2</v>
      </c>
      <c r="C724">
        <v>2044</v>
      </c>
      <c r="D724">
        <v>227552</v>
      </c>
      <c r="E724">
        <v>1876</v>
      </c>
      <c r="F724">
        <f t="shared" si="11"/>
        <v>225676</v>
      </c>
    </row>
    <row r="725" spans="1:6" x14ac:dyDescent="0.25">
      <c r="A725">
        <v>8</v>
      </c>
      <c r="B725">
        <v>2</v>
      </c>
      <c r="C725">
        <v>2045</v>
      </c>
      <c r="D725">
        <v>234593</v>
      </c>
      <c r="E725">
        <v>1864</v>
      </c>
      <c r="F725">
        <f t="shared" si="11"/>
        <v>232729</v>
      </c>
    </row>
    <row r="726" spans="1:6" x14ac:dyDescent="0.25">
      <c r="A726">
        <v>8</v>
      </c>
      <c r="B726">
        <v>2</v>
      </c>
      <c r="C726">
        <v>2046</v>
      </c>
      <c r="D726">
        <v>241763</v>
      </c>
      <c r="E726">
        <v>1854</v>
      </c>
      <c r="F726">
        <f t="shared" si="11"/>
        <v>239909</v>
      </c>
    </row>
    <row r="727" spans="1:6" x14ac:dyDescent="0.25">
      <c r="A727">
        <v>8</v>
      </c>
      <c r="B727">
        <v>2</v>
      </c>
      <c r="C727">
        <v>2047</v>
      </c>
      <c r="D727">
        <v>248873</v>
      </c>
      <c r="E727">
        <v>1843</v>
      </c>
      <c r="F727">
        <f t="shared" si="11"/>
        <v>247030</v>
      </c>
    </row>
    <row r="728" spans="1:6" x14ac:dyDescent="0.25">
      <c r="A728">
        <v>8</v>
      </c>
      <c r="B728">
        <v>2</v>
      </c>
      <c r="C728">
        <v>2048</v>
      </c>
      <c r="D728">
        <v>256059</v>
      </c>
      <c r="E728">
        <v>1830</v>
      </c>
      <c r="F728">
        <f t="shared" si="11"/>
        <v>254229</v>
      </c>
    </row>
    <row r="729" spans="1:6" x14ac:dyDescent="0.25">
      <c r="A729">
        <v>8</v>
      </c>
      <c r="B729">
        <v>2</v>
      </c>
      <c r="C729">
        <v>2049</v>
      </c>
      <c r="D729">
        <v>263189</v>
      </c>
      <c r="E729">
        <v>1819</v>
      </c>
      <c r="F729">
        <f t="shared" si="11"/>
        <v>261370</v>
      </c>
    </row>
    <row r="730" spans="1:6" x14ac:dyDescent="0.25">
      <c r="A730">
        <v>8</v>
      </c>
      <c r="B730">
        <v>2</v>
      </c>
      <c r="C730">
        <v>2050</v>
      </c>
      <c r="D730">
        <v>270218</v>
      </c>
      <c r="E730">
        <v>1809</v>
      </c>
      <c r="F730">
        <f t="shared" si="11"/>
        <v>268409</v>
      </c>
    </row>
    <row r="731" spans="1:6" x14ac:dyDescent="0.25">
      <c r="A731">
        <v>9</v>
      </c>
      <c r="B731">
        <v>0</v>
      </c>
      <c r="C731">
        <v>2024</v>
      </c>
      <c r="D731">
        <v>2124308</v>
      </c>
      <c r="E731">
        <v>6625</v>
      </c>
      <c r="F731">
        <f t="shared" si="11"/>
        <v>2117683</v>
      </c>
    </row>
    <row r="732" spans="1:6" x14ac:dyDescent="0.25">
      <c r="A732">
        <v>9</v>
      </c>
      <c r="B732">
        <v>0</v>
      </c>
      <c r="C732">
        <v>2025</v>
      </c>
      <c r="D732">
        <v>2155581</v>
      </c>
      <c r="E732">
        <v>6545</v>
      </c>
      <c r="F732">
        <f t="shared" si="11"/>
        <v>2149036</v>
      </c>
    </row>
    <row r="733" spans="1:6" x14ac:dyDescent="0.25">
      <c r="A733">
        <v>9</v>
      </c>
      <c r="B733">
        <v>0</v>
      </c>
      <c r="C733">
        <v>2026</v>
      </c>
      <c r="D733">
        <v>2186264</v>
      </c>
      <c r="E733">
        <v>6465</v>
      </c>
      <c r="F733">
        <f t="shared" si="11"/>
        <v>2179799</v>
      </c>
    </row>
    <row r="734" spans="1:6" x14ac:dyDescent="0.25">
      <c r="A734">
        <v>9</v>
      </c>
      <c r="B734">
        <v>0</v>
      </c>
      <c r="C734">
        <v>2027</v>
      </c>
      <c r="D734">
        <v>2217007</v>
      </c>
      <c r="E734">
        <v>6383</v>
      </c>
      <c r="F734">
        <f t="shared" si="11"/>
        <v>2210624</v>
      </c>
    </row>
    <row r="735" spans="1:6" x14ac:dyDescent="0.25">
      <c r="A735">
        <v>9</v>
      </c>
      <c r="B735">
        <v>0</v>
      </c>
      <c r="C735">
        <v>2028</v>
      </c>
      <c r="D735">
        <v>2248217</v>
      </c>
      <c r="E735">
        <v>6300</v>
      </c>
      <c r="F735">
        <f t="shared" si="11"/>
        <v>2241917</v>
      </c>
    </row>
    <row r="736" spans="1:6" x14ac:dyDescent="0.25">
      <c r="A736">
        <v>9</v>
      </c>
      <c r="B736">
        <v>0</v>
      </c>
      <c r="C736">
        <v>2029</v>
      </c>
      <c r="D736">
        <v>2279877</v>
      </c>
      <c r="E736">
        <v>6218</v>
      </c>
      <c r="F736">
        <f t="shared" si="11"/>
        <v>2273659</v>
      </c>
    </row>
    <row r="737" spans="1:6" x14ac:dyDescent="0.25">
      <c r="A737">
        <v>9</v>
      </c>
      <c r="B737">
        <v>0</v>
      </c>
      <c r="C737">
        <v>2030</v>
      </c>
      <c r="D737">
        <v>2311973</v>
      </c>
      <c r="E737">
        <v>6135</v>
      </c>
      <c r="F737">
        <f t="shared" si="11"/>
        <v>2305838</v>
      </c>
    </row>
    <row r="738" spans="1:6" x14ac:dyDescent="0.25">
      <c r="A738">
        <v>9</v>
      </c>
      <c r="B738">
        <v>0</v>
      </c>
      <c r="C738">
        <v>2031</v>
      </c>
      <c r="D738">
        <v>2344230</v>
      </c>
      <c r="E738">
        <v>6053</v>
      </c>
      <c r="F738">
        <f t="shared" si="11"/>
        <v>2338177</v>
      </c>
    </row>
    <row r="739" spans="1:6" x14ac:dyDescent="0.25">
      <c r="A739">
        <v>9</v>
      </c>
      <c r="B739">
        <v>0</v>
      </c>
      <c r="C739">
        <v>2032</v>
      </c>
      <c r="D739">
        <v>2376375</v>
      </c>
      <c r="E739">
        <v>5969</v>
      </c>
      <c r="F739">
        <f t="shared" si="11"/>
        <v>2370406</v>
      </c>
    </row>
    <row r="740" spans="1:6" x14ac:dyDescent="0.25">
      <c r="A740">
        <v>9</v>
      </c>
      <c r="B740">
        <v>0</v>
      </c>
      <c r="C740">
        <v>2033</v>
      </c>
      <c r="D740">
        <v>2408023</v>
      </c>
      <c r="E740">
        <v>5883</v>
      </c>
      <c r="F740">
        <f t="shared" si="11"/>
        <v>2402140</v>
      </c>
    </row>
    <row r="741" spans="1:6" x14ac:dyDescent="0.25">
      <c r="A741">
        <v>9</v>
      </c>
      <c r="B741">
        <v>0</v>
      </c>
      <c r="C741">
        <v>2034</v>
      </c>
      <c r="D741">
        <v>2438959</v>
      </c>
      <c r="E741">
        <v>5796</v>
      </c>
      <c r="F741">
        <f t="shared" si="11"/>
        <v>2433163</v>
      </c>
    </row>
    <row r="742" spans="1:6" x14ac:dyDescent="0.25">
      <c r="A742">
        <v>9</v>
      </c>
      <c r="B742">
        <v>0</v>
      </c>
      <c r="C742">
        <v>2035</v>
      </c>
      <c r="D742">
        <v>2469064</v>
      </c>
      <c r="E742">
        <v>5707</v>
      </c>
      <c r="F742">
        <f t="shared" si="11"/>
        <v>2463357</v>
      </c>
    </row>
    <row r="743" spans="1:6" x14ac:dyDescent="0.25">
      <c r="A743">
        <v>9</v>
      </c>
      <c r="B743">
        <v>0</v>
      </c>
      <c r="C743">
        <v>2036</v>
      </c>
      <c r="D743">
        <v>2497803</v>
      </c>
      <c r="E743">
        <v>5616</v>
      </c>
      <c r="F743">
        <f t="shared" si="11"/>
        <v>2492187</v>
      </c>
    </row>
    <row r="744" spans="1:6" x14ac:dyDescent="0.25">
      <c r="A744">
        <v>9</v>
      </c>
      <c r="B744">
        <v>0</v>
      </c>
      <c r="C744">
        <v>2037</v>
      </c>
      <c r="D744">
        <v>2524881</v>
      </c>
      <c r="E744">
        <v>5521</v>
      </c>
      <c r="F744">
        <f t="shared" si="11"/>
        <v>2519360</v>
      </c>
    </row>
    <row r="745" spans="1:6" x14ac:dyDescent="0.25">
      <c r="A745">
        <v>9</v>
      </c>
      <c r="B745">
        <v>0</v>
      </c>
      <c r="C745">
        <v>2038</v>
      </c>
      <c r="D745">
        <v>2549953</v>
      </c>
      <c r="E745">
        <v>5426</v>
      </c>
      <c r="F745">
        <f t="shared" si="11"/>
        <v>2544527</v>
      </c>
    </row>
    <row r="746" spans="1:6" x14ac:dyDescent="0.25">
      <c r="A746">
        <v>9</v>
      </c>
      <c r="B746">
        <v>0</v>
      </c>
      <c r="C746">
        <v>2039</v>
      </c>
      <c r="D746">
        <v>2572616</v>
      </c>
      <c r="E746">
        <v>5330</v>
      </c>
      <c r="F746">
        <f t="shared" si="11"/>
        <v>2567286</v>
      </c>
    </row>
    <row r="747" spans="1:6" x14ac:dyDescent="0.25">
      <c r="A747">
        <v>9</v>
      </c>
      <c r="B747">
        <v>0</v>
      </c>
      <c r="C747">
        <v>2040</v>
      </c>
      <c r="D747">
        <v>2592522</v>
      </c>
      <c r="E747">
        <v>5232</v>
      </c>
      <c r="F747">
        <f t="shared" si="11"/>
        <v>2587290</v>
      </c>
    </row>
    <row r="748" spans="1:6" x14ac:dyDescent="0.25">
      <c r="A748">
        <v>9</v>
      </c>
      <c r="B748">
        <v>0</v>
      </c>
      <c r="C748">
        <v>2041</v>
      </c>
      <c r="D748">
        <v>2609433</v>
      </c>
      <c r="E748">
        <v>5134</v>
      </c>
      <c r="F748">
        <f t="shared" si="11"/>
        <v>2604299</v>
      </c>
    </row>
    <row r="749" spans="1:6" x14ac:dyDescent="0.25">
      <c r="A749">
        <v>9</v>
      </c>
      <c r="B749">
        <v>0</v>
      </c>
      <c r="C749">
        <v>2042</v>
      </c>
      <c r="D749">
        <v>2623229</v>
      </c>
      <c r="E749">
        <v>5038</v>
      </c>
      <c r="F749">
        <f t="shared" si="11"/>
        <v>2618191</v>
      </c>
    </row>
    <row r="750" spans="1:6" x14ac:dyDescent="0.25">
      <c r="A750">
        <v>9</v>
      </c>
      <c r="B750">
        <v>0</v>
      </c>
      <c r="C750">
        <v>2043</v>
      </c>
      <c r="D750">
        <v>2633896</v>
      </c>
      <c r="E750">
        <v>4944</v>
      </c>
      <c r="F750">
        <f t="shared" si="11"/>
        <v>2628952</v>
      </c>
    </row>
    <row r="751" spans="1:6" x14ac:dyDescent="0.25">
      <c r="A751">
        <v>9</v>
      </c>
      <c r="B751">
        <v>0</v>
      </c>
      <c r="C751">
        <v>2044</v>
      </c>
      <c r="D751">
        <v>2640707</v>
      </c>
      <c r="E751">
        <v>4852</v>
      </c>
      <c r="F751">
        <f t="shared" si="11"/>
        <v>2635855</v>
      </c>
    </row>
    <row r="752" spans="1:6" x14ac:dyDescent="0.25">
      <c r="A752">
        <v>9</v>
      </c>
      <c r="B752">
        <v>0</v>
      </c>
      <c r="C752">
        <v>2045</v>
      </c>
      <c r="D752">
        <v>2643492</v>
      </c>
      <c r="E752">
        <v>4763</v>
      </c>
      <c r="F752">
        <f t="shared" si="11"/>
        <v>2638729</v>
      </c>
    </row>
    <row r="753" spans="1:6" x14ac:dyDescent="0.25">
      <c r="A753">
        <v>9</v>
      </c>
      <c r="B753">
        <v>0</v>
      </c>
      <c r="C753">
        <v>2046</v>
      </c>
      <c r="D753">
        <v>2642357</v>
      </c>
      <c r="E753">
        <v>4677</v>
      </c>
      <c r="F753">
        <f t="shared" si="11"/>
        <v>2637680</v>
      </c>
    </row>
    <row r="754" spans="1:6" x14ac:dyDescent="0.25">
      <c r="A754">
        <v>9</v>
      </c>
      <c r="B754">
        <v>0</v>
      </c>
      <c r="C754">
        <v>2047</v>
      </c>
      <c r="D754">
        <v>2638896</v>
      </c>
      <c r="E754">
        <v>4593</v>
      </c>
      <c r="F754">
        <f t="shared" si="11"/>
        <v>2634303</v>
      </c>
    </row>
    <row r="755" spans="1:6" x14ac:dyDescent="0.25">
      <c r="A755">
        <v>9</v>
      </c>
      <c r="B755">
        <v>0</v>
      </c>
      <c r="C755">
        <v>2048</v>
      </c>
      <c r="D755">
        <v>2631800</v>
      </c>
      <c r="E755">
        <v>4511</v>
      </c>
      <c r="F755">
        <f t="shared" si="11"/>
        <v>2627289</v>
      </c>
    </row>
    <row r="756" spans="1:6" x14ac:dyDescent="0.25">
      <c r="A756">
        <v>9</v>
      </c>
      <c r="B756">
        <v>0</v>
      </c>
      <c r="C756">
        <v>2049</v>
      </c>
      <c r="D756">
        <v>2620984</v>
      </c>
      <c r="E756">
        <v>4431</v>
      </c>
      <c r="F756">
        <f t="shared" si="11"/>
        <v>2616553</v>
      </c>
    </row>
    <row r="757" spans="1:6" x14ac:dyDescent="0.25">
      <c r="A757">
        <v>9</v>
      </c>
      <c r="B757">
        <v>0</v>
      </c>
      <c r="C757">
        <v>2050</v>
      </c>
      <c r="D757">
        <v>2606723</v>
      </c>
      <c r="E757">
        <v>4353</v>
      </c>
      <c r="F757">
        <f t="shared" si="11"/>
        <v>2602370</v>
      </c>
    </row>
    <row r="758" spans="1:6" x14ac:dyDescent="0.25">
      <c r="A758">
        <v>9</v>
      </c>
      <c r="B758">
        <v>1</v>
      </c>
      <c r="C758">
        <v>2024</v>
      </c>
      <c r="D758">
        <v>1087137</v>
      </c>
      <c r="E758">
        <v>3836</v>
      </c>
      <c r="F758">
        <f t="shared" si="11"/>
        <v>1083301</v>
      </c>
    </row>
    <row r="759" spans="1:6" x14ac:dyDescent="0.25">
      <c r="A759">
        <v>9</v>
      </c>
      <c r="B759">
        <v>1</v>
      </c>
      <c r="C759">
        <v>2025</v>
      </c>
      <c r="D759">
        <v>1105352</v>
      </c>
      <c r="E759">
        <v>3785</v>
      </c>
      <c r="F759">
        <f t="shared" si="11"/>
        <v>1101567</v>
      </c>
    </row>
    <row r="760" spans="1:6" x14ac:dyDescent="0.25">
      <c r="A760">
        <v>9</v>
      </c>
      <c r="B760">
        <v>1</v>
      </c>
      <c r="C760">
        <v>2026</v>
      </c>
      <c r="D760">
        <v>1123192</v>
      </c>
      <c r="E760">
        <v>3734</v>
      </c>
      <c r="F760">
        <f t="shared" si="11"/>
        <v>1119458</v>
      </c>
    </row>
    <row r="761" spans="1:6" x14ac:dyDescent="0.25">
      <c r="A761">
        <v>9</v>
      </c>
      <c r="B761">
        <v>1</v>
      </c>
      <c r="C761">
        <v>2027</v>
      </c>
      <c r="D761">
        <v>1140747</v>
      </c>
      <c r="E761">
        <v>3683</v>
      </c>
      <c r="F761">
        <f t="shared" si="11"/>
        <v>1137064</v>
      </c>
    </row>
    <row r="762" spans="1:6" x14ac:dyDescent="0.25">
      <c r="A762">
        <v>9</v>
      </c>
      <c r="B762">
        <v>1</v>
      </c>
      <c r="C762">
        <v>2028</v>
      </c>
      <c r="D762">
        <v>1158139</v>
      </c>
      <c r="E762">
        <v>3630</v>
      </c>
      <c r="F762">
        <f t="shared" si="11"/>
        <v>1154509</v>
      </c>
    </row>
    <row r="763" spans="1:6" x14ac:dyDescent="0.25">
      <c r="A763">
        <v>9</v>
      </c>
      <c r="B763">
        <v>1</v>
      </c>
      <c r="C763">
        <v>2029</v>
      </c>
      <c r="D763">
        <v>1175320</v>
      </c>
      <c r="E763">
        <v>3579</v>
      </c>
      <c r="F763">
        <f t="shared" si="11"/>
        <v>1171741</v>
      </c>
    </row>
    <row r="764" spans="1:6" x14ac:dyDescent="0.25">
      <c r="A764">
        <v>9</v>
      </c>
      <c r="B764">
        <v>1</v>
      </c>
      <c r="C764">
        <v>2030</v>
      </c>
      <c r="D764">
        <v>1192193</v>
      </c>
      <c r="E764">
        <v>3527</v>
      </c>
      <c r="F764">
        <f t="shared" si="11"/>
        <v>1188666</v>
      </c>
    </row>
    <row r="765" spans="1:6" x14ac:dyDescent="0.25">
      <c r="A765">
        <v>9</v>
      </c>
      <c r="B765">
        <v>1</v>
      </c>
      <c r="C765">
        <v>2031</v>
      </c>
      <c r="D765">
        <v>1208592</v>
      </c>
      <c r="E765">
        <v>3476</v>
      </c>
      <c r="F765">
        <f t="shared" si="11"/>
        <v>1205116</v>
      </c>
    </row>
    <row r="766" spans="1:6" x14ac:dyDescent="0.25">
      <c r="A766">
        <v>9</v>
      </c>
      <c r="B766">
        <v>1</v>
      </c>
      <c r="C766">
        <v>2032</v>
      </c>
      <c r="D766">
        <v>1224384</v>
      </c>
      <c r="E766">
        <v>3423</v>
      </c>
      <c r="F766">
        <f t="shared" si="11"/>
        <v>1220961</v>
      </c>
    </row>
    <row r="767" spans="1:6" x14ac:dyDescent="0.25">
      <c r="A767">
        <v>9</v>
      </c>
      <c r="B767">
        <v>1</v>
      </c>
      <c r="C767">
        <v>2033</v>
      </c>
      <c r="D767">
        <v>1239447</v>
      </c>
      <c r="E767">
        <v>3370</v>
      </c>
      <c r="F767">
        <f t="shared" si="11"/>
        <v>1236077</v>
      </c>
    </row>
    <row r="768" spans="1:6" x14ac:dyDescent="0.25">
      <c r="A768">
        <v>9</v>
      </c>
      <c r="B768">
        <v>1</v>
      </c>
      <c r="C768">
        <v>2034</v>
      </c>
      <c r="D768">
        <v>1253692</v>
      </c>
      <c r="E768">
        <v>3316</v>
      </c>
      <c r="F768">
        <f t="shared" si="11"/>
        <v>1250376</v>
      </c>
    </row>
    <row r="769" spans="1:6" x14ac:dyDescent="0.25">
      <c r="A769">
        <v>9</v>
      </c>
      <c r="B769">
        <v>1</v>
      </c>
      <c r="C769">
        <v>2035</v>
      </c>
      <c r="D769">
        <v>1267093</v>
      </c>
      <c r="E769">
        <v>3261</v>
      </c>
      <c r="F769">
        <f t="shared" si="11"/>
        <v>1263832</v>
      </c>
    </row>
    <row r="770" spans="1:6" x14ac:dyDescent="0.25">
      <c r="A770">
        <v>9</v>
      </c>
      <c r="B770">
        <v>1</v>
      </c>
      <c r="C770">
        <v>2036</v>
      </c>
      <c r="D770">
        <v>1279472</v>
      </c>
      <c r="E770">
        <v>3206</v>
      </c>
      <c r="F770">
        <f t="shared" ref="F770:F833" si="12">D770-E770</f>
        <v>1276266</v>
      </c>
    </row>
    <row r="771" spans="1:6" x14ac:dyDescent="0.25">
      <c r="A771">
        <v>9</v>
      </c>
      <c r="B771">
        <v>1</v>
      </c>
      <c r="C771">
        <v>2037</v>
      </c>
      <c r="D771">
        <v>1290711</v>
      </c>
      <c r="E771">
        <v>3148</v>
      </c>
      <c r="F771">
        <f t="shared" si="12"/>
        <v>1287563</v>
      </c>
    </row>
    <row r="772" spans="1:6" x14ac:dyDescent="0.25">
      <c r="A772">
        <v>9</v>
      </c>
      <c r="B772">
        <v>1</v>
      </c>
      <c r="C772">
        <v>2038</v>
      </c>
      <c r="D772">
        <v>1300680</v>
      </c>
      <c r="E772">
        <v>3090</v>
      </c>
      <c r="F772">
        <f t="shared" si="12"/>
        <v>1297590</v>
      </c>
    </row>
    <row r="773" spans="1:6" x14ac:dyDescent="0.25">
      <c r="A773">
        <v>9</v>
      </c>
      <c r="B773">
        <v>1</v>
      </c>
      <c r="C773">
        <v>2039</v>
      </c>
      <c r="D773">
        <v>1309244</v>
      </c>
      <c r="E773">
        <v>3032</v>
      </c>
      <c r="F773">
        <f t="shared" si="12"/>
        <v>1306212</v>
      </c>
    </row>
    <row r="774" spans="1:6" x14ac:dyDescent="0.25">
      <c r="A774">
        <v>9</v>
      </c>
      <c r="B774">
        <v>1</v>
      </c>
      <c r="C774">
        <v>2040</v>
      </c>
      <c r="D774">
        <v>1316316</v>
      </c>
      <c r="E774">
        <v>2973</v>
      </c>
      <c r="F774">
        <f t="shared" si="12"/>
        <v>1313343</v>
      </c>
    </row>
    <row r="775" spans="1:6" x14ac:dyDescent="0.25">
      <c r="A775">
        <v>9</v>
      </c>
      <c r="B775">
        <v>1</v>
      </c>
      <c r="C775">
        <v>2041</v>
      </c>
      <c r="D775">
        <v>1321806</v>
      </c>
      <c r="E775">
        <v>2914</v>
      </c>
      <c r="F775">
        <f t="shared" si="12"/>
        <v>1318892</v>
      </c>
    </row>
    <row r="776" spans="1:6" x14ac:dyDescent="0.25">
      <c r="A776">
        <v>9</v>
      </c>
      <c r="B776">
        <v>1</v>
      </c>
      <c r="C776">
        <v>2042</v>
      </c>
      <c r="D776">
        <v>1325716</v>
      </c>
      <c r="E776">
        <v>2856</v>
      </c>
      <c r="F776">
        <f t="shared" si="12"/>
        <v>1322860</v>
      </c>
    </row>
    <row r="777" spans="1:6" x14ac:dyDescent="0.25">
      <c r="A777">
        <v>9</v>
      </c>
      <c r="B777">
        <v>1</v>
      </c>
      <c r="C777">
        <v>2043</v>
      </c>
      <c r="D777">
        <v>1328065</v>
      </c>
      <c r="E777">
        <v>2799</v>
      </c>
      <c r="F777">
        <f t="shared" si="12"/>
        <v>1325266</v>
      </c>
    </row>
    <row r="778" spans="1:6" x14ac:dyDescent="0.25">
      <c r="A778">
        <v>9</v>
      </c>
      <c r="B778">
        <v>1</v>
      </c>
      <c r="C778">
        <v>2044</v>
      </c>
      <c r="D778">
        <v>1328612</v>
      </c>
      <c r="E778">
        <v>2744</v>
      </c>
      <c r="F778">
        <f t="shared" si="12"/>
        <v>1325868</v>
      </c>
    </row>
    <row r="779" spans="1:6" x14ac:dyDescent="0.25">
      <c r="A779">
        <v>9</v>
      </c>
      <c r="B779">
        <v>1</v>
      </c>
      <c r="C779">
        <v>2045</v>
      </c>
      <c r="D779">
        <v>1327351</v>
      </c>
      <c r="E779">
        <v>2690</v>
      </c>
      <c r="F779">
        <f t="shared" si="12"/>
        <v>1324661</v>
      </c>
    </row>
    <row r="780" spans="1:6" x14ac:dyDescent="0.25">
      <c r="A780">
        <v>9</v>
      </c>
      <c r="B780">
        <v>1</v>
      </c>
      <c r="C780">
        <v>2046</v>
      </c>
      <c r="D780">
        <v>1324344</v>
      </c>
      <c r="E780">
        <v>2638</v>
      </c>
      <c r="F780">
        <f t="shared" si="12"/>
        <v>1321706</v>
      </c>
    </row>
    <row r="781" spans="1:6" x14ac:dyDescent="0.25">
      <c r="A781">
        <v>9</v>
      </c>
      <c r="B781">
        <v>1</v>
      </c>
      <c r="C781">
        <v>2047</v>
      </c>
      <c r="D781">
        <v>1320217</v>
      </c>
      <c r="E781">
        <v>2588</v>
      </c>
      <c r="F781">
        <f t="shared" si="12"/>
        <v>1317629</v>
      </c>
    </row>
    <row r="782" spans="1:6" x14ac:dyDescent="0.25">
      <c r="A782">
        <v>9</v>
      </c>
      <c r="B782">
        <v>1</v>
      </c>
      <c r="C782">
        <v>2048</v>
      </c>
      <c r="D782">
        <v>1314512</v>
      </c>
      <c r="E782">
        <v>2538</v>
      </c>
      <c r="F782">
        <f t="shared" si="12"/>
        <v>1311974</v>
      </c>
    </row>
    <row r="783" spans="1:6" x14ac:dyDescent="0.25">
      <c r="A783">
        <v>9</v>
      </c>
      <c r="B783">
        <v>1</v>
      </c>
      <c r="C783">
        <v>2049</v>
      </c>
      <c r="D783">
        <v>1307280</v>
      </c>
      <c r="E783">
        <v>2490</v>
      </c>
      <c r="F783">
        <f t="shared" si="12"/>
        <v>1304790</v>
      </c>
    </row>
    <row r="784" spans="1:6" x14ac:dyDescent="0.25">
      <c r="A784">
        <v>9</v>
      </c>
      <c r="B784">
        <v>1</v>
      </c>
      <c r="C784">
        <v>2050</v>
      </c>
      <c r="D784">
        <v>1298690</v>
      </c>
      <c r="E784">
        <v>2443</v>
      </c>
      <c r="F784">
        <f t="shared" si="12"/>
        <v>1296247</v>
      </c>
    </row>
    <row r="785" spans="1:6" x14ac:dyDescent="0.25">
      <c r="A785">
        <v>9</v>
      </c>
      <c r="B785">
        <v>2</v>
      </c>
      <c r="C785">
        <v>2024</v>
      </c>
      <c r="D785">
        <v>1037171</v>
      </c>
      <c r="E785">
        <v>2789</v>
      </c>
      <c r="F785">
        <f t="shared" si="12"/>
        <v>1034382</v>
      </c>
    </row>
    <row r="786" spans="1:6" x14ac:dyDescent="0.25">
      <c r="A786">
        <v>9</v>
      </c>
      <c r="B786">
        <v>2</v>
      </c>
      <c r="C786">
        <v>2025</v>
      </c>
      <c r="D786">
        <v>1050229</v>
      </c>
      <c r="E786">
        <v>2760</v>
      </c>
      <c r="F786">
        <f t="shared" si="12"/>
        <v>1047469</v>
      </c>
    </row>
    <row r="787" spans="1:6" x14ac:dyDescent="0.25">
      <c r="A787">
        <v>9</v>
      </c>
      <c r="B787">
        <v>2</v>
      </c>
      <c r="C787">
        <v>2026</v>
      </c>
      <c r="D787">
        <v>1063072</v>
      </c>
      <c r="E787">
        <v>2731</v>
      </c>
      <c r="F787">
        <f t="shared" si="12"/>
        <v>1060341</v>
      </c>
    </row>
    <row r="788" spans="1:6" x14ac:dyDescent="0.25">
      <c r="A788">
        <v>9</v>
      </c>
      <c r="B788">
        <v>2</v>
      </c>
      <c r="C788">
        <v>2027</v>
      </c>
      <c r="D788">
        <v>1076260</v>
      </c>
      <c r="E788">
        <v>2700</v>
      </c>
      <c r="F788">
        <f t="shared" si="12"/>
        <v>1073560</v>
      </c>
    </row>
    <row r="789" spans="1:6" x14ac:dyDescent="0.25">
      <c r="A789">
        <v>9</v>
      </c>
      <c r="B789">
        <v>2</v>
      </c>
      <c r="C789">
        <v>2028</v>
      </c>
      <c r="D789">
        <v>1090078</v>
      </c>
      <c r="E789">
        <v>2670</v>
      </c>
      <c r="F789">
        <f t="shared" si="12"/>
        <v>1087408</v>
      </c>
    </row>
    <row r="790" spans="1:6" x14ac:dyDescent="0.25">
      <c r="A790">
        <v>9</v>
      </c>
      <c r="B790">
        <v>2</v>
      </c>
      <c r="C790">
        <v>2029</v>
      </c>
      <c r="D790">
        <v>1104557</v>
      </c>
      <c r="E790">
        <v>2639</v>
      </c>
      <c r="F790">
        <f t="shared" si="12"/>
        <v>1101918</v>
      </c>
    </row>
    <row r="791" spans="1:6" x14ac:dyDescent="0.25">
      <c r="A791">
        <v>9</v>
      </c>
      <c r="B791">
        <v>2</v>
      </c>
      <c r="C791">
        <v>2030</v>
      </c>
      <c r="D791">
        <v>1119780</v>
      </c>
      <c r="E791">
        <v>2608</v>
      </c>
      <c r="F791">
        <f t="shared" si="12"/>
        <v>1117172</v>
      </c>
    </row>
    <row r="792" spans="1:6" x14ac:dyDescent="0.25">
      <c r="A792">
        <v>9</v>
      </c>
      <c r="B792">
        <v>2</v>
      </c>
      <c r="C792">
        <v>2031</v>
      </c>
      <c r="D792">
        <v>1135638</v>
      </c>
      <c r="E792">
        <v>2577</v>
      </c>
      <c r="F792">
        <f t="shared" si="12"/>
        <v>1133061</v>
      </c>
    </row>
    <row r="793" spans="1:6" x14ac:dyDescent="0.25">
      <c r="A793">
        <v>9</v>
      </c>
      <c r="B793">
        <v>2</v>
      </c>
      <c r="C793">
        <v>2032</v>
      </c>
      <c r="D793">
        <v>1151991</v>
      </c>
      <c r="E793">
        <v>2546</v>
      </c>
      <c r="F793">
        <f t="shared" si="12"/>
        <v>1149445</v>
      </c>
    </row>
    <row r="794" spans="1:6" x14ac:dyDescent="0.25">
      <c r="A794">
        <v>9</v>
      </c>
      <c r="B794">
        <v>2</v>
      </c>
      <c r="C794">
        <v>2033</v>
      </c>
      <c r="D794">
        <v>1168576</v>
      </c>
      <c r="E794">
        <v>2513</v>
      </c>
      <c r="F794">
        <f t="shared" si="12"/>
        <v>1166063</v>
      </c>
    </row>
    <row r="795" spans="1:6" x14ac:dyDescent="0.25">
      <c r="A795">
        <v>9</v>
      </c>
      <c r="B795">
        <v>2</v>
      </c>
      <c r="C795">
        <v>2034</v>
      </c>
      <c r="D795">
        <v>1185267</v>
      </c>
      <c r="E795">
        <v>2480</v>
      </c>
      <c r="F795">
        <f t="shared" si="12"/>
        <v>1182787</v>
      </c>
    </row>
    <row r="796" spans="1:6" x14ac:dyDescent="0.25">
      <c r="A796">
        <v>9</v>
      </c>
      <c r="B796">
        <v>2</v>
      </c>
      <c r="C796">
        <v>2035</v>
      </c>
      <c r="D796">
        <v>1201971</v>
      </c>
      <c r="E796">
        <v>2446</v>
      </c>
      <c r="F796">
        <f t="shared" si="12"/>
        <v>1199525</v>
      </c>
    </row>
    <row r="797" spans="1:6" x14ac:dyDescent="0.25">
      <c r="A797">
        <v>9</v>
      </c>
      <c r="B797">
        <v>2</v>
      </c>
      <c r="C797">
        <v>2036</v>
      </c>
      <c r="D797">
        <v>1218331</v>
      </c>
      <c r="E797">
        <v>2410</v>
      </c>
      <c r="F797">
        <f t="shared" si="12"/>
        <v>1215921</v>
      </c>
    </row>
    <row r="798" spans="1:6" x14ac:dyDescent="0.25">
      <c r="A798">
        <v>9</v>
      </c>
      <c r="B798">
        <v>2</v>
      </c>
      <c r="C798">
        <v>2037</v>
      </c>
      <c r="D798">
        <v>1234170</v>
      </c>
      <c r="E798">
        <v>2373</v>
      </c>
      <c r="F798">
        <f t="shared" si="12"/>
        <v>1231797</v>
      </c>
    </row>
    <row r="799" spans="1:6" x14ac:dyDescent="0.25">
      <c r="A799">
        <v>9</v>
      </c>
      <c r="B799">
        <v>2</v>
      </c>
      <c r="C799">
        <v>2038</v>
      </c>
      <c r="D799">
        <v>1249273</v>
      </c>
      <c r="E799">
        <v>2336</v>
      </c>
      <c r="F799">
        <f t="shared" si="12"/>
        <v>1246937</v>
      </c>
    </row>
    <row r="800" spans="1:6" x14ac:dyDescent="0.25">
      <c r="A800">
        <v>9</v>
      </c>
      <c r="B800">
        <v>2</v>
      </c>
      <c r="C800">
        <v>2039</v>
      </c>
      <c r="D800">
        <v>1263372</v>
      </c>
      <c r="E800">
        <v>2298</v>
      </c>
      <c r="F800">
        <f t="shared" si="12"/>
        <v>1261074</v>
      </c>
    </row>
    <row r="801" spans="1:6" x14ac:dyDescent="0.25">
      <c r="A801">
        <v>9</v>
      </c>
      <c r="B801">
        <v>2</v>
      </c>
      <c r="C801">
        <v>2040</v>
      </c>
      <c r="D801">
        <v>1276206</v>
      </c>
      <c r="E801">
        <v>2259</v>
      </c>
      <c r="F801">
        <f t="shared" si="12"/>
        <v>1273947</v>
      </c>
    </row>
    <row r="802" spans="1:6" x14ac:dyDescent="0.25">
      <c r="A802">
        <v>9</v>
      </c>
      <c r="B802">
        <v>2</v>
      </c>
      <c r="C802">
        <v>2041</v>
      </c>
      <c r="D802">
        <v>1287627</v>
      </c>
      <c r="E802">
        <v>2220</v>
      </c>
      <c r="F802">
        <f t="shared" si="12"/>
        <v>1285407</v>
      </c>
    </row>
    <row r="803" spans="1:6" x14ac:dyDescent="0.25">
      <c r="A803">
        <v>9</v>
      </c>
      <c r="B803">
        <v>2</v>
      </c>
      <c r="C803">
        <v>2042</v>
      </c>
      <c r="D803">
        <v>1297513</v>
      </c>
      <c r="E803">
        <v>2182</v>
      </c>
      <c r="F803">
        <f t="shared" si="12"/>
        <v>1295331</v>
      </c>
    </row>
    <row r="804" spans="1:6" x14ac:dyDescent="0.25">
      <c r="A804">
        <v>9</v>
      </c>
      <c r="B804">
        <v>2</v>
      </c>
      <c r="C804">
        <v>2043</v>
      </c>
      <c r="D804">
        <v>1305831</v>
      </c>
      <c r="E804">
        <v>2145</v>
      </c>
      <c r="F804">
        <f t="shared" si="12"/>
        <v>1303686</v>
      </c>
    </row>
    <row r="805" spans="1:6" x14ac:dyDescent="0.25">
      <c r="A805">
        <v>9</v>
      </c>
      <c r="B805">
        <v>2</v>
      </c>
      <c r="C805">
        <v>2044</v>
      </c>
      <c r="D805">
        <v>1312095</v>
      </c>
      <c r="E805">
        <v>2108</v>
      </c>
      <c r="F805">
        <f t="shared" si="12"/>
        <v>1309987</v>
      </c>
    </row>
    <row r="806" spans="1:6" x14ac:dyDescent="0.25">
      <c r="A806">
        <v>9</v>
      </c>
      <c r="B806">
        <v>2</v>
      </c>
      <c r="C806">
        <v>2045</v>
      </c>
      <c r="D806">
        <v>1316141</v>
      </c>
      <c r="E806">
        <v>2073</v>
      </c>
      <c r="F806">
        <f t="shared" si="12"/>
        <v>1314068</v>
      </c>
    </row>
    <row r="807" spans="1:6" x14ac:dyDescent="0.25">
      <c r="A807">
        <v>9</v>
      </c>
      <c r="B807">
        <v>2</v>
      </c>
      <c r="C807">
        <v>2046</v>
      </c>
      <c r="D807">
        <v>1318013</v>
      </c>
      <c r="E807">
        <v>2039</v>
      </c>
      <c r="F807">
        <f t="shared" si="12"/>
        <v>1315974</v>
      </c>
    </row>
    <row r="808" spans="1:6" x14ac:dyDescent="0.25">
      <c r="A808">
        <v>9</v>
      </c>
      <c r="B808">
        <v>2</v>
      </c>
      <c r="C808">
        <v>2047</v>
      </c>
      <c r="D808">
        <v>1318679</v>
      </c>
      <c r="E808">
        <v>2005</v>
      </c>
      <c r="F808">
        <f t="shared" si="12"/>
        <v>1316674</v>
      </c>
    </row>
    <row r="809" spans="1:6" x14ac:dyDescent="0.25">
      <c r="A809">
        <v>9</v>
      </c>
      <c r="B809">
        <v>2</v>
      </c>
      <c r="C809">
        <v>2048</v>
      </c>
      <c r="D809">
        <v>1317288</v>
      </c>
      <c r="E809">
        <v>1973</v>
      </c>
      <c r="F809">
        <f t="shared" si="12"/>
        <v>1315315</v>
      </c>
    </row>
    <row r="810" spans="1:6" x14ac:dyDescent="0.25">
      <c r="A810">
        <v>9</v>
      </c>
      <c r="B810">
        <v>2</v>
      </c>
      <c r="C810">
        <v>2049</v>
      </c>
      <c r="D810">
        <v>1313704</v>
      </c>
      <c r="E810">
        <v>1941</v>
      </c>
      <c r="F810">
        <f t="shared" si="12"/>
        <v>1311763</v>
      </c>
    </row>
    <row r="811" spans="1:6" x14ac:dyDescent="0.25">
      <c r="A811">
        <v>9</v>
      </c>
      <c r="B811">
        <v>2</v>
      </c>
      <c r="C811">
        <v>2050</v>
      </c>
      <c r="D811">
        <v>1308033</v>
      </c>
      <c r="E811">
        <v>1910</v>
      </c>
      <c r="F811">
        <f t="shared" si="12"/>
        <v>1306123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917"/>
  <sheetViews>
    <sheetView workbookViewId="0">
      <pane ySplit="1" topLeftCell="A2" activePane="bottomLeft" state="frozen"/>
      <selection pane="bottomLeft"/>
    </sheetView>
  </sheetViews>
  <sheetFormatPr defaultRowHeight="15" x14ac:dyDescent="0.25"/>
  <cols>
    <col min="1" max="4" width="8" customWidth="1"/>
    <col min="5" max="5" width="16" customWidth="1"/>
  </cols>
  <sheetData>
    <row r="1" spans="1:5" x14ac:dyDescent="0.25">
      <c r="A1" s="5" t="s">
        <v>224</v>
      </c>
      <c r="B1" s="5" t="s">
        <v>229</v>
      </c>
      <c r="C1" s="5" t="s">
        <v>230</v>
      </c>
      <c r="D1" s="5" t="s">
        <v>225</v>
      </c>
      <c r="E1" s="5" t="s">
        <v>231</v>
      </c>
    </row>
    <row r="2" spans="1:5" x14ac:dyDescent="0.25">
      <c r="A2">
        <v>0</v>
      </c>
      <c r="B2">
        <v>0</v>
      </c>
      <c r="C2">
        <v>0</v>
      </c>
      <c r="D2">
        <v>2024</v>
      </c>
      <c r="E2">
        <v>336482168</v>
      </c>
    </row>
    <row r="3" spans="1:5" x14ac:dyDescent="0.25">
      <c r="A3">
        <v>0</v>
      </c>
      <c r="B3">
        <v>0</v>
      </c>
      <c r="C3">
        <v>0</v>
      </c>
      <c r="D3">
        <v>2025</v>
      </c>
      <c r="E3">
        <v>338016259</v>
      </c>
    </row>
    <row r="4" spans="1:5" x14ac:dyDescent="0.25">
      <c r="A4">
        <v>0</v>
      </c>
      <c r="B4">
        <v>0</v>
      </c>
      <c r="C4">
        <v>0</v>
      </c>
      <c r="D4">
        <v>2026</v>
      </c>
      <c r="E4">
        <v>339513045</v>
      </c>
    </row>
    <row r="5" spans="1:5" x14ac:dyDescent="0.25">
      <c r="A5">
        <v>0</v>
      </c>
      <c r="B5">
        <v>0</v>
      </c>
      <c r="C5">
        <v>0</v>
      </c>
      <c r="D5">
        <v>2027</v>
      </c>
      <c r="E5">
        <v>340970496</v>
      </c>
    </row>
    <row r="6" spans="1:5" x14ac:dyDescent="0.25">
      <c r="A6">
        <v>0</v>
      </c>
      <c r="B6">
        <v>0</v>
      </c>
      <c r="C6">
        <v>0</v>
      </c>
      <c r="D6">
        <v>2028</v>
      </c>
      <c r="E6">
        <v>342384777</v>
      </c>
    </row>
    <row r="7" spans="1:5" x14ac:dyDescent="0.25">
      <c r="A7">
        <v>0</v>
      </c>
      <c r="B7">
        <v>0</v>
      </c>
      <c r="C7">
        <v>0</v>
      </c>
      <c r="D7">
        <v>2029</v>
      </c>
      <c r="E7">
        <v>343753791</v>
      </c>
    </row>
    <row r="8" spans="1:5" x14ac:dyDescent="0.25">
      <c r="A8">
        <v>0</v>
      </c>
      <c r="B8">
        <v>0</v>
      </c>
      <c r="C8">
        <v>0</v>
      </c>
      <c r="D8">
        <v>2030</v>
      </c>
      <c r="E8">
        <v>345073565</v>
      </c>
    </row>
    <row r="9" spans="1:5" x14ac:dyDescent="0.25">
      <c r="A9">
        <v>0</v>
      </c>
      <c r="B9">
        <v>0</v>
      </c>
      <c r="C9">
        <v>0</v>
      </c>
      <c r="D9">
        <v>2031</v>
      </c>
      <c r="E9">
        <v>346339264</v>
      </c>
    </row>
    <row r="10" spans="1:5" x14ac:dyDescent="0.25">
      <c r="A10">
        <v>0</v>
      </c>
      <c r="B10">
        <v>0</v>
      </c>
      <c r="C10">
        <v>0</v>
      </c>
      <c r="D10">
        <v>2032</v>
      </c>
      <c r="E10">
        <v>347545098</v>
      </c>
    </row>
    <row r="11" spans="1:5" x14ac:dyDescent="0.25">
      <c r="A11">
        <v>0</v>
      </c>
      <c r="B11">
        <v>0</v>
      </c>
      <c r="C11">
        <v>0</v>
      </c>
      <c r="D11">
        <v>2033</v>
      </c>
      <c r="E11">
        <v>348701812</v>
      </c>
    </row>
    <row r="12" spans="1:5" x14ac:dyDescent="0.25">
      <c r="A12">
        <v>0</v>
      </c>
      <c r="B12">
        <v>0</v>
      </c>
      <c r="C12">
        <v>0</v>
      </c>
      <c r="D12">
        <v>2034</v>
      </c>
      <c r="E12">
        <v>349807647</v>
      </c>
    </row>
    <row r="13" spans="1:5" x14ac:dyDescent="0.25">
      <c r="A13">
        <v>0</v>
      </c>
      <c r="B13">
        <v>0</v>
      </c>
      <c r="C13">
        <v>0</v>
      </c>
      <c r="D13">
        <v>2035</v>
      </c>
      <c r="E13">
        <v>350861084</v>
      </c>
    </row>
    <row r="14" spans="1:5" x14ac:dyDescent="0.25">
      <c r="A14">
        <v>0</v>
      </c>
      <c r="B14">
        <v>0</v>
      </c>
      <c r="C14">
        <v>0</v>
      </c>
      <c r="D14">
        <v>2036</v>
      </c>
      <c r="E14">
        <v>351860944</v>
      </c>
    </row>
    <row r="15" spans="1:5" x14ac:dyDescent="0.25">
      <c r="A15">
        <v>0</v>
      </c>
      <c r="B15">
        <v>0</v>
      </c>
      <c r="C15">
        <v>0</v>
      </c>
      <c r="D15">
        <v>2037</v>
      </c>
      <c r="E15">
        <v>352806047</v>
      </c>
    </row>
    <row r="16" spans="1:5" x14ac:dyDescent="0.25">
      <c r="A16">
        <v>0</v>
      </c>
      <c r="B16">
        <v>0</v>
      </c>
      <c r="C16">
        <v>0</v>
      </c>
      <c r="D16">
        <v>2038</v>
      </c>
      <c r="E16">
        <v>353695674</v>
      </c>
    </row>
    <row r="17" spans="1:5" x14ac:dyDescent="0.25">
      <c r="A17">
        <v>0</v>
      </c>
      <c r="B17">
        <v>0</v>
      </c>
      <c r="C17">
        <v>0</v>
      </c>
      <c r="D17">
        <v>2039</v>
      </c>
      <c r="E17">
        <v>354529853</v>
      </c>
    </row>
    <row r="18" spans="1:5" x14ac:dyDescent="0.25">
      <c r="A18">
        <v>0</v>
      </c>
      <c r="B18">
        <v>0</v>
      </c>
      <c r="C18">
        <v>0</v>
      </c>
      <c r="D18">
        <v>2040</v>
      </c>
      <c r="E18">
        <v>355309062</v>
      </c>
    </row>
    <row r="19" spans="1:5" x14ac:dyDescent="0.25">
      <c r="A19">
        <v>0</v>
      </c>
      <c r="B19">
        <v>0</v>
      </c>
      <c r="C19">
        <v>0</v>
      </c>
      <c r="D19">
        <v>2041</v>
      </c>
      <c r="E19">
        <v>356033543</v>
      </c>
    </row>
    <row r="20" spans="1:5" x14ac:dyDescent="0.25">
      <c r="A20">
        <v>0</v>
      </c>
      <c r="B20">
        <v>0</v>
      </c>
      <c r="C20">
        <v>0</v>
      </c>
      <c r="D20">
        <v>2042</v>
      </c>
      <c r="E20">
        <v>356705435</v>
      </c>
    </row>
    <row r="21" spans="1:5" x14ac:dyDescent="0.25">
      <c r="A21">
        <v>0</v>
      </c>
      <c r="B21">
        <v>0</v>
      </c>
      <c r="C21">
        <v>0</v>
      </c>
      <c r="D21">
        <v>2043</v>
      </c>
      <c r="E21">
        <v>357327409</v>
      </c>
    </row>
    <row r="22" spans="1:5" x14ac:dyDescent="0.25">
      <c r="A22">
        <v>0</v>
      </c>
      <c r="B22">
        <v>0</v>
      </c>
      <c r="C22">
        <v>0</v>
      </c>
      <c r="D22">
        <v>2044</v>
      </c>
      <c r="E22">
        <v>357903394</v>
      </c>
    </row>
    <row r="23" spans="1:5" x14ac:dyDescent="0.25">
      <c r="A23">
        <v>0</v>
      </c>
      <c r="B23">
        <v>0</v>
      </c>
      <c r="C23">
        <v>0</v>
      </c>
      <c r="D23">
        <v>2045</v>
      </c>
      <c r="E23">
        <v>358437973</v>
      </c>
    </row>
    <row r="24" spans="1:5" x14ac:dyDescent="0.25">
      <c r="A24">
        <v>0</v>
      </c>
      <c r="B24">
        <v>0</v>
      </c>
      <c r="C24">
        <v>0</v>
      </c>
      <c r="D24">
        <v>2046</v>
      </c>
      <c r="E24">
        <v>358935938</v>
      </c>
    </row>
    <row r="25" spans="1:5" x14ac:dyDescent="0.25">
      <c r="A25">
        <v>0</v>
      </c>
      <c r="B25">
        <v>0</v>
      </c>
      <c r="C25">
        <v>0</v>
      </c>
      <c r="D25">
        <v>2047</v>
      </c>
      <c r="E25">
        <v>359400325</v>
      </c>
    </row>
    <row r="26" spans="1:5" x14ac:dyDescent="0.25">
      <c r="A26">
        <v>0</v>
      </c>
      <c r="B26">
        <v>0</v>
      </c>
      <c r="C26">
        <v>0</v>
      </c>
      <c r="D26">
        <v>2048</v>
      </c>
      <c r="E26">
        <v>359835763</v>
      </c>
    </row>
    <row r="27" spans="1:5" x14ac:dyDescent="0.25">
      <c r="A27">
        <v>0</v>
      </c>
      <c r="B27">
        <v>0</v>
      </c>
      <c r="C27">
        <v>0</v>
      </c>
      <c r="D27">
        <v>2049</v>
      </c>
      <c r="E27">
        <v>360246998</v>
      </c>
    </row>
    <row r="28" spans="1:5" x14ac:dyDescent="0.25">
      <c r="A28">
        <v>0</v>
      </c>
      <c r="B28">
        <v>0</v>
      </c>
      <c r="C28">
        <v>0</v>
      </c>
      <c r="D28">
        <v>2050</v>
      </c>
      <c r="E28">
        <v>360638734</v>
      </c>
    </row>
    <row r="29" spans="1:5" x14ac:dyDescent="0.25">
      <c r="A29">
        <v>0</v>
      </c>
      <c r="B29">
        <v>0</v>
      </c>
      <c r="C29">
        <v>1</v>
      </c>
      <c r="D29">
        <v>2024</v>
      </c>
      <c r="E29">
        <v>252856984</v>
      </c>
    </row>
    <row r="30" spans="1:5" x14ac:dyDescent="0.25">
      <c r="A30">
        <v>0</v>
      </c>
      <c r="B30">
        <v>0</v>
      </c>
      <c r="C30">
        <v>1</v>
      </c>
      <c r="D30">
        <v>2025</v>
      </c>
      <c r="E30">
        <v>253416218</v>
      </c>
    </row>
    <row r="31" spans="1:5" x14ac:dyDescent="0.25">
      <c r="A31">
        <v>0</v>
      </c>
      <c r="B31">
        <v>0</v>
      </c>
      <c r="C31">
        <v>1</v>
      </c>
      <c r="D31">
        <v>2026</v>
      </c>
      <c r="E31">
        <v>253933926</v>
      </c>
    </row>
    <row r="32" spans="1:5" x14ac:dyDescent="0.25">
      <c r="A32">
        <v>0</v>
      </c>
      <c r="B32">
        <v>0</v>
      </c>
      <c r="C32">
        <v>1</v>
      </c>
      <c r="D32">
        <v>2027</v>
      </c>
      <c r="E32">
        <v>254409688</v>
      </c>
    </row>
    <row r="33" spans="1:5" x14ac:dyDescent="0.25">
      <c r="A33">
        <v>0</v>
      </c>
      <c r="B33">
        <v>0</v>
      </c>
      <c r="C33">
        <v>1</v>
      </c>
      <c r="D33">
        <v>2028</v>
      </c>
      <c r="E33">
        <v>254841915</v>
      </c>
    </row>
    <row r="34" spans="1:5" x14ac:dyDescent="0.25">
      <c r="A34">
        <v>0</v>
      </c>
      <c r="B34">
        <v>0</v>
      </c>
      <c r="C34">
        <v>1</v>
      </c>
      <c r="D34">
        <v>2029</v>
      </c>
      <c r="E34">
        <v>255229147</v>
      </c>
    </row>
    <row r="35" spans="1:5" x14ac:dyDescent="0.25">
      <c r="A35">
        <v>0</v>
      </c>
      <c r="B35">
        <v>0</v>
      </c>
      <c r="C35">
        <v>1</v>
      </c>
      <c r="D35">
        <v>2030</v>
      </c>
      <c r="E35">
        <v>255570285</v>
      </c>
    </row>
    <row r="36" spans="1:5" x14ac:dyDescent="0.25">
      <c r="A36">
        <v>0</v>
      </c>
      <c r="B36">
        <v>0</v>
      </c>
      <c r="C36">
        <v>1</v>
      </c>
      <c r="D36">
        <v>2031</v>
      </c>
      <c r="E36">
        <v>255863770</v>
      </c>
    </row>
    <row r="37" spans="1:5" x14ac:dyDescent="0.25">
      <c r="A37">
        <v>0</v>
      </c>
      <c r="B37">
        <v>0</v>
      </c>
      <c r="C37">
        <v>1</v>
      </c>
      <c r="D37">
        <v>2032</v>
      </c>
      <c r="E37">
        <v>256107021</v>
      </c>
    </row>
    <row r="38" spans="1:5" x14ac:dyDescent="0.25">
      <c r="A38">
        <v>0</v>
      </c>
      <c r="B38">
        <v>0</v>
      </c>
      <c r="C38">
        <v>1</v>
      </c>
      <c r="D38">
        <v>2033</v>
      </c>
      <c r="E38">
        <v>256302928</v>
      </c>
    </row>
    <row r="39" spans="1:5" x14ac:dyDescent="0.25">
      <c r="A39">
        <v>0</v>
      </c>
      <c r="B39">
        <v>0</v>
      </c>
      <c r="C39">
        <v>1</v>
      </c>
      <c r="D39">
        <v>2034</v>
      </c>
      <c r="E39">
        <v>256450233</v>
      </c>
    </row>
    <row r="40" spans="1:5" x14ac:dyDescent="0.25">
      <c r="A40">
        <v>0</v>
      </c>
      <c r="B40">
        <v>0</v>
      </c>
      <c r="C40">
        <v>1</v>
      </c>
      <c r="D40">
        <v>2035</v>
      </c>
      <c r="E40">
        <v>256547871</v>
      </c>
    </row>
    <row r="41" spans="1:5" x14ac:dyDescent="0.25">
      <c r="A41">
        <v>0</v>
      </c>
      <c r="B41">
        <v>0</v>
      </c>
      <c r="C41">
        <v>1</v>
      </c>
      <c r="D41">
        <v>2036</v>
      </c>
      <c r="E41">
        <v>256595105</v>
      </c>
    </row>
    <row r="42" spans="1:5" x14ac:dyDescent="0.25">
      <c r="A42">
        <v>0</v>
      </c>
      <c r="B42">
        <v>0</v>
      </c>
      <c r="C42">
        <v>1</v>
      </c>
      <c r="D42">
        <v>2037</v>
      </c>
      <c r="E42">
        <v>256591243</v>
      </c>
    </row>
    <row r="43" spans="1:5" x14ac:dyDescent="0.25">
      <c r="A43">
        <v>0</v>
      </c>
      <c r="B43">
        <v>0</v>
      </c>
      <c r="C43">
        <v>1</v>
      </c>
      <c r="D43">
        <v>2038</v>
      </c>
      <c r="E43">
        <v>256536108</v>
      </c>
    </row>
    <row r="44" spans="1:5" x14ac:dyDescent="0.25">
      <c r="A44">
        <v>0</v>
      </c>
      <c r="B44">
        <v>0</v>
      </c>
      <c r="C44">
        <v>1</v>
      </c>
      <c r="D44">
        <v>2039</v>
      </c>
      <c r="E44">
        <v>256430084</v>
      </c>
    </row>
    <row r="45" spans="1:5" x14ac:dyDescent="0.25">
      <c r="A45">
        <v>0</v>
      </c>
      <c r="B45">
        <v>0</v>
      </c>
      <c r="C45">
        <v>1</v>
      </c>
      <c r="D45">
        <v>2040</v>
      </c>
      <c r="E45">
        <v>256274058</v>
      </c>
    </row>
    <row r="46" spans="1:5" x14ac:dyDescent="0.25">
      <c r="A46">
        <v>0</v>
      </c>
      <c r="B46">
        <v>0</v>
      </c>
      <c r="C46">
        <v>1</v>
      </c>
      <c r="D46">
        <v>2041</v>
      </c>
      <c r="E46">
        <v>256068760</v>
      </c>
    </row>
    <row r="47" spans="1:5" x14ac:dyDescent="0.25">
      <c r="A47">
        <v>0</v>
      </c>
      <c r="B47">
        <v>0</v>
      </c>
      <c r="C47">
        <v>1</v>
      </c>
      <c r="D47">
        <v>2042</v>
      </c>
      <c r="E47">
        <v>255816528</v>
      </c>
    </row>
    <row r="48" spans="1:5" x14ac:dyDescent="0.25">
      <c r="A48">
        <v>0</v>
      </c>
      <c r="B48">
        <v>0</v>
      </c>
      <c r="C48">
        <v>1</v>
      </c>
      <c r="D48">
        <v>2043</v>
      </c>
      <c r="E48">
        <v>255520114</v>
      </c>
    </row>
    <row r="49" spans="1:5" x14ac:dyDescent="0.25">
      <c r="A49">
        <v>0</v>
      </c>
      <c r="B49">
        <v>0</v>
      </c>
      <c r="C49">
        <v>1</v>
      </c>
      <c r="D49">
        <v>2044</v>
      </c>
      <c r="E49">
        <v>255183346</v>
      </c>
    </row>
    <row r="50" spans="1:5" x14ac:dyDescent="0.25">
      <c r="A50">
        <v>0</v>
      </c>
      <c r="B50">
        <v>0</v>
      </c>
      <c r="C50">
        <v>1</v>
      </c>
      <c r="D50">
        <v>2045</v>
      </c>
      <c r="E50">
        <v>254810589</v>
      </c>
    </row>
    <row r="51" spans="1:5" x14ac:dyDescent="0.25">
      <c r="A51">
        <v>0</v>
      </c>
      <c r="B51">
        <v>0</v>
      </c>
      <c r="C51">
        <v>1</v>
      </c>
      <c r="D51">
        <v>2046</v>
      </c>
      <c r="E51">
        <v>254406299</v>
      </c>
    </row>
    <row r="52" spans="1:5" x14ac:dyDescent="0.25">
      <c r="A52">
        <v>0</v>
      </c>
      <c r="B52">
        <v>0</v>
      </c>
      <c r="C52">
        <v>1</v>
      </c>
      <c r="D52">
        <v>2047</v>
      </c>
      <c r="E52">
        <v>253973292</v>
      </c>
    </row>
    <row r="53" spans="1:5" x14ac:dyDescent="0.25">
      <c r="A53">
        <v>0</v>
      </c>
      <c r="B53">
        <v>0</v>
      </c>
      <c r="C53">
        <v>1</v>
      </c>
      <c r="D53">
        <v>2048</v>
      </c>
      <c r="E53">
        <v>253515906</v>
      </c>
    </row>
    <row r="54" spans="1:5" x14ac:dyDescent="0.25">
      <c r="A54">
        <v>0</v>
      </c>
      <c r="B54">
        <v>0</v>
      </c>
      <c r="C54">
        <v>1</v>
      </c>
      <c r="D54">
        <v>2049</v>
      </c>
      <c r="E54">
        <v>253038603</v>
      </c>
    </row>
    <row r="55" spans="1:5" x14ac:dyDescent="0.25">
      <c r="A55">
        <v>0</v>
      </c>
      <c r="B55">
        <v>0</v>
      </c>
      <c r="C55">
        <v>1</v>
      </c>
      <c r="D55">
        <v>2050</v>
      </c>
      <c r="E55">
        <v>252545722</v>
      </c>
    </row>
    <row r="56" spans="1:5" x14ac:dyDescent="0.25">
      <c r="A56">
        <v>0</v>
      </c>
      <c r="B56">
        <v>0</v>
      </c>
      <c r="C56">
        <v>2</v>
      </c>
      <c r="D56">
        <v>2024</v>
      </c>
      <c r="E56">
        <v>45967323</v>
      </c>
    </row>
    <row r="57" spans="1:5" x14ac:dyDescent="0.25">
      <c r="A57">
        <v>0</v>
      </c>
      <c r="B57">
        <v>0</v>
      </c>
      <c r="C57">
        <v>2</v>
      </c>
      <c r="D57">
        <v>2025</v>
      </c>
      <c r="E57">
        <v>46248484</v>
      </c>
    </row>
    <row r="58" spans="1:5" x14ac:dyDescent="0.25">
      <c r="A58">
        <v>0</v>
      </c>
      <c r="B58">
        <v>0</v>
      </c>
      <c r="C58">
        <v>2</v>
      </c>
      <c r="D58">
        <v>2026</v>
      </c>
      <c r="E58">
        <v>46528381</v>
      </c>
    </row>
    <row r="59" spans="1:5" x14ac:dyDescent="0.25">
      <c r="A59">
        <v>0</v>
      </c>
      <c r="B59">
        <v>0</v>
      </c>
      <c r="C59">
        <v>2</v>
      </c>
      <c r="D59">
        <v>2027</v>
      </c>
      <c r="E59">
        <v>46806739</v>
      </c>
    </row>
    <row r="60" spans="1:5" x14ac:dyDescent="0.25">
      <c r="A60">
        <v>0</v>
      </c>
      <c r="B60">
        <v>0</v>
      </c>
      <c r="C60">
        <v>2</v>
      </c>
      <c r="D60">
        <v>2028</v>
      </c>
      <c r="E60">
        <v>47082378</v>
      </c>
    </row>
    <row r="61" spans="1:5" x14ac:dyDescent="0.25">
      <c r="A61">
        <v>0</v>
      </c>
      <c r="B61">
        <v>0</v>
      </c>
      <c r="C61">
        <v>2</v>
      </c>
      <c r="D61">
        <v>2029</v>
      </c>
      <c r="E61">
        <v>47354458</v>
      </c>
    </row>
    <row r="62" spans="1:5" x14ac:dyDescent="0.25">
      <c r="A62">
        <v>0</v>
      </c>
      <c r="B62">
        <v>0</v>
      </c>
      <c r="C62">
        <v>2</v>
      </c>
      <c r="D62">
        <v>2030</v>
      </c>
      <c r="E62">
        <v>47621877</v>
      </c>
    </row>
    <row r="63" spans="1:5" x14ac:dyDescent="0.25">
      <c r="A63">
        <v>0</v>
      </c>
      <c r="B63">
        <v>0</v>
      </c>
      <c r="C63">
        <v>2</v>
      </c>
      <c r="D63">
        <v>2031</v>
      </c>
      <c r="E63">
        <v>47883837</v>
      </c>
    </row>
    <row r="64" spans="1:5" x14ac:dyDescent="0.25">
      <c r="A64">
        <v>0</v>
      </c>
      <c r="B64">
        <v>0</v>
      </c>
      <c r="C64">
        <v>2</v>
      </c>
      <c r="D64">
        <v>2032</v>
      </c>
      <c r="E64">
        <v>48139540</v>
      </c>
    </row>
    <row r="65" spans="1:5" x14ac:dyDescent="0.25">
      <c r="A65">
        <v>0</v>
      </c>
      <c r="B65">
        <v>0</v>
      </c>
      <c r="C65">
        <v>2</v>
      </c>
      <c r="D65">
        <v>2033</v>
      </c>
      <c r="E65">
        <v>48390955</v>
      </c>
    </row>
    <row r="66" spans="1:5" x14ac:dyDescent="0.25">
      <c r="A66">
        <v>0</v>
      </c>
      <c r="B66">
        <v>0</v>
      </c>
      <c r="C66">
        <v>2</v>
      </c>
      <c r="D66">
        <v>2034</v>
      </c>
      <c r="E66">
        <v>48638021</v>
      </c>
    </row>
    <row r="67" spans="1:5" x14ac:dyDescent="0.25">
      <c r="A67">
        <v>0</v>
      </c>
      <c r="B67">
        <v>0</v>
      </c>
      <c r="C67">
        <v>2</v>
      </c>
      <c r="D67">
        <v>2035</v>
      </c>
      <c r="E67">
        <v>48880808</v>
      </c>
    </row>
    <row r="68" spans="1:5" x14ac:dyDescent="0.25">
      <c r="A68">
        <v>0</v>
      </c>
      <c r="B68">
        <v>0</v>
      </c>
      <c r="C68">
        <v>2</v>
      </c>
      <c r="D68">
        <v>2036</v>
      </c>
      <c r="E68">
        <v>49119342</v>
      </c>
    </row>
    <row r="69" spans="1:5" x14ac:dyDescent="0.25">
      <c r="A69">
        <v>0</v>
      </c>
      <c r="B69">
        <v>0</v>
      </c>
      <c r="C69">
        <v>2</v>
      </c>
      <c r="D69">
        <v>2037</v>
      </c>
      <c r="E69">
        <v>49353700</v>
      </c>
    </row>
    <row r="70" spans="1:5" x14ac:dyDescent="0.25">
      <c r="A70">
        <v>0</v>
      </c>
      <c r="B70">
        <v>0</v>
      </c>
      <c r="C70">
        <v>2</v>
      </c>
      <c r="D70">
        <v>2038</v>
      </c>
      <c r="E70">
        <v>49583963</v>
      </c>
    </row>
    <row r="71" spans="1:5" x14ac:dyDescent="0.25">
      <c r="A71">
        <v>0</v>
      </c>
      <c r="B71">
        <v>0</v>
      </c>
      <c r="C71">
        <v>2</v>
      </c>
      <c r="D71">
        <v>2039</v>
      </c>
      <c r="E71">
        <v>49810176</v>
      </c>
    </row>
    <row r="72" spans="1:5" x14ac:dyDescent="0.25">
      <c r="A72">
        <v>0</v>
      </c>
      <c r="B72">
        <v>0</v>
      </c>
      <c r="C72">
        <v>2</v>
      </c>
      <c r="D72">
        <v>2040</v>
      </c>
      <c r="E72">
        <v>50032446</v>
      </c>
    </row>
    <row r="73" spans="1:5" x14ac:dyDescent="0.25">
      <c r="A73">
        <v>0</v>
      </c>
      <c r="B73">
        <v>0</v>
      </c>
      <c r="C73">
        <v>2</v>
      </c>
      <c r="D73">
        <v>2041</v>
      </c>
      <c r="E73">
        <v>50250826</v>
      </c>
    </row>
    <row r="74" spans="1:5" x14ac:dyDescent="0.25">
      <c r="A74">
        <v>0</v>
      </c>
      <c r="B74">
        <v>0</v>
      </c>
      <c r="C74">
        <v>2</v>
      </c>
      <c r="D74">
        <v>2042</v>
      </c>
      <c r="E74">
        <v>50465330</v>
      </c>
    </row>
    <row r="75" spans="1:5" x14ac:dyDescent="0.25">
      <c r="A75">
        <v>0</v>
      </c>
      <c r="B75">
        <v>0</v>
      </c>
      <c r="C75">
        <v>2</v>
      </c>
      <c r="D75">
        <v>2043</v>
      </c>
      <c r="E75">
        <v>50675973</v>
      </c>
    </row>
    <row r="76" spans="1:5" x14ac:dyDescent="0.25">
      <c r="A76">
        <v>0</v>
      </c>
      <c r="B76">
        <v>0</v>
      </c>
      <c r="C76">
        <v>2</v>
      </c>
      <c r="D76">
        <v>2044</v>
      </c>
      <c r="E76">
        <v>50882935</v>
      </c>
    </row>
    <row r="77" spans="1:5" x14ac:dyDescent="0.25">
      <c r="A77">
        <v>0</v>
      </c>
      <c r="B77">
        <v>0</v>
      </c>
      <c r="C77">
        <v>2</v>
      </c>
      <c r="D77">
        <v>2045</v>
      </c>
      <c r="E77">
        <v>51086543</v>
      </c>
    </row>
    <row r="78" spans="1:5" x14ac:dyDescent="0.25">
      <c r="A78">
        <v>0</v>
      </c>
      <c r="B78">
        <v>0</v>
      </c>
      <c r="C78">
        <v>2</v>
      </c>
      <c r="D78">
        <v>2046</v>
      </c>
      <c r="E78">
        <v>51287223</v>
      </c>
    </row>
    <row r="79" spans="1:5" x14ac:dyDescent="0.25">
      <c r="A79">
        <v>0</v>
      </c>
      <c r="B79">
        <v>0</v>
      </c>
      <c r="C79">
        <v>2</v>
      </c>
      <c r="D79">
        <v>2047</v>
      </c>
      <c r="E79">
        <v>51485281</v>
      </c>
    </row>
    <row r="80" spans="1:5" x14ac:dyDescent="0.25">
      <c r="A80">
        <v>0</v>
      </c>
      <c r="B80">
        <v>0</v>
      </c>
      <c r="C80">
        <v>2</v>
      </c>
      <c r="D80">
        <v>2048</v>
      </c>
      <c r="E80">
        <v>51681098</v>
      </c>
    </row>
    <row r="81" spans="1:5" x14ac:dyDescent="0.25">
      <c r="A81">
        <v>0</v>
      </c>
      <c r="B81">
        <v>0</v>
      </c>
      <c r="C81">
        <v>2</v>
      </c>
      <c r="D81">
        <v>2049</v>
      </c>
      <c r="E81">
        <v>51875060</v>
      </c>
    </row>
    <row r="82" spans="1:5" x14ac:dyDescent="0.25">
      <c r="A82">
        <v>0</v>
      </c>
      <c r="B82">
        <v>0</v>
      </c>
      <c r="C82">
        <v>2</v>
      </c>
      <c r="D82">
        <v>2050</v>
      </c>
      <c r="E82">
        <v>52067689</v>
      </c>
    </row>
    <row r="83" spans="1:5" x14ac:dyDescent="0.25">
      <c r="A83">
        <v>0</v>
      </c>
      <c r="B83">
        <v>0</v>
      </c>
      <c r="C83">
        <v>3</v>
      </c>
      <c r="D83">
        <v>2024</v>
      </c>
      <c r="E83">
        <v>4436982</v>
      </c>
    </row>
    <row r="84" spans="1:5" x14ac:dyDescent="0.25">
      <c r="A84">
        <v>0</v>
      </c>
      <c r="B84">
        <v>0</v>
      </c>
      <c r="C84">
        <v>3</v>
      </c>
      <c r="D84">
        <v>2025</v>
      </c>
      <c r="E84">
        <v>4463914</v>
      </c>
    </row>
    <row r="85" spans="1:5" x14ac:dyDescent="0.25">
      <c r="A85">
        <v>0</v>
      </c>
      <c r="B85">
        <v>0</v>
      </c>
      <c r="C85">
        <v>3</v>
      </c>
      <c r="D85">
        <v>2026</v>
      </c>
      <c r="E85">
        <v>4490541</v>
      </c>
    </row>
    <row r="86" spans="1:5" x14ac:dyDescent="0.25">
      <c r="A86">
        <v>0</v>
      </c>
      <c r="B86">
        <v>0</v>
      </c>
      <c r="C86">
        <v>3</v>
      </c>
      <c r="D86">
        <v>2027</v>
      </c>
      <c r="E86">
        <v>4516861</v>
      </c>
    </row>
    <row r="87" spans="1:5" x14ac:dyDescent="0.25">
      <c r="A87">
        <v>0</v>
      </c>
      <c r="B87">
        <v>0</v>
      </c>
      <c r="C87">
        <v>3</v>
      </c>
      <c r="D87">
        <v>2028</v>
      </c>
      <c r="E87">
        <v>4542844</v>
      </c>
    </row>
    <row r="88" spans="1:5" x14ac:dyDescent="0.25">
      <c r="A88">
        <v>0</v>
      </c>
      <c r="B88">
        <v>0</v>
      </c>
      <c r="C88">
        <v>3</v>
      </c>
      <c r="D88">
        <v>2029</v>
      </c>
      <c r="E88">
        <v>4568376</v>
      </c>
    </row>
    <row r="89" spans="1:5" x14ac:dyDescent="0.25">
      <c r="A89">
        <v>0</v>
      </c>
      <c r="B89">
        <v>0</v>
      </c>
      <c r="C89">
        <v>3</v>
      </c>
      <c r="D89">
        <v>2030</v>
      </c>
      <c r="E89">
        <v>4593473</v>
      </c>
    </row>
    <row r="90" spans="1:5" x14ac:dyDescent="0.25">
      <c r="A90">
        <v>0</v>
      </c>
      <c r="B90">
        <v>0</v>
      </c>
      <c r="C90">
        <v>3</v>
      </c>
      <c r="D90">
        <v>2031</v>
      </c>
      <c r="E90">
        <v>4618181</v>
      </c>
    </row>
    <row r="91" spans="1:5" x14ac:dyDescent="0.25">
      <c r="A91">
        <v>0</v>
      </c>
      <c r="B91">
        <v>0</v>
      </c>
      <c r="C91">
        <v>3</v>
      </c>
      <c r="D91">
        <v>2032</v>
      </c>
      <c r="E91">
        <v>4642447</v>
      </c>
    </row>
    <row r="92" spans="1:5" x14ac:dyDescent="0.25">
      <c r="A92">
        <v>0</v>
      </c>
      <c r="B92">
        <v>0</v>
      </c>
      <c r="C92">
        <v>3</v>
      </c>
      <c r="D92">
        <v>2033</v>
      </c>
      <c r="E92">
        <v>4666284</v>
      </c>
    </row>
    <row r="93" spans="1:5" x14ac:dyDescent="0.25">
      <c r="A93">
        <v>0</v>
      </c>
      <c r="B93">
        <v>0</v>
      </c>
      <c r="C93">
        <v>3</v>
      </c>
      <c r="D93">
        <v>2034</v>
      </c>
      <c r="E93">
        <v>4689711</v>
      </c>
    </row>
    <row r="94" spans="1:5" x14ac:dyDescent="0.25">
      <c r="A94">
        <v>0</v>
      </c>
      <c r="B94">
        <v>0</v>
      </c>
      <c r="C94">
        <v>3</v>
      </c>
      <c r="D94">
        <v>2035</v>
      </c>
      <c r="E94">
        <v>4712685</v>
      </c>
    </row>
    <row r="95" spans="1:5" x14ac:dyDescent="0.25">
      <c r="A95">
        <v>0</v>
      </c>
      <c r="B95">
        <v>0</v>
      </c>
      <c r="C95">
        <v>3</v>
      </c>
      <c r="D95">
        <v>2036</v>
      </c>
      <c r="E95">
        <v>4735166</v>
      </c>
    </row>
    <row r="96" spans="1:5" x14ac:dyDescent="0.25">
      <c r="A96">
        <v>0</v>
      </c>
      <c r="B96">
        <v>0</v>
      </c>
      <c r="C96">
        <v>3</v>
      </c>
      <c r="D96">
        <v>2037</v>
      </c>
      <c r="E96">
        <v>4757168</v>
      </c>
    </row>
    <row r="97" spans="1:5" x14ac:dyDescent="0.25">
      <c r="A97">
        <v>0</v>
      </c>
      <c r="B97">
        <v>0</v>
      </c>
      <c r="C97">
        <v>3</v>
      </c>
      <c r="D97">
        <v>2038</v>
      </c>
      <c r="E97">
        <v>4778680</v>
      </c>
    </row>
    <row r="98" spans="1:5" x14ac:dyDescent="0.25">
      <c r="A98">
        <v>0</v>
      </c>
      <c r="B98">
        <v>0</v>
      </c>
      <c r="C98">
        <v>3</v>
      </c>
      <c r="D98">
        <v>2039</v>
      </c>
      <c r="E98">
        <v>4799647</v>
      </c>
    </row>
    <row r="99" spans="1:5" x14ac:dyDescent="0.25">
      <c r="A99">
        <v>0</v>
      </c>
      <c r="B99">
        <v>0</v>
      </c>
      <c r="C99">
        <v>3</v>
      </c>
      <c r="D99">
        <v>2040</v>
      </c>
      <c r="E99">
        <v>4820052</v>
      </c>
    </row>
    <row r="100" spans="1:5" x14ac:dyDescent="0.25">
      <c r="A100">
        <v>0</v>
      </c>
      <c r="B100">
        <v>0</v>
      </c>
      <c r="C100">
        <v>3</v>
      </c>
      <c r="D100">
        <v>2041</v>
      </c>
      <c r="E100">
        <v>4839755</v>
      </c>
    </row>
    <row r="101" spans="1:5" x14ac:dyDescent="0.25">
      <c r="A101">
        <v>0</v>
      </c>
      <c r="B101">
        <v>0</v>
      </c>
      <c r="C101">
        <v>3</v>
      </c>
      <c r="D101">
        <v>2042</v>
      </c>
      <c r="E101">
        <v>4858739</v>
      </c>
    </row>
    <row r="102" spans="1:5" x14ac:dyDescent="0.25">
      <c r="A102">
        <v>0</v>
      </c>
      <c r="B102">
        <v>0</v>
      </c>
      <c r="C102">
        <v>3</v>
      </c>
      <c r="D102">
        <v>2043</v>
      </c>
      <c r="E102">
        <v>4876890</v>
      </c>
    </row>
    <row r="103" spans="1:5" x14ac:dyDescent="0.25">
      <c r="A103">
        <v>0</v>
      </c>
      <c r="B103">
        <v>0</v>
      </c>
      <c r="C103">
        <v>3</v>
      </c>
      <c r="D103">
        <v>2044</v>
      </c>
      <c r="E103">
        <v>4894172</v>
      </c>
    </row>
    <row r="104" spans="1:5" x14ac:dyDescent="0.25">
      <c r="A104">
        <v>0</v>
      </c>
      <c r="B104">
        <v>0</v>
      </c>
      <c r="C104">
        <v>3</v>
      </c>
      <c r="D104">
        <v>2045</v>
      </c>
      <c r="E104">
        <v>4910568</v>
      </c>
    </row>
    <row r="105" spans="1:5" x14ac:dyDescent="0.25">
      <c r="A105">
        <v>0</v>
      </c>
      <c r="B105">
        <v>0</v>
      </c>
      <c r="C105">
        <v>3</v>
      </c>
      <c r="D105">
        <v>2046</v>
      </c>
      <c r="E105">
        <v>4926048</v>
      </c>
    </row>
    <row r="106" spans="1:5" x14ac:dyDescent="0.25">
      <c r="A106">
        <v>0</v>
      </c>
      <c r="B106">
        <v>0</v>
      </c>
      <c r="C106">
        <v>3</v>
      </c>
      <c r="D106">
        <v>2047</v>
      </c>
      <c r="E106">
        <v>4940619</v>
      </c>
    </row>
    <row r="107" spans="1:5" x14ac:dyDescent="0.25">
      <c r="A107">
        <v>0</v>
      </c>
      <c r="B107">
        <v>0</v>
      </c>
      <c r="C107">
        <v>3</v>
      </c>
      <c r="D107">
        <v>2048</v>
      </c>
      <c r="E107">
        <v>4954256</v>
      </c>
    </row>
    <row r="108" spans="1:5" x14ac:dyDescent="0.25">
      <c r="A108">
        <v>0</v>
      </c>
      <c r="B108">
        <v>0</v>
      </c>
      <c r="C108">
        <v>3</v>
      </c>
      <c r="D108">
        <v>2049</v>
      </c>
      <c r="E108">
        <v>4966952</v>
      </c>
    </row>
    <row r="109" spans="1:5" x14ac:dyDescent="0.25">
      <c r="A109">
        <v>0</v>
      </c>
      <c r="B109">
        <v>0</v>
      </c>
      <c r="C109">
        <v>3</v>
      </c>
      <c r="D109">
        <v>2050</v>
      </c>
      <c r="E109">
        <v>4978691</v>
      </c>
    </row>
    <row r="110" spans="1:5" x14ac:dyDescent="0.25">
      <c r="A110">
        <v>0</v>
      </c>
      <c r="B110">
        <v>0</v>
      </c>
      <c r="C110">
        <v>4</v>
      </c>
      <c r="D110">
        <v>2024</v>
      </c>
      <c r="E110">
        <v>21726868</v>
      </c>
    </row>
    <row r="111" spans="1:5" x14ac:dyDescent="0.25">
      <c r="A111">
        <v>0</v>
      </c>
      <c r="B111">
        <v>0</v>
      </c>
      <c r="C111">
        <v>4</v>
      </c>
      <c r="D111">
        <v>2025</v>
      </c>
      <c r="E111">
        <v>22114619</v>
      </c>
    </row>
    <row r="112" spans="1:5" x14ac:dyDescent="0.25">
      <c r="A112">
        <v>0</v>
      </c>
      <c r="B112">
        <v>0</v>
      </c>
      <c r="C112">
        <v>4</v>
      </c>
      <c r="D112">
        <v>2026</v>
      </c>
      <c r="E112">
        <v>22503421</v>
      </c>
    </row>
    <row r="113" spans="1:5" x14ac:dyDescent="0.25">
      <c r="A113">
        <v>0</v>
      </c>
      <c r="B113">
        <v>0</v>
      </c>
      <c r="C113">
        <v>4</v>
      </c>
      <c r="D113">
        <v>2027</v>
      </c>
      <c r="E113">
        <v>22892063</v>
      </c>
    </row>
    <row r="114" spans="1:5" x14ac:dyDescent="0.25">
      <c r="A114">
        <v>0</v>
      </c>
      <c r="B114">
        <v>0</v>
      </c>
      <c r="C114">
        <v>4</v>
      </c>
      <c r="D114">
        <v>2028</v>
      </c>
      <c r="E114">
        <v>23279536</v>
      </c>
    </row>
    <row r="115" spans="1:5" x14ac:dyDescent="0.25">
      <c r="A115">
        <v>0</v>
      </c>
      <c r="B115">
        <v>0</v>
      </c>
      <c r="C115">
        <v>4</v>
      </c>
      <c r="D115">
        <v>2029</v>
      </c>
      <c r="E115">
        <v>23666328</v>
      </c>
    </row>
    <row r="116" spans="1:5" x14ac:dyDescent="0.25">
      <c r="A116">
        <v>0</v>
      </c>
      <c r="B116">
        <v>0</v>
      </c>
      <c r="C116">
        <v>4</v>
      </c>
      <c r="D116">
        <v>2030</v>
      </c>
      <c r="E116">
        <v>24050721</v>
      </c>
    </row>
    <row r="117" spans="1:5" x14ac:dyDescent="0.25">
      <c r="A117">
        <v>0</v>
      </c>
      <c r="B117">
        <v>0</v>
      </c>
      <c r="C117">
        <v>4</v>
      </c>
      <c r="D117">
        <v>2031</v>
      </c>
      <c r="E117">
        <v>24430433</v>
      </c>
    </row>
    <row r="118" spans="1:5" x14ac:dyDescent="0.25">
      <c r="A118">
        <v>0</v>
      </c>
      <c r="B118">
        <v>0</v>
      </c>
      <c r="C118">
        <v>4</v>
      </c>
      <c r="D118">
        <v>2032</v>
      </c>
      <c r="E118">
        <v>24803337</v>
      </c>
    </row>
    <row r="119" spans="1:5" x14ac:dyDescent="0.25">
      <c r="A119">
        <v>0</v>
      </c>
      <c r="B119">
        <v>0</v>
      </c>
      <c r="C119">
        <v>4</v>
      </c>
      <c r="D119">
        <v>2033</v>
      </c>
      <c r="E119">
        <v>25175156</v>
      </c>
    </row>
    <row r="120" spans="1:5" x14ac:dyDescent="0.25">
      <c r="A120">
        <v>0</v>
      </c>
      <c r="B120">
        <v>0</v>
      </c>
      <c r="C120">
        <v>4</v>
      </c>
      <c r="D120">
        <v>2034</v>
      </c>
      <c r="E120">
        <v>25545588</v>
      </c>
    </row>
    <row r="121" spans="1:5" x14ac:dyDescent="0.25">
      <c r="A121">
        <v>0</v>
      </c>
      <c r="B121">
        <v>0</v>
      </c>
      <c r="C121">
        <v>4</v>
      </c>
      <c r="D121">
        <v>2035</v>
      </c>
      <c r="E121">
        <v>25914472</v>
      </c>
    </row>
    <row r="122" spans="1:5" x14ac:dyDescent="0.25">
      <c r="A122">
        <v>0</v>
      </c>
      <c r="B122">
        <v>0</v>
      </c>
      <c r="C122">
        <v>4</v>
      </c>
      <c r="D122">
        <v>2036</v>
      </c>
      <c r="E122">
        <v>26281588</v>
      </c>
    </row>
    <row r="123" spans="1:5" x14ac:dyDescent="0.25">
      <c r="A123">
        <v>0</v>
      </c>
      <c r="B123">
        <v>0</v>
      </c>
      <c r="C123">
        <v>4</v>
      </c>
      <c r="D123">
        <v>2037</v>
      </c>
      <c r="E123">
        <v>26646721</v>
      </c>
    </row>
    <row r="124" spans="1:5" x14ac:dyDescent="0.25">
      <c r="A124">
        <v>0</v>
      </c>
      <c r="B124">
        <v>0</v>
      </c>
      <c r="C124">
        <v>4</v>
      </c>
      <c r="D124">
        <v>2038</v>
      </c>
      <c r="E124">
        <v>27009642</v>
      </c>
    </row>
    <row r="125" spans="1:5" x14ac:dyDescent="0.25">
      <c r="A125">
        <v>0</v>
      </c>
      <c r="B125">
        <v>0</v>
      </c>
      <c r="C125">
        <v>4</v>
      </c>
      <c r="D125">
        <v>2039</v>
      </c>
      <c r="E125">
        <v>27370270</v>
      </c>
    </row>
    <row r="126" spans="1:5" x14ac:dyDescent="0.25">
      <c r="A126">
        <v>0</v>
      </c>
      <c r="B126">
        <v>0</v>
      </c>
      <c r="C126">
        <v>4</v>
      </c>
      <c r="D126">
        <v>2040</v>
      </c>
      <c r="E126">
        <v>27728560</v>
      </c>
    </row>
    <row r="127" spans="1:5" x14ac:dyDescent="0.25">
      <c r="A127">
        <v>0</v>
      </c>
      <c r="B127">
        <v>0</v>
      </c>
      <c r="C127">
        <v>4</v>
      </c>
      <c r="D127">
        <v>2041</v>
      </c>
      <c r="E127">
        <v>28084436</v>
      </c>
    </row>
    <row r="128" spans="1:5" x14ac:dyDescent="0.25">
      <c r="A128">
        <v>0</v>
      </c>
      <c r="B128">
        <v>0</v>
      </c>
      <c r="C128">
        <v>4</v>
      </c>
      <c r="D128">
        <v>2042</v>
      </c>
      <c r="E128">
        <v>28437971</v>
      </c>
    </row>
    <row r="129" spans="1:5" x14ac:dyDescent="0.25">
      <c r="A129">
        <v>0</v>
      </c>
      <c r="B129">
        <v>0</v>
      </c>
      <c r="C129">
        <v>4</v>
      </c>
      <c r="D129">
        <v>2043</v>
      </c>
      <c r="E129">
        <v>28789224</v>
      </c>
    </row>
    <row r="130" spans="1:5" x14ac:dyDescent="0.25">
      <c r="A130">
        <v>0</v>
      </c>
      <c r="B130">
        <v>0</v>
      </c>
      <c r="C130">
        <v>4</v>
      </c>
      <c r="D130">
        <v>2044</v>
      </c>
      <c r="E130">
        <v>29138216</v>
      </c>
    </row>
    <row r="131" spans="1:5" x14ac:dyDescent="0.25">
      <c r="A131">
        <v>0</v>
      </c>
      <c r="B131">
        <v>0</v>
      </c>
      <c r="C131">
        <v>4</v>
      </c>
      <c r="D131">
        <v>2045</v>
      </c>
      <c r="E131">
        <v>29484985</v>
      </c>
    </row>
    <row r="132" spans="1:5" x14ac:dyDescent="0.25">
      <c r="A132">
        <v>0</v>
      </c>
      <c r="B132">
        <v>0</v>
      </c>
      <c r="C132">
        <v>4</v>
      </c>
      <c r="D132">
        <v>2046</v>
      </c>
      <c r="E132">
        <v>29829504</v>
      </c>
    </row>
    <row r="133" spans="1:5" x14ac:dyDescent="0.25">
      <c r="A133">
        <v>0</v>
      </c>
      <c r="B133">
        <v>0</v>
      </c>
      <c r="C133">
        <v>4</v>
      </c>
      <c r="D133">
        <v>2047</v>
      </c>
      <c r="E133">
        <v>30171667</v>
      </c>
    </row>
    <row r="134" spans="1:5" x14ac:dyDescent="0.25">
      <c r="A134">
        <v>0</v>
      </c>
      <c r="B134">
        <v>0</v>
      </c>
      <c r="C134">
        <v>4</v>
      </c>
      <c r="D134">
        <v>2048</v>
      </c>
      <c r="E134">
        <v>30511414</v>
      </c>
    </row>
    <row r="135" spans="1:5" x14ac:dyDescent="0.25">
      <c r="A135">
        <v>0</v>
      </c>
      <c r="B135">
        <v>0</v>
      </c>
      <c r="C135">
        <v>4</v>
      </c>
      <c r="D135">
        <v>2049</v>
      </c>
      <c r="E135">
        <v>30848580</v>
      </c>
    </row>
    <row r="136" spans="1:5" x14ac:dyDescent="0.25">
      <c r="A136">
        <v>0</v>
      </c>
      <c r="B136">
        <v>0</v>
      </c>
      <c r="C136">
        <v>4</v>
      </c>
      <c r="D136">
        <v>2050</v>
      </c>
      <c r="E136">
        <v>31183041</v>
      </c>
    </row>
    <row r="137" spans="1:5" x14ac:dyDescent="0.25">
      <c r="A137">
        <v>0</v>
      </c>
      <c r="B137">
        <v>0</v>
      </c>
      <c r="C137">
        <v>5</v>
      </c>
      <c r="D137">
        <v>2024</v>
      </c>
      <c r="E137">
        <v>903027</v>
      </c>
    </row>
    <row r="138" spans="1:5" x14ac:dyDescent="0.25">
      <c r="A138">
        <v>0</v>
      </c>
      <c r="B138">
        <v>0</v>
      </c>
      <c r="C138">
        <v>5</v>
      </c>
      <c r="D138">
        <v>2025</v>
      </c>
      <c r="E138">
        <v>914943</v>
      </c>
    </row>
    <row r="139" spans="1:5" x14ac:dyDescent="0.25">
      <c r="A139">
        <v>0</v>
      </c>
      <c r="B139">
        <v>0</v>
      </c>
      <c r="C139">
        <v>5</v>
      </c>
      <c r="D139">
        <v>2026</v>
      </c>
      <c r="E139">
        <v>926775</v>
      </c>
    </row>
    <row r="140" spans="1:5" x14ac:dyDescent="0.25">
      <c r="A140">
        <v>0</v>
      </c>
      <c r="B140">
        <v>0</v>
      </c>
      <c r="C140">
        <v>5</v>
      </c>
      <c r="D140">
        <v>2027</v>
      </c>
      <c r="E140">
        <v>938484</v>
      </c>
    </row>
    <row r="141" spans="1:5" x14ac:dyDescent="0.25">
      <c r="A141">
        <v>0</v>
      </c>
      <c r="B141">
        <v>0</v>
      </c>
      <c r="C141">
        <v>5</v>
      </c>
      <c r="D141">
        <v>2028</v>
      </c>
      <c r="E141">
        <v>950074</v>
      </c>
    </row>
    <row r="142" spans="1:5" x14ac:dyDescent="0.25">
      <c r="A142">
        <v>0</v>
      </c>
      <c r="B142">
        <v>0</v>
      </c>
      <c r="C142">
        <v>5</v>
      </c>
      <c r="D142">
        <v>2029</v>
      </c>
      <c r="E142">
        <v>961531</v>
      </c>
    </row>
    <row r="143" spans="1:5" x14ac:dyDescent="0.25">
      <c r="A143">
        <v>0</v>
      </c>
      <c r="B143">
        <v>0</v>
      </c>
      <c r="C143">
        <v>5</v>
      </c>
      <c r="D143">
        <v>2030</v>
      </c>
      <c r="E143">
        <v>972860</v>
      </c>
    </row>
    <row r="144" spans="1:5" x14ac:dyDescent="0.25">
      <c r="A144">
        <v>0</v>
      </c>
      <c r="B144">
        <v>0</v>
      </c>
      <c r="C144">
        <v>5</v>
      </c>
      <c r="D144">
        <v>2031</v>
      </c>
      <c r="E144">
        <v>984034</v>
      </c>
    </row>
    <row r="145" spans="1:5" x14ac:dyDescent="0.25">
      <c r="A145">
        <v>0</v>
      </c>
      <c r="B145">
        <v>0</v>
      </c>
      <c r="C145">
        <v>5</v>
      </c>
      <c r="D145">
        <v>2032</v>
      </c>
      <c r="E145">
        <v>994984</v>
      </c>
    </row>
    <row r="146" spans="1:5" x14ac:dyDescent="0.25">
      <c r="A146">
        <v>0</v>
      </c>
      <c r="B146">
        <v>0</v>
      </c>
      <c r="C146">
        <v>5</v>
      </c>
      <c r="D146">
        <v>2033</v>
      </c>
      <c r="E146">
        <v>1005840</v>
      </c>
    </row>
    <row r="147" spans="1:5" x14ac:dyDescent="0.25">
      <c r="A147">
        <v>0</v>
      </c>
      <c r="B147">
        <v>0</v>
      </c>
      <c r="C147">
        <v>5</v>
      </c>
      <c r="D147">
        <v>2034</v>
      </c>
      <c r="E147">
        <v>1016679</v>
      </c>
    </row>
    <row r="148" spans="1:5" x14ac:dyDescent="0.25">
      <c r="A148">
        <v>0</v>
      </c>
      <c r="B148">
        <v>0</v>
      </c>
      <c r="C148">
        <v>5</v>
      </c>
      <c r="D148">
        <v>2035</v>
      </c>
      <c r="E148">
        <v>1027439</v>
      </c>
    </row>
    <row r="149" spans="1:5" x14ac:dyDescent="0.25">
      <c r="A149">
        <v>0</v>
      </c>
      <c r="B149">
        <v>0</v>
      </c>
      <c r="C149">
        <v>5</v>
      </c>
      <c r="D149">
        <v>2036</v>
      </c>
      <c r="E149">
        <v>1038160</v>
      </c>
    </row>
    <row r="150" spans="1:5" x14ac:dyDescent="0.25">
      <c r="A150">
        <v>0</v>
      </c>
      <c r="B150">
        <v>0</v>
      </c>
      <c r="C150">
        <v>5</v>
      </c>
      <c r="D150">
        <v>2037</v>
      </c>
      <c r="E150">
        <v>1048801</v>
      </c>
    </row>
    <row r="151" spans="1:5" x14ac:dyDescent="0.25">
      <c r="A151">
        <v>0</v>
      </c>
      <c r="B151">
        <v>0</v>
      </c>
      <c r="C151">
        <v>5</v>
      </c>
      <c r="D151">
        <v>2038</v>
      </c>
      <c r="E151">
        <v>1059379</v>
      </c>
    </row>
    <row r="152" spans="1:5" x14ac:dyDescent="0.25">
      <c r="A152">
        <v>0</v>
      </c>
      <c r="B152">
        <v>0</v>
      </c>
      <c r="C152">
        <v>5</v>
      </c>
      <c r="D152">
        <v>2039</v>
      </c>
      <c r="E152">
        <v>1069934</v>
      </c>
    </row>
    <row r="153" spans="1:5" x14ac:dyDescent="0.25">
      <c r="A153">
        <v>0</v>
      </c>
      <c r="B153">
        <v>0</v>
      </c>
      <c r="C153">
        <v>5</v>
      </c>
      <c r="D153">
        <v>2040</v>
      </c>
      <c r="E153">
        <v>1080418</v>
      </c>
    </row>
    <row r="154" spans="1:5" x14ac:dyDescent="0.25">
      <c r="A154">
        <v>0</v>
      </c>
      <c r="B154">
        <v>0</v>
      </c>
      <c r="C154">
        <v>5</v>
      </c>
      <c r="D154">
        <v>2041</v>
      </c>
      <c r="E154">
        <v>1090844</v>
      </c>
    </row>
    <row r="155" spans="1:5" x14ac:dyDescent="0.25">
      <c r="A155">
        <v>0</v>
      </c>
      <c r="B155">
        <v>0</v>
      </c>
      <c r="C155">
        <v>5</v>
      </c>
      <c r="D155">
        <v>2042</v>
      </c>
      <c r="E155">
        <v>1101182</v>
      </c>
    </row>
    <row r="156" spans="1:5" x14ac:dyDescent="0.25">
      <c r="A156">
        <v>0</v>
      </c>
      <c r="B156">
        <v>0</v>
      </c>
      <c r="C156">
        <v>5</v>
      </c>
      <c r="D156">
        <v>2043</v>
      </c>
      <c r="E156">
        <v>1111429</v>
      </c>
    </row>
    <row r="157" spans="1:5" x14ac:dyDescent="0.25">
      <c r="A157">
        <v>0</v>
      </c>
      <c r="B157">
        <v>0</v>
      </c>
      <c r="C157">
        <v>5</v>
      </c>
      <c r="D157">
        <v>2044</v>
      </c>
      <c r="E157">
        <v>1121598</v>
      </c>
    </row>
    <row r="158" spans="1:5" x14ac:dyDescent="0.25">
      <c r="A158">
        <v>0</v>
      </c>
      <c r="B158">
        <v>0</v>
      </c>
      <c r="C158">
        <v>5</v>
      </c>
      <c r="D158">
        <v>2045</v>
      </c>
      <c r="E158">
        <v>1131671</v>
      </c>
    </row>
    <row r="159" spans="1:5" x14ac:dyDescent="0.25">
      <c r="A159">
        <v>0</v>
      </c>
      <c r="B159">
        <v>0</v>
      </c>
      <c r="C159">
        <v>5</v>
      </c>
      <c r="D159">
        <v>2046</v>
      </c>
      <c r="E159">
        <v>1141636</v>
      </c>
    </row>
    <row r="160" spans="1:5" x14ac:dyDescent="0.25">
      <c r="A160">
        <v>0</v>
      </c>
      <c r="B160">
        <v>0</v>
      </c>
      <c r="C160">
        <v>5</v>
      </c>
      <c r="D160">
        <v>2047</v>
      </c>
      <c r="E160">
        <v>1151510</v>
      </c>
    </row>
    <row r="161" spans="1:5" x14ac:dyDescent="0.25">
      <c r="A161">
        <v>0</v>
      </c>
      <c r="B161">
        <v>0</v>
      </c>
      <c r="C161">
        <v>5</v>
      </c>
      <c r="D161">
        <v>2048</v>
      </c>
      <c r="E161">
        <v>1161228</v>
      </c>
    </row>
    <row r="162" spans="1:5" x14ac:dyDescent="0.25">
      <c r="A162">
        <v>0</v>
      </c>
      <c r="B162">
        <v>0</v>
      </c>
      <c r="C162">
        <v>5</v>
      </c>
      <c r="D162">
        <v>2049</v>
      </c>
      <c r="E162">
        <v>1170824</v>
      </c>
    </row>
    <row r="163" spans="1:5" x14ac:dyDescent="0.25">
      <c r="A163">
        <v>0</v>
      </c>
      <c r="B163">
        <v>0</v>
      </c>
      <c r="C163">
        <v>5</v>
      </c>
      <c r="D163">
        <v>2050</v>
      </c>
      <c r="E163">
        <v>1180245</v>
      </c>
    </row>
    <row r="164" spans="1:5" x14ac:dyDescent="0.25">
      <c r="A164">
        <v>0</v>
      </c>
      <c r="B164">
        <v>0</v>
      </c>
      <c r="C164">
        <v>6</v>
      </c>
      <c r="D164">
        <v>2024</v>
      </c>
      <c r="E164">
        <v>10590984</v>
      </c>
    </row>
    <row r="165" spans="1:5" x14ac:dyDescent="0.25">
      <c r="A165">
        <v>0</v>
      </c>
      <c r="B165">
        <v>0</v>
      </c>
      <c r="C165">
        <v>6</v>
      </c>
      <c r="D165">
        <v>2025</v>
      </c>
      <c r="E165">
        <v>10858081</v>
      </c>
    </row>
    <row r="166" spans="1:5" x14ac:dyDescent="0.25">
      <c r="A166">
        <v>0</v>
      </c>
      <c r="B166">
        <v>0</v>
      </c>
      <c r="C166">
        <v>6</v>
      </c>
      <c r="D166">
        <v>2026</v>
      </c>
      <c r="E166">
        <v>11130001</v>
      </c>
    </row>
    <row r="167" spans="1:5" x14ac:dyDescent="0.25">
      <c r="A167">
        <v>0</v>
      </c>
      <c r="B167">
        <v>0</v>
      </c>
      <c r="C167">
        <v>6</v>
      </c>
      <c r="D167">
        <v>2027</v>
      </c>
      <c r="E167">
        <v>11406661</v>
      </c>
    </row>
    <row r="168" spans="1:5" x14ac:dyDescent="0.25">
      <c r="A168">
        <v>0</v>
      </c>
      <c r="B168">
        <v>0</v>
      </c>
      <c r="C168">
        <v>6</v>
      </c>
      <c r="D168">
        <v>2028</v>
      </c>
      <c r="E168">
        <v>11688030</v>
      </c>
    </row>
    <row r="169" spans="1:5" x14ac:dyDescent="0.25">
      <c r="A169">
        <v>0</v>
      </c>
      <c r="B169">
        <v>0</v>
      </c>
      <c r="C169">
        <v>6</v>
      </c>
      <c r="D169">
        <v>2029</v>
      </c>
      <c r="E169">
        <v>11973951</v>
      </c>
    </row>
    <row r="170" spans="1:5" x14ac:dyDescent="0.25">
      <c r="A170">
        <v>0</v>
      </c>
      <c r="B170">
        <v>0</v>
      </c>
      <c r="C170">
        <v>6</v>
      </c>
      <c r="D170">
        <v>2030</v>
      </c>
      <c r="E170">
        <v>12264349</v>
      </c>
    </row>
    <row r="171" spans="1:5" x14ac:dyDescent="0.25">
      <c r="A171">
        <v>0</v>
      </c>
      <c r="B171">
        <v>0</v>
      </c>
      <c r="C171">
        <v>6</v>
      </c>
      <c r="D171">
        <v>2031</v>
      </c>
      <c r="E171">
        <v>12559009</v>
      </c>
    </row>
    <row r="172" spans="1:5" x14ac:dyDescent="0.25">
      <c r="A172">
        <v>0</v>
      </c>
      <c r="B172">
        <v>0</v>
      </c>
      <c r="C172">
        <v>6</v>
      </c>
      <c r="D172">
        <v>2032</v>
      </c>
      <c r="E172">
        <v>12857769</v>
      </c>
    </row>
    <row r="173" spans="1:5" x14ac:dyDescent="0.25">
      <c r="A173">
        <v>0</v>
      </c>
      <c r="B173">
        <v>0</v>
      </c>
      <c r="C173">
        <v>6</v>
      </c>
      <c r="D173">
        <v>2033</v>
      </c>
      <c r="E173">
        <v>13160649</v>
      </c>
    </row>
    <row r="174" spans="1:5" x14ac:dyDescent="0.25">
      <c r="A174">
        <v>0</v>
      </c>
      <c r="B174">
        <v>0</v>
      </c>
      <c r="C174">
        <v>6</v>
      </c>
      <c r="D174">
        <v>2034</v>
      </c>
      <c r="E174">
        <v>13467415</v>
      </c>
    </row>
    <row r="175" spans="1:5" x14ac:dyDescent="0.25">
      <c r="A175">
        <v>0</v>
      </c>
      <c r="B175">
        <v>0</v>
      </c>
      <c r="C175">
        <v>6</v>
      </c>
      <c r="D175">
        <v>2035</v>
      </c>
      <c r="E175">
        <v>13777809</v>
      </c>
    </row>
    <row r="176" spans="1:5" x14ac:dyDescent="0.25">
      <c r="A176">
        <v>0</v>
      </c>
      <c r="B176">
        <v>0</v>
      </c>
      <c r="C176">
        <v>6</v>
      </c>
      <c r="D176">
        <v>2036</v>
      </c>
      <c r="E176">
        <v>14091583</v>
      </c>
    </row>
    <row r="177" spans="1:5" x14ac:dyDescent="0.25">
      <c r="A177">
        <v>0</v>
      </c>
      <c r="B177">
        <v>0</v>
      </c>
      <c r="C177">
        <v>6</v>
      </c>
      <c r="D177">
        <v>2037</v>
      </c>
      <c r="E177">
        <v>14408414</v>
      </c>
    </row>
    <row r="178" spans="1:5" x14ac:dyDescent="0.25">
      <c r="A178">
        <v>0</v>
      </c>
      <c r="B178">
        <v>0</v>
      </c>
      <c r="C178">
        <v>6</v>
      </c>
      <c r="D178">
        <v>2038</v>
      </c>
      <c r="E178">
        <v>14727902</v>
      </c>
    </row>
    <row r="179" spans="1:5" x14ac:dyDescent="0.25">
      <c r="A179">
        <v>0</v>
      </c>
      <c r="B179">
        <v>0</v>
      </c>
      <c r="C179">
        <v>6</v>
      </c>
      <c r="D179">
        <v>2039</v>
      </c>
      <c r="E179">
        <v>15049742</v>
      </c>
    </row>
    <row r="180" spans="1:5" x14ac:dyDescent="0.25">
      <c r="A180">
        <v>0</v>
      </c>
      <c r="B180">
        <v>0</v>
      </c>
      <c r="C180">
        <v>6</v>
      </c>
      <c r="D180">
        <v>2040</v>
      </c>
      <c r="E180">
        <v>15373528</v>
      </c>
    </row>
    <row r="181" spans="1:5" x14ac:dyDescent="0.25">
      <c r="A181">
        <v>0</v>
      </c>
      <c r="B181">
        <v>0</v>
      </c>
      <c r="C181">
        <v>6</v>
      </c>
      <c r="D181">
        <v>2041</v>
      </c>
      <c r="E181">
        <v>15698922</v>
      </c>
    </row>
    <row r="182" spans="1:5" x14ac:dyDescent="0.25">
      <c r="A182">
        <v>0</v>
      </c>
      <c r="B182">
        <v>0</v>
      </c>
      <c r="C182">
        <v>6</v>
      </c>
      <c r="D182">
        <v>2042</v>
      </c>
      <c r="E182">
        <v>16025685</v>
      </c>
    </row>
    <row r="183" spans="1:5" x14ac:dyDescent="0.25">
      <c r="A183">
        <v>0</v>
      </c>
      <c r="B183">
        <v>0</v>
      </c>
      <c r="C183">
        <v>6</v>
      </c>
      <c r="D183">
        <v>2043</v>
      </c>
      <c r="E183">
        <v>16353779</v>
      </c>
    </row>
    <row r="184" spans="1:5" x14ac:dyDescent="0.25">
      <c r="A184">
        <v>0</v>
      </c>
      <c r="B184">
        <v>0</v>
      </c>
      <c r="C184">
        <v>6</v>
      </c>
      <c r="D184">
        <v>2044</v>
      </c>
      <c r="E184">
        <v>16683127</v>
      </c>
    </row>
    <row r="185" spans="1:5" x14ac:dyDescent="0.25">
      <c r="A185">
        <v>0</v>
      </c>
      <c r="B185">
        <v>0</v>
      </c>
      <c r="C185">
        <v>6</v>
      </c>
      <c r="D185">
        <v>2045</v>
      </c>
      <c r="E185">
        <v>17013617</v>
      </c>
    </row>
    <row r="186" spans="1:5" x14ac:dyDescent="0.25">
      <c r="A186">
        <v>0</v>
      </c>
      <c r="B186">
        <v>0</v>
      </c>
      <c r="C186">
        <v>6</v>
      </c>
      <c r="D186">
        <v>2046</v>
      </c>
      <c r="E186">
        <v>17345228</v>
      </c>
    </row>
    <row r="187" spans="1:5" x14ac:dyDescent="0.25">
      <c r="A187">
        <v>0</v>
      </c>
      <c r="B187">
        <v>0</v>
      </c>
      <c r="C187">
        <v>6</v>
      </c>
      <c r="D187">
        <v>2047</v>
      </c>
      <c r="E187">
        <v>17677956</v>
      </c>
    </row>
    <row r="188" spans="1:5" x14ac:dyDescent="0.25">
      <c r="A188">
        <v>0</v>
      </c>
      <c r="B188">
        <v>0</v>
      </c>
      <c r="C188">
        <v>6</v>
      </c>
      <c r="D188">
        <v>2048</v>
      </c>
      <c r="E188">
        <v>18011861</v>
      </c>
    </row>
    <row r="189" spans="1:5" x14ac:dyDescent="0.25">
      <c r="A189">
        <v>0</v>
      </c>
      <c r="B189">
        <v>0</v>
      </c>
      <c r="C189">
        <v>6</v>
      </c>
      <c r="D189">
        <v>2049</v>
      </c>
      <c r="E189">
        <v>18346979</v>
      </c>
    </row>
    <row r="190" spans="1:5" x14ac:dyDescent="0.25">
      <c r="A190">
        <v>0</v>
      </c>
      <c r="B190">
        <v>0</v>
      </c>
      <c r="C190">
        <v>6</v>
      </c>
      <c r="D190">
        <v>2050</v>
      </c>
      <c r="E190">
        <v>18683346</v>
      </c>
    </row>
    <row r="191" spans="1:5" x14ac:dyDescent="0.25">
      <c r="A191">
        <v>0</v>
      </c>
      <c r="B191">
        <v>0</v>
      </c>
      <c r="C191">
        <v>7</v>
      </c>
      <c r="D191">
        <v>2024</v>
      </c>
      <c r="E191">
        <v>262315010</v>
      </c>
    </row>
    <row r="192" spans="1:5" x14ac:dyDescent="0.25">
      <c r="A192">
        <v>0</v>
      </c>
      <c r="B192">
        <v>0</v>
      </c>
      <c r="C192">
        <v>7</v>
      </c>
      <c r="D192">
        <v>2025</v>
      </c>
      <c r="E192">
        <v>263126045</v>
      </c>
    </row>
    <row r="193" spans="1:5" x14ac:dyDescent="0.25">
      <c r="A193">
        <v>0</v>
      </c>
      <c r="B193">
        <v>0</v>
      </c>
      <c r="C193">
        <v>7</v>
      </c>
      <c r="D193">
        <v>2026</v>
      </c>
      <c r="E193">
        <v>263900353</v>
      </c>
    </row>
    <row r="194" spans="1:5" x14ac:dyDescent="0.25">
      <c r="A194">
        <v>0</v>
      </c>
      <c r="B194">
        <v>0</v>
      </c>
      <c r="C194">
        <v>7</v>
      </c>
      <c r="D194">
        <v>2027</v>
      </c>
      <c r="E194">
        <v>264637439</v>
      </c>
    </row>
    <row r="195" spans="1:5" x14ac:dyDescent="0.25">
      <c r="A195">
        <v>0</v>
      </c>
      <c r="B195">
        <v>0</v>
      </c>
      <c r="C195">
        <v>7</v>
      </c>
      <c r="D195">
        <v>2028</v>
      </c>
      <c r="E195">
        <v>265335687</v>
      </c>
    </row>
    <row r="196" spans="1:5" x14ac:dyDescent="0.25">
      <c r="A196">
        <v>0</v>
      </c>
      <c r="B196">
        <v>0</v>
      </c>
      <c r="C196">
        <v>7</v>
      </c>
      <c r="D196">
        <v>2029</v>
      </c>
      <c r="E196">
        <v>265993487</v>
      </c>
    </row>
    <row r="197" spans="1:5" x14ac:dyDescent="0.25">
      <c r="A197">
        <v>0</v>
      </c>
      <c r="B197">
        <v>0</v>
      </c>
      <c r="C197">
        <v>7</v>
      </c>
      <c r="D197">
        <v>2030</v>
      </c>
      <c r="E197">
        <v>266609656</v>
      </c>
    </row>
    <row r="198" spans="1:5" x14ac:dyDescent="0.25">
      <c r="A198">
        <v>0</v>
      </c>
      <c r="B198">
        <v>0</v>
      </c>
      <c r="C198">
        <v>7</v>
      </c>
      <c r="D198">
        <v>2031</v>
      </c>
      <c r="E198">
        <v>267182432</v>
      </c>
    </row>
    <row r="199" spans="1:5" x14ac:dyDescent="0.25">
      <c r="A199">
        <v>0</v>
      </c>
      <c r="B199">
        <v>0</v>
      </c>
      <c r="C199">
        <v>7</v>
      </c>
      <c r="D199">
        <v>2032</v>
      </c>
      <c r="E199">
        <v>267709015</v>
      </c>
    </row>
    <row r="200" spans="1:5" x14ac:dyDescent="0.25">
      <c r="A200">
        <v>0</v>
      </c>
      <c r="B200">
        <v>0</v>
      </c>
      <c r="C200">
        <v>7</v>
      </c>
      <c r="D200">
        <v>2033</v>
      </c>
      <c r="E200">
        <v>268192349</v>
      </c>
    </row>
    <row r="201" spans="1:5" x14ac:dyDescent="0.25">
      <c r="A201">
        <v>0</v>
      </c>
      <c r="B201">
        <v>0</v>
      </c>
      <c r="C201">
        <v>7</v>
      </c>
      <c r="D201">
        <v>2034</v>
      </c>
      <c r="E201">
        <v>268630944</v>
      </c>
    </row>
    <row r="202" spans="1:5" x14ac:dyDescent="0.25">
      <c r="A202">
        <v>0</v>
      </c>
      <c r="B202">
        <v>0</v>
      </c>
      <c r="C202">
        <v>7</v>
      </c>
      <c r="D202">
        <v>2035</v>
      </c>
      <c r="E202">
        <v>269023479</v>
      </c>
    </row>
    <row r="203" spans="1:5" x14ac:dyDescent="0.25">
      <c r="A203">
        <v>0</v>
      </c>
      <c r="B203">
        <v>0</v>
      </c>
      <c r="C203">
        <v>7</v>
      </c>
      <c r="D203">
        <v>2036</v>
      </c>
      <c r="E203">
        <v>269368960</v>
      </c>
    </row>
    <row r="204" spans="1:5" x14ac:dyDescent="0.25">
      <c r="A204">
        <v>0</v>
      </c>
      <c r="B204">
        <v>0</v>
      </c>
      <c r="C204">
        <v>7</v>
      </c>
      <c r="D204">
        <v>2037</v>
      </c>
      <c r="E204">
        <v>269666417</v>
      </c>
    </row>
    <row r="205" spans="1:5" x14ac:dyDescent="0.25">
      <c r="A205">
        <v>0</v>
      </c>
      <c r="B205">
        <v>0</v>
      </c>
      <c r="C205">
        <v>7</v>
      </c>
      <c r="D205">
        <v>2038</v>
      </c>
      <c r="E205">
        <v>269915300</v>
      </c>
    </row>
    <row r="206" spans="1:5" x14ac:dyDescent="0.25">
      <c r="A206">
        <v>0</v>
      </c>
      <c r="B206">
        <v>0</v>
      </c>
      <c r="C206">
        <v>7</v>
      </c>
      <c r="D206">
        <v>2039</v>
      </c>
      <c r="E206">
        <v>270115760</v>
      </c>
    </row>
    <row r="207" spans="1:5" x14ac:dyDescent="0.25">
      <c r="A207">
        <v>0</v>
      </c>
      <c r="B207">
        <v>0</v>
      </c>
      <c r="C207">
        <v>7</v>
      </c>
      <c r="D207">
        <v>2040</v>
      </c>
      <c r="E207">
        <v>270268270</v>
      </c>
    </row>
    <row r="208" spans="1:5" x14ac:dyDescent="0.25">
      <c r="A208">
        <v>0</v>
      </c>
      <c r="B208">
        <v>0</v>
      </c>
      <c r="C208">
        <v>7</v>
      </c>
      <c r="D208">
        <v>2041</v>
      </c>
      <c r="E208">
        <v>270373256</v>
      </c>
    </row>
    <row r="209" spans="1:5" x14ac:dyDescent="0.25">
      <c r="A209">
        <v>0</v>
      </c>
      <c r="B209">
        <v>0</v>
      </c>
      <c r="C209">
        <v>7</v>
      </c>
      <c r="D209">
        <v>2042</v>
      </c>
      <c r="E209">
        <v>270432804</v>
      </c>
    </row>
    <row r="210" spans="1:5" x14ac:dyDescent="0.25">
      <c r="A210">
        <v>0</v>
      </c>
      <c r="B210">
        <v>0</v>
      </c>
      <c r="C210">
        <v>7</v>
      </c>
      <c r="D210">
        <v>2043</v>
      </c>
      <c r="E210">
        <v>270449664</v>
      </c>
    </row>
    <row r="211" spans="1:5" x14ac:dyDescent="0.25">
      <c r="A211">
        <v>0</v>
      </c>
      <c r="B211">
        <v>0</v>
      </c>
      <c r="C211">
        <v>7</v>
      </c>
      <c r="D211">
        <v>2044</v>
      </c>
      <c r="E211">
        <v>270427570</v>
      </c>
    </row>
    <row r="212" spans="1:5" x14ac:dyDescent="0.25">
      <c r="A212">
        <v>0</v>
      </c>
      <c r="B212">
        <v>0</v>
      </c>
      <c r="C212">
        <v>7</v>
      </c>
      <c r="D212">
        <v>2045</v>
      </c>
      <c r="E212">
        <v>270370814</v>
      </c>
    </row>
    <row r="213" spans="1:5" x14ac:dyDescent="0.25">
      <c r="A213">
        <v>0</v>
      </c>
      <c r="B213">
        <v>0</v>
      </c>
      <c r="C213">
        <v>7</v>
      </c>
      <c r="D213">
        <v>2046</v>
      </c>
      <c r="E213">
        <v>270283803</v>
      </c>
    </row>
    <row r="214" spans="1:5" x14ac:dyDescent="0.25">
      <c r="A214">
        <v>0</v>
      </c>
      <c r="B214">
        <v>0</v>
      </c>
      <c r="C214">
        <v>7</v>
      </c>
      <c r="D214">
        <v>2047</v>
      </c>
      <c r="E214">
        <v>270169332</v>
      </c>
    </row>
    <row r="215" spans="1:5" x14ac:dyDescent="0.25">
      <c r="A215">
        <v>0</v>
      </c>
      <c r="B215">
        <v>0</v>
      </c>
      <c r="C215">
        <v>7</v>
      </c>
      <c r="D215">
        <v>2048</v>
      </c>
      <c r="E215">
        <v>270031837</v>
      </c>
    </row>
    <row r="216" spans="1:5" x14ac:dyDescent="0.25">
      <c r="A216">
        <v>0</v>
      </c>
      <c r="B216">
        <v>0</v>
      </c>
      <c r="C216">
        <v>7</v>
      </c>
      <c r="D216">
        <v>2049</v>
      </c>
      <c r="E216">
        <v>269875767</v>
      </c>
    </row>
    <row r="217" spans="1:5" x14ac:dyDescent="0.25">
      <c r="A217">
        <v>0</v>
      </c>
      <c r="B217">
        <v>0</v>
      </c>
      <c r="C217">
        <v>7</v>
      </c>
      <c r="D217">
        <v>2050</v>
      </c>
      <c r="E217">
        <v>269705540</v>
      </c>
    </row>
    <row r="218" spans="1:5" x14ac:dyDescent="0.25">
      <c r="A218">
        <v>0</v>
      </c>
      <c r="B218">
        <v>0</v>
      </c>
      <c r="C218">
        <v>8</v>
      </c>
      <c r="D218">
        <v>2024</v>
      </c>
      <c r="E218">
        <v>50949669</v>
      </c>
    </row>
    <row r="219" spans="1:5" x14ac:dyDescent="0.25">
      <c r="A219">
        <v>0</v>
      </c>
      <c r="B219">
        <v>0</v>
      </c>
      <c r="C219">
        <v>8</v>
      </c>
      <c r="D219">
        <v>2025</v>
      </c>
      <c r="E219">
        <v>51383175</v>
      </c>
    </row>
    <row r="220" spans="1:5" x14ac:dyDescent="0.25">
      <c r="A220">
        <v>0</v>
      </c>
      <c r="B220">
        <v>0</v>
      </c>
      <c r="C220">
        <v>8</v>
      </c>
      <c r="D220">
        <v>2026</v>
      </c>
      <c r="E220">
        <v>51819074</v>
      </c>
    </row>
    <row r="221" spans="1:5" x14ac:dyDescent="0.25">
      <c r="A221">
        <v>0</v>
      </c>
      <c r="B221">
        <v>0</v>
      </c>
      <c r="C221">
        <v>8</v>
      </c>
      <c r="D221">
        <v>2027</v>
      </c>
      <c r="E221">
        <v>52257090</v>
      </c>
    </row>
    <row r="222" spans="1:5" x14ac:dyDescent="0.25">
      <c r="A222">
        <v>0</v>
      </c>
      <c r="B222">
        <v>0</v>
      </c>
      <c r="C222">
        <v>8</v>
      </c>
      <c r="D222">
        <v>2028</v>
      </c>
      <c r="E222">
        <v>52695994</v>
      </c>
    </row>
    <row r="223" spans="1:5" x14ac:dyDescent="0.25">
      <c r="A223">
        <v>0</v>
      </c>
      <c r="B223">
        <v>0</v>
      </c>
      <c r="C223">
        <v>8</v>
      </c>
      <c r="D223">
        <v>2029</v>
      </c>
      <c r="E223">
        <v>53134865</v>
      </c>
    </row>
    <row r="224" spans="1:5" x14ac:dyDescent="0.25">
      <c r="A224">
        <v>0</v>
      </c>
      <c r="B224">
        <v>0</v>
      </c>
      <c r="C224">
        <v>8</v>
      </c>
      <c r="D224">
        <v>2030</v>
      </c>
      <c r="E224">
        <v>53572457</v>
      </c>
    </row>
    <row r="225" spans="1:5" x14ac:dyDescent="0.25">
      <c r="A225">
        <v>0</v>
      </c>
      <c r="B225">
        <v>0</v>
      </c>
      <c r="C225">
        <v>8</v>
      </c>
      <c r="D225">
        <v>2031</v>
      </c>
      <c r="E225">
        <v>54007856</v>
      </c>
    </row>
    <row r="226" spans="1:5" x14ac:dyDescent="0.25">
      <c r="A226">
        <v>0</v>
      </c>
      <c r="B226">
        <v>0</v>
      </c>
      <c r="C226">
        <v>8</v>
      </c>
      <c r="D226">
        <v>2032</v>
      </c>
      <c r="E226">
        <v>54440138</v>
      </c>
    </row>
    <row r="227" spans="1:5" x14ac:dyDescent="0.25">
      <c r="A227">
        <v>0</v>
      </c>
      <c r="B227">
        <v>0</v>
      </c>
      <c r="C227">
        <v>8</v>
      </c>
      <c r="D227">
        <v>2033</v>
      </c>
      <c r="E227">
        <v>54871094</v>
      </c>
    </row>
    <row r="228" spans="1:5" x14ac:dyDescent="0.25">
      <c r="A228">
        <v>0</v>
      </c>
      <c r="B228">
        <v>0</v>
      </c>
      <c r="C228">
        <v>8</v>
      </c>
      <c r="D228">
        <v>2034</v>
      </c>
      <c r="E228">
        <v>55300507</v>
      </c>
    </row>
    <row r="229" spans="1:5" x14ac:dyDescent="0.25">
      <c r="A229">
        <v>0</v>
      </c>
      <c r="B229">
        <v>0</v>
      </c>
      <c r="C229">
        <v>8</v>
      </c>
      <c r="D229">
        <v>2035</v>
      </c>
      <c r="E229">
        <v>55728268</v>
      </c>
    </row>
    <row r="230" spans="1:5" x14ac:dyDescent="0.25">
      <c r="A230">
        <v>0</v>
      </c>
      <c r="B230">
        <v>0</v>
      </c>
      <c r="C230">
        <v>8</v>
      </c>
      <c r="D230">
        <v>2036</v>
      </c>
      <c r="E230">
        <v>56154259</v>
      </c>
    </row>
    <row r="231" spans="1:5" x14ac:dyDescent="0.25">
      <c r="A231">
        <v>0</v>
      </c>
      <c r="B231">
        <v>0</v>
      </c>
      <c r="C231">
        <v>8</v>
      </c>
      <c r="D231">
        <v>2037</v>
      </c>
      <c r="E231">
        <v>56578336</v>
      </c>
    </row>
    <row r="232" spans="1:5" x14ac:dyDescent="0.25">
      <c r="A232">
        <v>0</v>
      </c>
      <c r="B232">
        <v>0</v>
      </c>
      <c r="C232">
        <v>8</v>
      </c>
      <c r="D232">
        <v>2038</v>
      </c>
      <c r="E232">
        <v>57000416</v>
      </c>
    </row>
    <row r="233" spans="1:5" x14ac:dyDescent="0.25">
      <c r="A233">
        <v>0</v>
      </c>
      <c r="B233">
        <v>0</v>
      </c>
      <c r="C233">
        <v>8</v>
      </c>
      <c r="D233">
        <v>2039</v>
      </c>
      <c r="E233">
        <v>57420416</v>
      </c>
    </row>
    <row r="234" spans="1:5" x14ac:dyDescent="0.25">
      <c r="A234">
        <v>0</v>
      </c>
      <c r="B234">
        <v>0</v>
      </c>
      <c r="C234">
        <v>8</v>
      </c>
      <c r="D234">
        <v>2040</v>
      </c>
      <c r="E234">
        <v>57838201</v>
      </c>
    </row>
    <row r="235" spans="1:5" x14ac:dyDescent="0.25">
      <c r="A235">
        <v>0</v>
      </c>
      <c r="B235">
        <v>0</v>
      </c>
      <c r="C235">
        <v>8</v>
      </c>
      <c r="D235">
        <v>2041</v>
      </c>
      <c r="E235">
        <v>58253559</v>
      </c>
    </row>
    <row r="236" spans="1:5" x14ac:dyDescent="0.25">
      <c r="A236">
        <v>0</v>
      </c>
      <c r="B236">
        <v>0</v>
      </c>
      <c r="C236">
        <v>8</v>
      </c>
      <c r="D236">
        <v>2042</v>
      </c>
      <c r="E236">
        <v>58666401</v>
      </c>
    </row>
    <row r="237" spans="1:5" x14ac:dyDescent="0.25">
      <c r="A237">
        <v>0</v>
      </c>
      <c r="B237">
        <v>0</v>
      </c>
      <c r="C237">
        <v>8</v>
      </c>
      <c r="D237">
        <v>2043</v>
      </c>
      <c r="E237">
        <v>59076711</v>
      </c>
    </row>
    <row r="238" spans="1:5" x14ac:dyDescent="0.25">
      <c r="A238">
        <v>0</v>
      </c>
      <c r="B238">
        <v>0</v>
      </c>
      <c r="C238">
        <v>8</v>
      </c>
      <c r="D238">
        <v>2044</v>
      </c>
      <c r="E238">
        <v>59484661</v>
      </c>
    </row>
    <row r="239" spans="1:5" x14ac:dyDescent="0.25">
      <c r="A239">
        <v>0</v>
      </c>
      <c r="B239">
        <v>0</v>
      </c>
      <c r="C239">
        <v>8</v>
      </c>
      <c r="D239">
        <v>2045</v>
      </c>
      <c r="E239">
        <v>59890494</v>
      </c>
    </row>
    <row r="240" spans="1:5" x14ac:dyDescent="0.25">
      <c r="A240">
        <v>0</v>
      </c>
      <c r="B240">
        <v>0</v>
      </c>
      <c r="C240">
        <v>8</v>
      </c>
      <c r="D240">
        <v>2046</v>
      </c>
      <c r="E240">
        <v>60294724</v>
      </c>
    </row>
    <row r="241" spans="1:5" x14ac:dyDescent="0.25">
      <c r="A241">
        <v>0</v>
      </c>
      <c r="B241">
        <v>0</v>
      </c>
      <c r="C241">
        <v>8</v>
      </c>
      <c r="D241">
        <v>2047</v>
      </c>
      <c r="E241">
        <v>60697609</v>
      </c>
    </row>
    <row r="242" spans="1:5" x14ac:dyDescent="0.25">
      <c r="A242">
        <v>0</v>
      </c>
      <c r="B242">
        <v>0</v>
      </c>
      <c r="C242">
        <v>8</v>
      </c>
      <c r="D242">
        <v>2048</v>
      </c>
      <c r="E242">
        <v>61099557</v>
      </c>
    </row>
    <row r="243" spans="1:5" x14ac:dyDescent="0.25">
      <c r="A243">
        <v>0</v>
      </c>
      <c r="B243">
        <v>0</v>
      </c>
      <c r="C243">
        <v>8</v>
      </c>
      <c r="D243">
        <v>2049</v>
      </c>
      <c r="E243">
        <v>61501027</v>
      </c>
    </row>
    <row r="244" spans="1:5" x14ac:dyDescent="0.25">
      <c r="A244">
        <v>0</v>
      </c>
      <c r="B244">
        <v>0</v>
      </c>
      <c r="C244">
        <v>8</v>
      </c>
      <c r="D244">
        <v>2050</v>
      </c>
      <c r="E244">
        <v>61902555</v>
      </c>
    </row>
    <row r="245" spans="1:5" x14ac:dyDescent="0.25">
      <c r="A245">
        <v>0</v>
      </c>
      <c r="B245">
        <v>0</v>
      </c>
      <c r="C245">
        <v>9</v>
      </c>
      <c r="D245">
        <v>2024</v>
      </c>
      <c r="E245">
        <v>7395237</v>
      </c>
    </row>
    <row r="246" spans="1:5" x14ac:dyDescent="0.25">
      <c r="A246">
        <v>0</v>
      </c>
      <c r="B246">
        <v>0</v>
      </c>
      <c r="C246">
        <v>9</v>
      </c>
      <c r="D246">
        <v>2025</v>
      </c>
      <c r="E246">
        <v>7455131</v>
      </c>
    </row>
    <row r="247" spans="1:5" x14ac:dyDescent="0.25">
      <c r="A247">
        <v>0</v>
      </c>
      <c r="B247">
        <v>0</v>
      </c>
      <c r="C247">
        <v>9</v>
      </c>
      <c r="D247">
        <v>2026</v>
      </c>
      <c r="E247">
        <v>7514777</v>
      </c>
    </row>
    <row r="248" spans="1:5" x14ac:dyDescent="0.25">
      <c r="A248">
        <v>0</v>
      </c>
      <c r="B248">
        <v>0</v>
      </c>
      <c r="C248">
        <v>9</v>
      </c>
      <c r="D248">
        <v>2027</v>
      </c>
      <c r="E248">
        <v>7574120</v>
      </c>
    </row>
    <row r="249" spans="1:5" x14ac:dyDescent="0.25">
      <c r="A249">
        <v>0</v>
      </c>
      <c r="B249">
        <v>0</v>
      </c>
      <c r="C249">
        <v>9</v>
      </c>
      <c r="D249">
        <v>2028</v>
      </c>
      <c r="E249">
        <v>7633039</v>
      </c>
    </row>
    <row r="250" spans="1:5" x14ac:dyDescent="0.25">
      <c r="A250">
        <v>0</v>
      </c>
      <c r="B250">
        <v>0</v>
      </c>
      <c r="C250">
        <v>9</v>
      </c>
      <c r="D250">
        <v>2029</v>
      </c>
      <c r="E250">
        <v>7691377</v>
      </c>
    </row>
    <row r="251" spans="1:5" x14ac:dyDescent="0.25">
      <c r="A251">
        <v>0</v>
      </c>
      <c r="B251">
        <v>0</v>
      </c>
      <c r="C251">
        <v>9</v>
      </c>
      <c r="D251">
        <v>2030</v>
      </c>
      <c r="E251">
        <v>7749118</v>
      </c>
    </row>
    <row r="252" spans="1:5" x14ac:dyDescent="0.25">
      <c r="A252">
        <v>0</v>
      </c>
      <c r="B252">
        <v>0</v>
      </c>
      <c r="C252">
        <v>9</v>
      </c>
      <c r="D252">
        <v>2031</v>
      </c>
      <c r="E252">
        <v>7806303</v>
      </c>
    </row>
    <row r="253" spans="1:5" x14ac:dyDescent="0.25">
      <c r="A253">
        <v>0</v>
      </c>
      <c r="B253">
        <v>0</v>
      </c>
      <c r="C253">
        <v>9</v>
      </c>
      <c r="D253">
        <v>2032</v>
      </c>
      <c r="E253">
        <v>7862832</v>
      </c>
    </row>
    <row r="254" spans="1:5" x14ac:dyDescent="0.25">
      <c r="A254">
        <v>0</v>
      </c>
      <c r="B254">
        <v>0</v>
      </c>
      <c r="C254">
        <v>9</v>
      </c>
      <c r="D254">
        <v>2033</v>
      </c>
      <c r="E254">
        <v>7918678</v>
      </c>
    </row>
    <row r="255" spans="1:5" x14ac:dyDescent="0.25">
      <c r="A255">
        <v>0</v>
      </c>
      <c r="B255">
        <v>0</v>
      </c>
      <c r="C255">
        <v>9</v>
      </c>
      <c r="D255">
        <v>2034</v>
      </c>
      <c r="E255">
        <v>7973818</v>
      </c>
    </row>
    <row r="256" spans="1:5" x14ac:dyDescent="0.25">
      <c r="A256">
        <v>0</v>
      </c>
      <c r="B256">
        <v>0</v>
      </c>
      <c r="C256">
        <v>9</v>
      </c>
      <c r="D256">
        <v>2035</v>
      </c>
      <c r="E256">
        <v>8028210</v>
      </c>
    </row>
    <row r="257" spans="1:5" x14ac:dyDescent="0.25">
      <c r="A257">
        <v>0</v>
      </c>
      <c r="B257">
        <v>0</v>
      </c>
      <c r="C257">
        <v>9</v>
      </c>
      <c r="D257">
        <v>2036</v>
      </c>
      <c r="E257">
        <v>8081766</v>
      </c>
    </row>
    <row r="258" spans="1:5" x14ac:dyDescent="0.25">
      <c r="A258">
        <v>0</v>
      </c>
      <c r="B258">
        <v>0</v>
      </c>
      <c r="C258">
        <v>9</v>
      </c>
      <c r="D258">
        <v>2037</v>
      </c>
      <c r="E258">
        <v>8134435</v>
      </c>
    </row>
    <row r="259" spans="1:5" x14ac:dyDescent="0.25">
      <c r="A259">
        <v>0</v>
      </c>
      <c r="B259">
        <v>0</v>
      </c>
      <c r="C259">
        <v>9</v>
      </c>
      <c r="D259">
        <v>2038</v>
      </c>
      <c r="E259">
        <v>8186091</v>
      </c>
    </row>
    <row r="260" spans="1:5" x14ac:dyDescent="0.25">
      <c r="A260">
        <v>0</v>
      </c>
      <c r="B260">
        <v>0</v>
      </c>
      <c r="C260">
        <v>9</v>
      </c>
      <c r="D260">
        <v>2039</v>
      </c>
      <c r="E260">
        <v>8236673</v>
      </c>
    </row>
    <row r="261" spans="1:5" x14ac:dyDescent="0.25">
      <c r="A261">
        <v>0</v>
      </c>
      <c r="B261">
        <v>0</v>
      </c>
      <c r="C261">
        <v>9</v>
      </c>
      <c r="D261">
        <v>2040</v>
      </c>
      <c r="E261">
        <v>8286124</v>
      </c>
    </row>
    <row r="262" spans="1:5" x14ac:dyDescent="0.25">
      <c r="A262">
        <v>0</v>
      </c>
      <c r="B262">
        <v>0</v>
      </c>
      <c r="C262">
        <v>9</v>
      </c>
      <c r="D262">
        <v>2041</v>
      </c>
      <c r="E262">
        <v>8334297</v>
      </c>
    </row>
    <row r="263" spans="1:5" x14ac:dyDescent="0.25">
      <c r="A263">
        <v>0</v>
      </c>
      <c r="B263">
        <v>0</v>
      </c>
      <c r="C263">
        <v>9</v>
      </c>
      <c r="D263">
        <v>2042</v>
      </c>
      <c r="E263">
        <v>8381157</v>
      </c>
    </row>
    <row r="264" spans="1:5" x14ac:dyDescent="0.25">
      <c r="A264">
        <v>0</v>
      </c>
      <c r="B264">
        <v>0</v>
      </c>
      <c r="C264">
        <v>9</v>
      </c>
      <c r="D264">
        <v>2043</v>
      </c>
      <c r="E264">
        <v>8426593</v>
      </c>
    </row>
    <row r="265" spans="1:5" x14ac:dyDescent="0.25">
      <c r="A265">
        <v>0</v>
      </c>
      <c r="B265">
        <v>0</v>
      </c>
      <c r="C265">
        <v>9</v>
      </c>
      <c r="D265">
        <v>2044</v>
      </c>
      <c r="E265">
        <v>8470631</v>
      </c>
    </row>
    <row r="266" spans="1:5" x14ac:dyDescent="0.25">
      <c r="A266">
        <v>0</v>
      </c>
      <c r="B266">
        <v>0</v>
      </c>
      <c r="C266">
        <v>9</v>
      </c>
      <c r="D266">
        <v>2045</v>
      </c>
      <c r="E266">
        <v>8513289</v>
      </c>
    </row>
    <row r="267" spans="1:5" x14ac:dyDescent="0.25">
      <c r="A267">
        <v>0</v>
      </c>
      <c r="B267">
        <v>0</v>
      </c>
      <c r="C267">
        <v>9</v>
      </c>
      <c r="D267">
        <v>2046</v>
      </c>
      <c r="E267">
        <v>8554500</v>
      </c>
    </row>
    <row r="268" spans="1:5" x14ac:dyDescent="0.25">
      <c r="A268">
        <v>0</v>
      </c>
      <c r="B268">
        <v>0</v>
      </c>
      <c r="C268">
        <v>9</v>
      </c>
      <c r="D268">
        <v>2047</v>
      </c>
      <c r="E268">
        <v>8594289</v>
      </c>
    </row>
    <row r="269" spans="1:5" x14ac:dyDescent="0.25">
      <c r="A269">
        <v>0</v>
      </c>
      <c r="B269">
        <v>0</v>
      </c>
      <c r="C269">
        <v>9</v>
      </c>
      <c r="D269">
        <v>2048</v>
      </c>
      <c r="E269">
        <v>8632729</v>
      </c>
    </row>
    <row r="270" spans="1:5" x14ac:dyDescent="0.25">
      <c r="A270">
        <v>0</v>
      </c>
      <c r="B270">
        <v>0</v>
      </c>
      <c r="C270">
        <v>9</v>
      </c>
      <c r="D270">
        <v>2049</v>
      </c>
      <c r="E270">
        <v>8669807</v>
      </c>
    </row>
    <row r="271" spans="1:5" x14ac:dyDescent="0.25">
      <c r="A271">
        <v>0</v>
      </c>
      <c r="B271">
        <v>0</v>
      </c>
      <c r="C271">
        <v>9</v>
      </c>
      <c r="D271">
        <v>2050</v>
      </c>
      <c r="E271">
        <v>8705566</v>
      </c>
    </row>
    <row r="272" spans="1:5" x14ac:dyDescent="0.25">
      <c r="A272">
        <v>0</v>
      </c>
      <c r="B272">
        <v>0</v>
      </c>
      <c r="C272">
        <v>10</v>
      </c>
      <c r="D272">
        <v>2024</v>
      </c>
      <c r="E272">
        <v>25668974</v>
      </c>
    </row>
    <row r="273" spans="1:5" x14ac:dyDescent="0.25">
      <c r="A273">
        <v>0</v>
      </c>
      <c r="B273">
        <v>0</v>
      </c>
      <c r="C273">
        <v>10</v>
      </c>
      <c r="D273">
        <v>2025</v>
      </c>
      <c r="E273">
        <v>26165648</v>
      </c>
    </row>
    <row r="274" spans="1:5" x14ac:dyDescent="0.25">
      <c r="A274">
        <v>0</v>
      </c>
      <c r="B274">
        <v>0</v>
      </c>
      <c r="C274">
        <v>10</v>
      </c>
      <c r="D274">
        <v>2026</v>
      </c>
      <c r="E274">
        <v>26665016</v>
      </c>
    </row>
    <row r="275" spans="1:5" x14ac:dyDescent="0.25">
      <c r="A275">
        <v>0</v>
      </c>
      <c r="B275">
        <v>0</v>
      </c>
      <c r="C275">
        <v>10</v>
      </c>
      <c r="D275">
        <v>2027</v>
      </c>
      <c r="E275">
        <v>27165847</v>
      </c>
    </row>
    <row r="276" spans="1:5" x14ac:dyDescent="0.25">
      <c r="A276">
        <v>0</v>
      </c>
      <c r="B276">
        <v>0</v>
      </c>
      <c r="C276">
        <v>10</v>
      </c>
      <c r="D276">
        <v>2028</v>
      </c>
      <c r="E276">
        <v>27667176</v>
      </c>
    </row>
    <row r="277" spans="1:5" x14ac:dyDescent="0.25">
      <c r="A277">
        <v>0</v>
      </c>
      <c r="B277">
        <v>0</v>
      </c>
      <c r="C277">
        <v>10</v>
      </c>
      <c r="D277">
        <v>2029</v>
      </c>
      <c r="E277">
        <v>28169463</v>
      </c>
    </row>
    <row r="278" spans="1:5" x14ac:dyDescent="0.25">
      <c r="A278">
        <v>0</v>
      </c>
      <c r="B278">
        <v>0</v>
      </c>
      <c r="C278">
        <v>10</v>
      </c>
      <c r="D278">
        <v>2030</v>
      </c>
      <c r="E278">
        <v>28671079</v>
      </c>
    </row>
    <row r="279" spans="1:5" x14ac:dyDescent="0.25">
      <c r="A279">
        <v>0</v>
      </c>
      <c r="B279">
        <v>0</v>
      </c>
      <c r="C279">
        <v>10</v>
      </c>
      <c r="D279">
        <v>2031</v>
      </c>
      <c r="E279">
        <v>29169694</v>
      </c>
    </row>
    <row r="280" spans="1:5" x14ac:dyDescent="0.25">
      <c r="A280">
        <v>0</v>
      </c>
      <c r="B280">
        <v>0</v>
      </c>
      <c r="C280">
        <v>10</v>
      </c>
      <c r="D280">
        <v>2032</v>
      </c>
      <c r="E280">
        <v>29663188</v>
      </c>
    </row>
    <row r="281" spans="1:5" x14ac:dyDescent="0.25">
      <c r="A281">
        <v>0</v>
      </c>
      <c r="B281">
        <v>0</v>
      </c>
      <c r="C281">
        <v>10</v>
      </c>
      <c r="D281">
        <v>2033</v>
      </c>
      <c r="E281">
        <v>30157526</v>
      </c>
    </row>
    <row r="282" spans="1:5" x14ac:dyDescent="0.25">
      <c r="A282">
        <v>0</v>
      </c>
      <c r="B282">
        <v>0</v>
      </c>
      <c r="C282">
        <v>10</v>
      </c>
      <c r="D282">
        <v>2034</v>
      </c>
      <c r="E282">
        <v>30652327</v>
      </c>
    </row>
    <row r="283" spans="1:5" x14ac:dyDescent="0.25">
      <c r="A283">
        <v>0</v>
      </c>
      <c r="B283">
        <v>0</v>
      </c>
      <c r="C283">
        <v>10</v>
      </c>
      <c r="D283">
        <v>2035</v>
      </c>
      <c r="E283">
        <v>31147349</v>
      </c>
    </row>
    <row r="284" spans="1:5" x14ac:dyDescent="0.25">
      <c r="A284">
        <v>0</v>
      </c>
      <c r="B284">
        <v>0</v>
      </c>
      <c r="C284">
        <v>10</v>
      </c>
      <c r="D284">
        <v>2036</v>
      </c>
      <c r="E284">
        <v>31642286</v>
      </c>
    </row>
    <row r="285" spans="1:5" x14ac:dyDescent="0.25">
      <c r="A285">
        <v>0</v>
      </c>
      <c r="B285">
        <v>0</v>
      </c>
      <c r="C285">
        <v>10</v>
      </c>
      <c r="D285">
        <v>2037</v>
      </c>
      <c r="E285">
        <v>32136820</v>
      </c>
    </row>
    <row r="286" spans="1:5" x14ac:dyDescent="0.25">
      <c r="A286">
        <v>0</v>
      </c>
      <c r="B286">
        <v>0</v>
      </c>
      <c r="C286">
        <v>10</v>
      </c>
      <c r="D286">
        <v>2038</v>
      </c>
      <c r="E286">
        <v>32630590</v>
      </c>
    </row>
    <row r="287" spans="1:5" x14ac:dyDescent="0.25">
      <c r="A287">
        <v>0</v>
      </c>
      <c r="B287">
        <v>0</v>
      </c>
      <c r="C287">
        <v>10</v>
      </c>
      <c r="D287">
        <v>2039</v>
      </c>
      <c r="E287">
        <v>33123375</v>
      </c>
    </row>
    <row r="288" spans="1:5" x14ac:dyDescent="0.25">
      <c r="A288">
        <v>0</v>
      </c>
      <c r="B288">
        <v>0</v>
      </c>
      <c r="C288">
        <v>10</v>
      </c>
      <c r="D288">
        <v>2040</v>
      </c>
      <c r="E288">
        <v>33614934</v>
      </c>
    </row>
    <row r="289" spans="1:5" x14ac:dyDescent="0.25">
      <c r="A289">
        <v>0</v>
      </c>
      <c r="B289">
        <v>0</v>
      </c>
      <c r="C289">
        <v>10</v>
      </c>
      <c r="D289">
        <v>2041</v>
      </c>
      <c r="E289">
        <v>34105088</v>
      </c>
    </row>
    <row r="290" spans="1:5" x14ac:dyDescent="0.25">
      <c r="A290">
        <v>0</v>
      </c>
      <c r="B290">
        <v>0</v>
      </c>
      <c r="C290">
        <v>10</v>
      </c>
      <c r="D290">
        <v>2042</v>
      </c>
      <c r="E290">
        <v>34593819</v>
      </c>
    </row>
    <row r="291" spans="1:5" x14ac:dyDescent="0.25">
      <c r="A291">
        <v>0</v>
      </c>
      <c r="B291">
        <v>0</v>
      </c>
      <c r="C291">
        <v>10</v>
      </c>
      <c r="D291">
        <v>2043</v>
      </c>
      <c r="E291">
        <v>35081099</v>
      </c>
    </row>
    <row r="292" spans="1:5" x14ac:dyDescent="0.25">
      <c r="A292">
        <v>0</v>
      </c>
      <c r="B292">
        <v>0</v>
      </c>
      <c r="C292">
        <v>10</v>
      </c>
      <c r="D292">
        <v>2044</v>
      </c>
      <c r="E292">
        <v>35566876</v>
      </c>
    </row>
    <row r="293" spans="1:5" x14ac:dyDescent="0.25">
      <c r="A293">
        <v>0</v>
      </c>
      <c r="B293">
        <v>0</v>
      </c>
      <c r="C293">
        <v>10</v>
      </c>
      <c r="D293">
        <v>2045</v>
      </c>
      <c r="E293">
        <v>36051126</v>
      </c>
    </row>
    <row r="294" spans="1:5" x14ac:dyDescent="0.25">
      <c r="A294">
        <v>0</v>
      </c>
      <c r="B294">
        <v>0</v>
      </c>
      <c r="C294">
        <v>10</v>
      </c>
      <c r="D294">
        <v>2046</v>
      </c>
      <c r="E294">
        <v>36533735</v>
      </c>
    </row>
    <row r="295" spans="1:5" x14ac:dyDescent="0.25">
      <c r="A295">
        <v>0</v>
      </c>
      <c r="B295">
        <v>0</v>
      </c>
      <c r="C295">
        <v>10</v>
      </c>
      <c r="D295">
        <v>2047</v>
      </c>
      <c r="E295">
        <v>37014621</v>
      </c>
    </row>
    <row r="296" spans="1:5" x14ac:dyDescent="0.25">
      <c r="A296">
        <v>0</v>
      </c>
      <c r="B296">
        <v>0</v>
      </c>
      <c r="C296">
        <v>10</v>
      </c>
      <c r="D296">
        <v>2048</v>
      </c>
      <c r="E296">
        <v>37493621</v>
      </c>
    </row>
    <row r="297" spans="1:5" x14ac:dyDescent="0.25">
      <c r="A297">
        <v>0</v>
      </c>
      <c r="B297">
        <v>0</v>
      </c>
      <c r="C297">
        <v>10</v>
      </c>
      <c r="D297">
        <v>2049</v>
      </c>
      <c r="E297">
        <v>37970607</v>
      </c>
    </row>
    <row r="298" spans="1:5" x14ac:dyDescent="0.25">
      <c r="A298">
        <v>0</v>
      </c>
      <c r="B298">
        <v>0</v>
      </c>
      <c r="C298">
        <v>10</v>
      </c>
      <c r="D298">
        <v>2050</v>
      </c>
      <c r="E298">
        <v>38445445</v>
      </c>
    </row>
    <row r="299" spans="1:5" x14ac:dyDescent="0.25">
      <c r="A299">
        <v>0</v>
      </c>
      <c r="B299">
        <v>0</v>
      </c>
      <c r="C299">
        <v>11</v>
      </c>
      <c r="D299">
        <v>2024</v>
      </c>
      <c r="E299">
        <v>1816474</v>
      </c>
    </row>
    <row r="300" spans="1:5" x14ac:dyDescent="0.25">
      <c r="A300">
        <v>0</v>
      </c>
      <c r="B300">
        <v>0</v>
      </c>
      <c r="C300">
        <v>11</v>
      </c>
      <c r="D300">
        <v>2025</v>
      </c>
      <c r="E300">
        <v>1845026</v>
      </c>
    </row>
    <row r="301" spans="1:5" x14ac:dyDescent="0.25">
      <c r="A301">
        <v>0</v>
      </c>
      <c r="B301">
        <v>0</v>
      </c>
      <c r="C301">
        <v>11</v>
      </c>
      <c r="D301">
        <v>2026</v>
      </c>
      <c r="E301">
        <v>1873746</v>
      </c>
    </row>
    <row r="302" spans="1:5" x14ac:dyDescent="0.25">
      <c r="A302">
        <v>0</v>
      </c>
      <c r="B302">
        <v>0</v>
      </c>
      <c r="C302">
        <v>11</v>
      </c>
      <c r="D302">
        <v>2027</v>
      </c>
      <c r="E302">
        <v>1902522</v>
      </c>
    </row>
    <row r="303" spans="1:5" x14ac:dyDescent="0.25">
      <c r="A303">
        <v>0</v>
      </c>
      <c r="B303">
        <v>0</v>
      </c>
      <c r="C303">
        <v>11</v>
      </c>
      <c r="D303">
        <v>2028</v>
      </c>
      <c r="E303">
        <v>1931374</v>
      </c>
    </row>
    <row r="304" spans="1:5" x14ac:dyDescent="0.25">
      <c r="A304">
        <v>0</v>
      </c>
      <c r="B304">
        <v>0</v>
      </c>
      <c r="C304">
        <v>11</v>
      </c>
      <c r="D304">
        <v>2029</v>
      </c>
      <c r="E304">
        <v>1960254</v>
      </c>
    </row>
    <row r="305" spans="1:5" x14ac:dyDescent="0.25">
      <c r="A305">
        <v>0</v>
      </c>
      <c r="B305">
        <v>0</v>
      </c>
      <c r="C305">
        <v>11</v>
      </c>
      <c r="D305">
        <v>2030</v>
      </c>
      <c r="E305">
        <v>1989202</v>
      </c>
    </row>
    <row r="306" spans="1:5" x14ac:dyDescent="0.25">
      <c r="A306">
        <v>0</v>
      </c>
      <c r="B306">
        <v>0</v>
      </c>
      <c r="C306">
        <v>11</v>
      </c>
      <c r="D306">
        <v>2031</v>
      </c>
      <c r="E306">
        <v>2018121</v>
      </c>
    </row>
    <row r="307" spans="1:5" x14ac:dyDescent="0.25">
      <c r="A307">
        <v>0</v>
      </c>
      <c r="B307">
        <v>0</v>
      </c>
      <c r="C307">
        <v>11</v>
      </c>
      <c r="D307">
        <v>2032</v>
      </c>
      <c r="E307">
        <v>2047023</v>
      </c>
    </row>
    <row r="308" spans="1:5" x14ac:dyDescent="0.25">
      <c r="A308">
        <v>0</v>
      </c>
      <c r="B308">
        <v>0</v>
      </c>
      <c r="C308">
        <v>11</v>
      </c>
      <c r="D308">
        <v>2033</v>
      </c>
      <c r="E308">
        <v>2076036</v>
      </c>
    </row>
    <row r="309" spans="1:5" x14ac:dyDescent="0.25">
      <c r="A309">
        <v>0</v>
      </c>
      <c r="B309">
        <v>0</v>
      </c>
      <c r="C309">
        <v>11</v>
      </c>
      <c r="D309">
        <v>2034</v>
      </c>
      <c r="E309">
        <v>2105185</v>
      </c>
    </row>
    <row r="310" spans="1:5" x14ac:dyDescent="0.25">
      <c r="A310">
        <v>0</v>
      </c>
      <c r="B310">
        <v>0</v>
      </c>
      <c r="C310">
        <v>11</v>
      </c>
      <c r="D310">
        <v>2035</v>
      </c>
      <c r="E310">
        <v>2134443</v>
      </c>
    </row>
    <row r="311" spans="1:5" x14ac:dyDescent="0.25">
      <c r="A311">
        <v>0</v>
      </c>
      <c r="B311">
        <v>0</v>
      </c>
      <c r="C311">
        <v>11</v>
      </c>
      <c r="D311">
        <v>2036</v>
      </c>
      <c r="E311">
        <v>2163816</v>
      </c>
    </row>
    <row r="312" spans="1:5" x14ac:dyDescent="0.25">
      <c r="A312">
        <v>0</v>
      </c>
      <c r="B312">
        <v>0</v>
      </c>
      <c r="C312">
        <v>11</v>
      </c>
      <c r="D312">
        <v>2037</v>
      </c>
      <c r="E312">
        <v>2193270</v>
      </c>
    </row>
    <row r="313" spans="1:5" x14ac:dyDescent="0.25">
      <c r="A313">
        <v>0</v>
      </c>
      <c r="B313">
        <v>0</v>
      </c>
      <c r="C313">
        <v>11</v>
      </c>
      <c r="D313">
        <v>2038</v>
      </c>
      <c r="E313">
        <v>2222771</v>
      </c>
    </row>
    <row r="314" spans="1:5" x14ac:dyDescent="0.25">
      <c r="A314">
        <v>0</v>
      </c>
      <c r="B314">
        <v>0</v>
      </c>
      <c r="C314">
        <v>11</v>
      </c>
      <c r="D314">
        <v>2039</v>
      </c>
      <c r="E314">
        <v>2252290</v>
      </c>
    </row>
    <row r="315" spans="1:5" x14ac:dyDescent="0.25">
      <c r="A315">
        <v>0</v>
      </c>
      <c r="B315">
        <v>0</v>
      </c>
      <c r="C315">
        <v>11</v>
      </c>
      <c r="D315">
        <v>2040</v>
      </c>
      <c r="E315">
        <v>2281800</v>
      </c>
    </row>
    <row r="316" spans="1:5" x14ac:dyDescent="0.25">
      <c r="A316">
        <v>0</v>
      </c>
      <c r="B316">
        <v>0</v>
      </c>
      <c r="C316">
        <v>11</v>
      </c>
      <c r="D316">
        <v>2041</v>
      </c>
      <c r="E316">
        <v>2311267</v>
      </c>
    </row>
    <row r="317" spans="1:5" x14ac:dyDescent="0.25">
      <c r="A317">
        <v>0</v>
      </c>
      <c r="B317">
        <v>0</v>
      </c>
      <c r="C317">
        <v>11</v>
      </c>
      <c r="D317">
        <v>2042</v>
      </c>
      <c r="E317">
        <v>2340682</v>
      </c>
    </row>
    <row r="318" spans="1:5" x14ac:dyDescent="0.25">
      <c r="A318">
        <v>0</v>
      </c>
      <c r="B318">
        <v>0</v>
      </c>
      <c r="C318">
        <v>11</v>
      </c>
      <c r="D318">
        <v>2043</v>
      </c>
      <c r="E318">
        <v>2370029</v>
      </c>
    </row>
    <row r="319" spans="1:5" x14ac:dyDescent="0.25">
      <c r="A319">
        <v>0</v>
      </c>
      <c r="B319">
        <v>0</v>
      </c>
      <c r="C319">
        <v>11</v>
      </c>
      <c r="D319">
        <v>2044</v>
      </c>
      <c r="E319">
        <v>2399321</v>
      </c>
    </row>
    <row r="320" spans="1:5" x14ac:dyDescent="0.25">
      <c r="A320">
        <v>0</v>
      </c>
      <c r="B320">
        <v>0</v>
      </c>
      <c r="C320">
        <v>11</v>
      </c>
      <c r="D320">
        <v>2045</v>
      </c>
      <c r="E320">
        <v>2428478</v>
      </c>
    </row>
    <row r="321" spans="1:5" x14ac:dyDescent="0.25">
      <c r="A321">
        <v>0</v>
      </c>
      <c r="B321">
        <v>0</v>
      </c>
      <c r="C321">
        <v>11</v>
      </c>
      <c r="D321">
        <v>2046</v>
      </c>
      <c r="E321">
        <v>2457538</v>
      </c>
    </row>
    <row r="322" spans="1:5" x14ac:dyDescent="0.25">
      <c r="A322">
        <v>0</v>
      </c>
      <c r="B322">
        <v>0</v>
      </c>
      <c r="C322">
        <v>11</v>
      </c>
      <c r="D322">
        <v>2047</v>
      </c>
      <c r="E322">
        <v>2486532</v>
      </c>
    </row>
    <row r="323" spans="1:5" x14ac:dyDescent="0.25">
      <c r="A323">
        <v>0</v>
      </c>
      <c r="B323">
        <v>0</v>
      </c>
      <c r="C323">
        <v>11</v>
      </c>
      <c r="D323">
        <v>2048</v>
      </c>
      <c r="E323">
        <v>2515349</v>
      </c>
    </row>
    <row r="324" spans="1:5" x14ac:dyDescent="0.25">
      <c r="A324">
        <v>0</v>
      </c>
      <c r="B324">
        <v>0</v>
      </c>
      <c r="C324">
        <v>11</v>
      </c>
      <c r="D324">
        <v>2049</v>
      </c>
      <c r="E324">
        <v>2544046</v>
      </c>
    </row>
    <row r="325" spans="1:5" x14ac:dyDescent="0.25">
      <c r="A325">
        <v>0</v>
      </c>
      <c r="B325">
        <v>0</v>
      </c>
      <c r="C325">
        <v>11</v>
      </c>
      <c r="D325">
        <v>2050</v>
      </c>
      <c r="E325">
        <v>2572595</v>
      </c>
    </row>
    <row r="326" spans="1:5" x14ac:dyDescent="0.25">
      <c r="A326">
        <v>0</v>
      </c>
      <c r="B326">
        <v>1</v>
      </c>
      <c r="C326">
        <v>0</v>
      </c>
      <c r="D326">
        <v>2024</v>
      </c>
      <c r="E326">
        <v>270821145</v>
      </c>
    </row>
    <row r="327" spans="1:5" x14ac:dyDescent="0.25">
      <c r="A327">
        <v>0</v>
      </c>
      <c r="B327">
        <v>1</v>
      </c>
      <c r="C327">
        <v>0</v>
      </c>
      <c r="D327">
        <v>2025</v>
      </c>
      <c r="E327">
        <v>271358885</v>
      </c>
    </row>
    <row r="328" spans="1:5" x14ac:dyDescent="0.25">
      <c r="A328">
        <v>0</v>
      </c>
      <c r="B328">
        <v>1</v>
      </c>
      <c r="C328">
        <v>0</v>
      </c>
      <c r="D328">
        <v>2026</v>
      </c>
      <c r="E328">
        <v>271856850</v>
      </c>
    </row>
    <row r="329" spans="1:5" x14ac:dyDescent="0.25">
      <c r="A329">
        <v>0</v>
      </c>
      <c r="B329">
        <v>1</v>
      </c>
      <c r="C329">
        <v>0</v>
      </c>
      <c r="D329">
        <v>2027</v>
      </c>
      <c r="E329">
        <v>272312447</v>
      </c>
    </row>
    <row r="330" spans="1:5" x14ac:dyDescent="0.25">
      <c r="A330">
        <v>0</v>
      </c>
      <c r="B330">
        <v>1</v>
      </c>
      <c r="C330">
        <v>0</v>
      </c>
      <c r="D330">
        <v>2028</v>
      </c>
      <c r="E330">
        <v>272722125</v>
      </c>
    </row>
    <row r="331" spans="1:5" x14ac:dyDescent="0.25">
      <c r="A331">
        <v>0</v>
      </c>
      <c r="B331">
        <v>1</v>
      </c>
      <c r="C331">
        <v>0</v>
      </c>
      <c r="D331">
        <v>2029</v>
      </c>
      <c r="E331">
        <v>273084942</v>
      </c>
    </row>
    <row r="332" spans="1:5" x14ac:dyDescent="0.25">
      <c r="A332">
        <v>0</v>
      </c>
      <c r="B332">
        <v>1</v>
      </c>
      <c r="C332">
        <v>0</v>
      </c>
      <c r="D332">
        <v>2030</v>
      </c>
      <c r="E332">
        <v>273396771</v>
      </c>
    </row>
    <row r="333" spans="1:5" x14ac:dyDescent="0.25">
      <c r="A333">
        <v>0</v>
      </c>
      <c r="B333">
        <v>1</v>
      </c>
      <c r="C333">
        <v>0</v>
      </c>
      <c r="D333">
        <v>2031</v>
      </c>
      <c r="E333">
        <v>273653078</v>
      </c>
    </row>
    <row r="334" spans="1:5" x14ac:dyDescent="0.25">
      <c r="A334">
        <v>0</v>
      </c>
      <c r="B334">
        <v>1</v>
      </c>
      <c r="C334">
        <v>0</v>
      </c>
      <c r="D334">
        <v>2032</v>
      </c>
      <c r="E334">
        <v>273848914</v>
      </c>
    </row>
    <row r="335" spans="1:5" x14ac:dyDescent="0.25">
      <c r="A335">
        <v>0</v>
      </c>
      <c r="B335">
        <v>1</v>
      </c>
      <c r="C335">
        <v>0</v>
      </c>
      <c r="D335">
        <v>2033</v>
      </c>
      <c r="E335">
        <v>273996029</v>
      </c>
    </row>
    <row r="336" spans="1:5" x14ac:dyDescent="0.25">
      <c r="A336">
        <v>0</v>
      </c>
      <c r="B336">
        <v>1</v>
      </c>
      <c r="C336">
        <v>0</v>
      </c>
      <c r="D336">
        <v>2034</v>
      </c>
      <c r="E336">
        <v>274093872</v>
      </c>
    </row>
    <row r="337" spans="1:5" x14ac:dyDescent="0.25">
      <c r="A337">
        <v>0</v>
      </c>
      <c r="B337">
        <v>1</v>
      </c>
      <c r="C337">
        <v>0</v>
      </c>
      <c r="D337">
        <v>2035</v>
      </c>
      <c r="E337">
        <v>274142220</v>
      </c>
    </row>
    <row r="338" spans="1:5" x14ac:dyDescent="0.25">
      <c r="A338">
        <v>0</v>
      </c>
      <c r="B338">
        <v>1</v>
      </c>
      <c r="C338">
        <v>0</v>
      </c>
      <c r="D338">
        <v>2036</v>
      </c>
      <c r="E338">
        <v>274141311</v>
      </c>
    </row>
    <row r="339" spans="1:5" x14ac:dyDescent="0.25">
      <c r="A339">
        <v>0</v>
      </c>
      <c r="B339">
        <v>1</v>
      </c>
      <c r="C339">
        <v>0</v>
      </c>
      <c r="D339">
        <v>2037</v>
      </c>
      <c r="E339">
        <v>274091416</v>
      </c>
    </row>
    <row r="340" spans="1:5" x14ac:dyDescent="0.25">
      <c r="A340">
        <v>0</v>
      </c>
      <c r="B340">
        <v>1</v>
      </c>
      <c r="C340">
        <v>0</v>
      </c>
      <c r="D340">
        <v>2038</v>
      </c>
      <c r="E340">
        <v>273993365</v>
      </c>
    </row>
    <row r="341" spans="1:5" x14ac:dyDescent="0.25">
      <c r="A341">
        <v>0</v>
      </c>
      <c r="B341">
        <v>1</v>
      </c>
      <c r="C341">
        <v>0</v>
      </c>
      <c r="D341">
        <v>2039</v>
      </c>
      <c r="E341">
        <v>273848673</v>
      </c>
    </row>
    <row r="342" spans="1:5" x14ac:dyDescent="0.25">
      <c r="A342">
        <v>0</v>
      </c>
      <c r="B342">
        <v>1</v>
      </c>
      <c r="C342">
        <v>0</v>
      </c>
      <c r="D342">
        <v>2040</v>
      </c>
      <c r="E342">
        <v>273659307</v>
      </c>
    </row>
    <row r="343" spans="1:5" x14ac:dyDescent="0.25">
      <c r="A343">
        <v>0</v>
      </c>
      <c r="B343">
        <v>1</v>
      </c>
      <c r="C343">
        <v>0</v>
      </c>
      <c r="D343">
        <v>2041</v>
      </c>
      <c r="E343">
        <v>273427782</v>
      </c>
    </row>
    <row r="344" spans="1:5" x14ac:dyDescent="0.25">
      <c r="A344">
        <v>0</v>
      </c>
      <c r="B344">
        <v>1</v>
      </c>
      <c r="C344">
        <v>0</v>
      </c>
      <c r="D344">
        <v>2042</v>
      </c>
      <c r="E344">
        <v>273157497</v>
      </c>
    </row>
    <row r="345" spans="1:5" x14ac:dyDescent="0.25">
      <c r="A345">
        <v>0</v>
      </c>
      <c r="B345">
        <v>1</v>
      </c>
      <c r="C345">
        <v>0</v>
      </c>
      <c r="D345">
        <v>2043</v>
      </c>
      <c r="E345">
        <v>272852165</v>
      </c>
    </row>
    <row r="346" spans="1:5" x14ac:dyDescent="0.25">
      <c r="A346">
        <v>0</v>
      </c>
      <c r="B346">
        <v>1</v>
      </c>
      <c r="C346">
        <v>0</v>
      </c>
      <c r="D346">
        <v>2044</v>
      </c>
      <c r="E346">
        <v>272516396</v>
      </c>
    </row>
    <row r="347" spans="1:5" x14ac:dyDescent="0.25">
      <c r="A347">
        <v>0</v>
      </c>
      <c r="B347">
        <v>1</v>
      </c>
      <c r="C347">
        <v>0</v>
      </c>
      <c r="D347">
        <v>2045</v>
      </c>
      <c r="E347">
        <v>272155097</v>
      </c>
    </row>
    <row r="348" spans="1:5" x14ac:dyDescent="0.25">
      <c r="A348">
        <v>0</v>
      </c>
      <c r="B348">
        <v>1</v>
      </c>
      <c r="C348">
        <v>0</v>
      </c>
      <c r="D348">
        <v>2046</v>
      </c>
      <c r="E348">
        <v>271773161</v>
      </c>
    </row>
    <row r="349" spans="1:5" x14ac:dyDescent="0.25">
      <c r="A349">
        <v>0</v>
      </c>
      <c r="B349">
        <v>1</v>
      </c>
      <c r="C349">
        <v>0</v>
      </c>
      <c r="D349">
        <v>2047</v>
      </c>
      <c r="E349">
        <v>271373747</v>
      </c>
    </row>
    <row r="350" spans="1:5" x14ac:dyDescent="0.25">
      <c r="A350">
        <v>0</v>
      </c>
      <c r="B350">
        <v>1</v>
      </c>
      <c r="C350">
        <v>0</v>
      </c>
      <c r="D350">
        <v>2048</v>
      </c>
      <c r="E350">
        <v>270961217</v>
      </c>
    </row>
    <row r="351" spans="1:5" x14ac:dyDescent="0.25">
      <c r="A351">
        <v>0</v>
      </c>
      <c r="B351">
        <v>1</v>
      </c>
      <c r="C351">
        <v>0</v>
      </c>
      <c r="D351">
        <v>2049</v>
      </c>
      <c r="E351">
        <v>270540112</v>
      </c>
    </row>
    <row r="352" spans="1:5" x14ac:dyDescent="0.25">
      <c r="A352">
        <v>0</v>
      </c>
      <c r="B352">
        <v>1</v>
      </c>
      <c r="C352">
        <v>0</v>
      </c>
      <c r="D352">
        <v>2050</v>
      </c>
      <c r="E352">
        <v>270114646</v>
      </c>
    </row>
    <row r="353" spans="1:5" x14ac:dyDescent="0.25">
      <c r="A353">
        <v>0</v>
      </c>
      <c r="B353">
        <v>1</v>
      </c>
      <c r="C353">
        <v>1</v>
      </c>
      <c r="D353">
        <v>2024</v>
      </c>
      <c r="E353">
        <v>195770935</v>
      </c>
    </row>
    <row r="354" spans="1:5" x14ac:dyDescent="0.25">
      <c r="A354">
        <v>0</v>
      </c>
      <c r="B354">
        <v>1</v>
      </c>
      <c r="C354">
        <v>1</v>
      </c>
      <c r="D354">
        <v>2025</v>
      </c>
      <c r="E354">
        <v>195477934</v>
      </c>
    </row>
    <row r="355" spans="1:5" x14ac:dyDescent="0.25">
      <c r="A355">
        <v>0</v>
      </c>
      <c r="B355">
        <v>1</v>
      </c>
      <c r="C355">
        <v>1</v>
      </c>
      <c r="D355">
        <v>2026</v>
      </c>
      <c r="E355">
        <v>195141849</v>
      </c>
    </row>
    <row r="356" spans="1:5" x14ac:dyDescent="0.25">
      <c r="A356">
        <v>0</v>
      </c>
      <c r="B356">
        <v>1</v>
      </c>
      <c r="C356">
        <v>1</v>
      </c>
      <c r="D356">
        <v>2027</v>
      </c>
      <c r="E356">
        <v>194761758</v>
      </c>
    </row>
    <row r="357" spans="1:5" x14ac:dyDescent="0.25">
      <c r="A357">
        <v>0</v>
      </c>
      <c r="B357">
        <v>1</v>
      </c>
      <c r="C357">
        <v>1</v>
      </c>
      <c r="D357">
        <v>2028</v>
      </c>
      <c r="E357">
        <v>194336344</v>
      </c>
    </row>
    <row r="358" spans="1:5" x14ac:dyDescent="0.25">
      <c r="A358">
        <v>0</v>
      </c>
      <c r="B358">
        <v>1</v>
      </c>
      <c r="C358">
        <v>1</v>
      </c>
      <c r="D358">
        <v>2029</v>
      </c>
      <c r="E358">
        <v>193865260</v>
      </c>
    </row>
    <row r="359" spans="1:5" x14ac:dyDescent="0.25">
      <c r="A359">
        <v>0</v>
      </c>
      <c r="B359">
        <v>1</v>
      </c>
      <c r="C359">
        <v>1</v>
      </c>
      <c r="D359">
        <v>2030</v>
      </c>
      <c r="E359">
        <v>193347400</v>
      </c>
    </row>
    <row r="360" spans="1:5" x14ac:dyDescent="0.25">
      <c r="A360">
        <v>0</v>
      </c>
      <c r="B360">
        <v>1</v>
      </c>
      <c r="C360">
        <v>1</v>
      </c>
      <c r="D360">
        <v>2031</v>
      </c>
      <c r="E360">
        <v>192781655</v>
      </c>
    </row>
    <row r="361" spans="1:5" x14ac:dyDescent="0.25">
      <c r="A361">
        <v>0</v>
      </c>
      <c r="B361">
        <v>1</v>
      </c>
      <c r="C361">
        <v>1</v>
      </c>
      <c r="D361">
        <v>2032</v>
      </c>
      <c r="E361">
        <v>192166437</v>
      </c>
    </row>
    <row r="362" spans="1:5" x14ac:dyDescent="0.25">
      <c r="A362">
        <v>0</v>
      </c>
      <c r="B362">
        <v>1</v>
      </c>
      <c r="C362">
        <v>1</v>
      </c>
      <c r="D362">
        <v>2033</v>
      </c>
      <c r="E362">
        <v>191505748</v>
      </c>
    </row>
    <row r="363" spans="1:5" x14ac:dyDescent="0.25">
      <c r="A363">
        <v>0</v>
      </c>
      <c r="B363">
        <v>1</v>
      </c>
      <c r="C363">
        <v>1</v>
      </c>
      <c r="D363">
        <v>2034</v>
      </c>
      <c r="E363">
        <v>190799607</v>
      </c>
    </row>
    <row r="364" spans="1:5" x14ac:dyDescent="0.25">
      <c r="A364">
        <v>0</v>
      </c>
      <c r="B364">
        <v>1</v>
      </c>
      <c r="C364">
        <v>1</v>
      </c>
      <c r="D364">
        <v>2035</v>
      </c>
      <c r="E364">
        <v>190048174</v>
      </c>
    </row>
    <row r="365" spans="1:5" x14ac:dyDescent="0.25">
      <c r="A365">
        <v>0</v>
      </c>
      <c r="B365">
        <v>1</v>
      </c>
      <c r="C365">
        <v>1</v>
      </c>
      <c r="D365">
        <v>2036</v>
      </c>
      <c r="E365">
        <v>189252069</v>
      </c>
    </row>
    <row r="366" spans="1:5" x14ac:dyDescent="0.25">
      <c r="A366">
        <v>0</v>
      </c>
      <c r="B366">
        <v>1</v>
      </c>
      <c r="C366">
        <v>1</v>
      </c>
      <c r="D366">
        <v>2037</v>
      </c>
      <c r="E366">
        <v>188412058</v>
      </c>
    </row>
    <row r="367" spans="1:5" x14ac:dyDescent="0.25">
      <c r="A367">
        <v>0</v>
      </c>
      <c r="B367">
        <v>1</v>
      </c>
      <c r="C367">
        <v>1</v>
      </c>
      <c r="D367">
        <v>2038</v>
      </c>
      <c r="E367">
        <v>187529445</v>
      </c>
    </row>
    <row r="368" spans="1:5" x14ac:dyDescent="0.25">
      <c r="A368">
        <v>0</v>
      </c>
      <c r="B368">
        <v>1</v>
      </c>
      <c r="C368">
        <v>1</v>
      </c>
      <c r="D368">
        <v>2039</v>
      </c>
      <c r="E368">
        <v>186605993</v>
      </c>
    </row>
    <row r="369" spans="1:5" x14ac:dyDescent="0.25">
      <c r="A369">
        <v>0</v>
      </c>
      <c r="B369">
        <v>1</v>
      </c>
      <c r="C369">
        <v>1</v>
      </c>
      <c r="D369">
        <v>2040</v>
      </c>
      <c r="E369">
        <v>185643880</v>
      </c>
    </row>
    <row r="370" spans="1:5" x14ac:dyDescent="0.25">
      <c r="A370">
        <v>0</v>
      </c>
      <c r="B370">
        <v>1</v>
      </c>
      <c r="C370">
        <v>1</v>
      </c>
      <c r="D370">
        <v>2041</v>
      </c>
      <c r="E370">
        <v>184645755</v>
      </c>
    </row>
    <row r="371" spans="1:5" x14ac:dyDescent="0.25">
      <c r="A371">
        <v>0</v>
      </c>
      <c r="B371">
        <v>1</v>
      </c>
      <c r="C371">
        <v>1</v>
      </c>
      <c r="D371">
        <v>2042</v>
      </c>
      <c r="E371">
        <v>183614910</v>
      </c>
    </row>
    <row r="372" spans="1:5" x14ac:dyDescent="0.25">
      <c r="A372">
        <v>0</v>
      </c>
      <c r="B372">
        <v>1</v>
      </c>
      <c r="C372">
        <v>1</v>
      </c>
      <c r="D372">
        <v>2043</v>
      </c>
      <c r="E372">
        <v>182554833</v>
      </c>
    </row>
    <row r="373" spans="1:5" x14ac:dyDescent="0.25">
      <c r="A373">
        <v>0</v>
      </c>
      <c r="B373">
        <v>1</v>
      </c>
      <c r="C373">
        <v>1</v>
      </c>
      <c r="D373">
        <v>2044</v>
      </c>
      <c r="E373">
        <v>181469807</v>
      </c>
    </row>
    <row r="374" spans="1:5" x14ac:dyDescent="0.25">
      <c r="A374">
        <v>0</v>
      </c>
      <c r="B374">
        <v>1</v>
      </c>
      <c r="C374">
        <v>1</v>
      </c>
      <c r="D374">
        <v>2045</v>
      </c>
      <c r="E374">
        <v>180364340</v>
      </c>
    </row>
    <row r="375" spans="1:5" x14ac:dyDescent="0.25">
      <c r="A375">
        <v>0</v>
      </c>
      <c r="B375">
        <v>1</v>
      </c>
      <c r="C375">
        <v>1</v>
      </c>
      <c r="D375">
        <v>2046</v>
      </c>
      <c r="E375">
        <v>179242850</v>
      </c>
    </row>
    <row r="376" spans="1:5" x14ac:dyDescent="0.25">
      <c r="A376">
        <v>0</v>
      </c>
      <c r="B376">
        <v>1</v>
      </c>
      <c r="C376">
        <v>1</v>
      </c>
      <c r="D376">
        <v>2047</v>
      </c>
      <c r="E376">
        <v>178108038</v>
      </c>
    </row>
    <row r="377" spans="1:5" x14ac:dyDescent="0.25">
      <c r="A377">
        <v>0</v>
      </c>
      <c r="B377">
        <v>1</v>
      </c>
      <c r="C377">
        <v>1</v>
      </c>
      <c r="D377">
        <v>2048</v>
      </c>
      <c r="E377">
        <v>176963959</v>
      </c>
    </row>
    <row r="378" spans="1:5" x14ac:dyDescent="0.25">
      <c r="A378">
        <v>0</v>
      </c>
      <c r="B378">
        <v>1</v>
      </c>
      <c r="C378">
        <v>1</v>
      </c>
      <c r="D378">
        <v>2049</v>
      </c>
      <c r="E378">
        <v>175814643</v>
      </c>
    </row>
    <row r="379" spans="1:5" x14ac:dyDescent="0.25">
      <c r="A379">
        <v>0</v>
      </c>
      <c r="B379">
        <v>1</v>
      </c>
      <c r="C379">
        <v>1</v>
      </c>
      <c r="D379">
        <v>2050</v>
      </c>
      <c r="E379">
        <v>174663901</v>
      </c>
    </row>
    <row r="380" spans="1:5" x14ac:dyDescent="0.25">
      <c r="A380">
        <v>0</v>
      </c>
      <c r="B380">
        <v>1</v>
      </c>
      <c r="C380">
        <v>2</v>
      </c>
      <c r="D380">
        <v>2024</v>
      </c>
      <c r="E380">
        <v>42534476</v>
      </c>
    </row>
    <row r="381" spans="1:5" x14ac:dyDescent="0.25">
      <c r="A381">
        <v>0</v>
      </c>
      <c r="B381">
        <v>1</v>
      </c>
      <c r="C381">
        <v>2</v>
      </c>
      <c r="D381">
        <v>2025</v>
      </c>
      <c r="E381">
        <v>42764224</v>
      </c>
    </row>
    <row r="382" spans="1:5" x14ac:dyDescent="0.25">
      <c r="A382">
        <v>0</v>
      </c>
      <c r="B382">
        <v>1</v>
      </c>
      <c r="C382">
        <v>2</v>
      </c>
      <c r="D382">
        <v>2026</v>
      </c>
      <c r="E382">
        <v>42992698</v>
      </c>
    </row>
    <row r="383" spans="1:5" x14ac:dyDescent="0.25">
      <c r="A383">
        <v>0</v>
      </c>
      <c r="B383">
        <v>1</v>
      </c>
      <c r="C383">
        <v>2</v>
      </c>
      <c r="D383">
        <v>2027</v>
      </c>
      <c r="E383">
        <v>43219526</v>
      </c>
    </row>
    <row r="384" spans="1:5" x14ac:dyDescent="0.25">
      <c r="A384">
        <v>0</v>
      </c>
      <c r="B384">
        <v>1</v>
      </c>
      <c r="C384">
        <v>2</v>
      </c>
      <c r="D384">
        <v>2028</v>
      </c>
      <c r="E384">
        <v>43443588</v>
      </c>
    </row>
    <row r="385" spans="1:5" x14ac:dyDescent="0.25">
      <c r="A385">
        <v>0</v>
      </c>
      <c r="B385">
        <v>1</v>
      </c>
      <c r="C385">
        <v>2</v>
      </c>
      <c r="D385">
        <v>2029</v>
      </c>
      <c r="E385">
        <v>43664041</v>
      </c>
    </row>
    <row r="386" spans="1:5" x14ac:dyDescent="0.25">
      <c r="A386">
        <v>0</v>
      </c>
      <c r="B386">
        <v>1</v>
      </c>
      <c r="C386">
        <v>2</v>
      </c>
      <c r="D386">
        <v>2030</v>
      </c>
      <c r="E386">
        <v>43879696</v>
      </c>
    </row>
    <row r="387" spans="1:5" x14ac:dyDescent="0.25">
      <c r="A387">
        <v>0</v>
      </c>
      <c r="B387">
        <v>1</v>
      </c>
      <c r="C387">
        <v>2</v>
      </c>
      <c r="D387">
        <v>2031</v>
      </c>
      <c r="E387">
        <v>44089756</v>
      </c>
    </row>
    <row r="388" spans="1:5" x14ac:dyDescent="0.25">
      <c r="A388">
        <v>0</v>
      </c>
      <c r="B388">
        <v>1</v>
      </c>
      <c r="C388">
        <v>2</v>
      </c>
      <c r="D388">
        <v>2032</v>
      </c>
      <c r="E388">
        <v>44293327</v>
      </c>
    </row>
    <row r="389" spans="1:5" x14ac:dyDescent="0.25">
      <c r="A389">
        <v>0</v>
      </c>
      <c r="B389">
        <v>1</v>
      </c>
      <c r="C389">
        <v>2</v>
      </c>
      <c r="D389">
        <v>2033</v>
      </c>
      <c r="E389">
        <v>44492343</v>
      </c>
    </row>
    <row r="390" spans="1:5" x14ac:dyDescent="0.25">
      <c r="A390">
        <v>0</v>
      </c>
      <c r="B390">
        <v>1</v>
      </c>
      <c r="C390">
        <v>2</v>
      </c>
      <c r="D390">
        <v>2034</v>
      </c>
      <c r="E390">
        <v>44686677</v>
      </c>
    </row>
    <row r="391" spans="1:5" x14ac:dyDescent="0.25">
      <c r="A391">
        <v>0</v>
      </c>
      <c r="B391">
        <v>1</v>
      </c>
      <c r="C391">
        <v>2</v>
      </c>
      <c r="D391">
        <v>2035</v>
      </c>
      <c r="E391">
        <v>44876436</v>
      </c>
    </row>
    <row r="392" spans="1:5" x14ac:dyDescent="0.25">
      <c r="A392">
        <v>0</v>
      </c>
      <c r="B392">
        <v>1</v>
      </c>
      <c r="C392">
        <v>2</v>
      </c>
      <c r="D392">
        <v>2036</v>
      </c>
      <c r="E392">
        <v>45061656</v>
      </c>
    </row>
    <row r="393" spans="1:5" x14ac:dyDescent="0.25">
      <c r="A393">
        <v>0</v>
      </c>
      <c r="B393">
        <v>1</v>
      </c>
      <c r="C393">
        <v>2</v>
      </c>
      <c r="D393">
        <v>2037</v>
      </c>
      <c r="E393">
        <v>45242416</v>
      </c>
    </row>
    <row r="394" spans="1:5" x14ac:dyDescent="0.25">
      <c r="A394">
        <v>0</v>
      </c>
      <c r="B394">
        <v>1</v>
      </c>
      <c r="C394">
        <v>2</v>
      </c>
      <c r="D394">
        <v>2038</v>
      </c>
      <c r="E394">
        <v>45418773</v>
      </c>
    </row>
    <row r="395" spans="1:5" x14ac:dyDescent="0.25">
      <c r="A395">
        <v>0</v>
      </c>
      <c r="B395">
        <v>1</v>
      </c>
      <c r="C395">
        <v>2</v>
      </c>
      <c r="D395">
        <v>2039</v>
      </c>
      <c r="E395">
        <v>45590861</v>
      </c>
    </row>
    <row r="396" spans="1:5" x14ac:dyDescent="0.25">
      <c r="A396">
        <v>0</v>
      </c>
      <c r="B396">
        <v>1</v>
      </c>
      <c r="C396">
        <v>2</v>
      </c>
      <c r="D396">
        <v>2040</v>
      </c>
      <c r="E396">
        <v>45758780</v>
      </c>
    </row>
    <row r="397" spans="1:5" x14ac:dyDescent="0.25">
      <c r="A397">
        <v>0</v>
      </c>
      <c r="B397">
        <v>1</v>
      </c>
      <c r="C397">
        <v>2</v>
      </c>
      <c r="D397">
        <v>2041</v>
      </c>
      <c r="E397">
        <v>45922740</v>
      </c>
    </row>
    <row r="398" spans="1:5" x14ac:dyDescent="0.25">
      <c r="A398">
        <v>0</v>
      </c>
      <c r="B398">
        <v>1</v>
      </c>
      <c r="C398">
        <v>2</v>
      </c>
      <c r="D398">
        <v>2042</v>
      </c>
      <c r="E398">
        <v>46082896</v>
      </c>
    </row>
    <row r="399" spans="1:5" x14ac:dyDescent="0.25">
      <c r="A399">
        <v>0</v>
      </c>
      <c r="B399">
        <v>1</v>
      </c>
      <c r="C399">
        <v>2</v>
      </c>
      <c r="D399">
        <v>2043</v>
      </c>
      <c r="E399">
        <v>46239363</v>
      </c>
    </row>
    <row r="400" spans="1:5" x14ac:dyDescent="0.25">
      <c r="A400">
        <v>0</v>
      </c>
      <c r="B400">
        <v>1</v>
      </c>
      <c r="C400">
        <v>2</v>
      </c>
      <c r="D400">
        <v>2044</v>
      </c>
      <c r="E400">
        <v>46392462</v>
      </c>
    </row>
    <row r="401" spans="1:5" x14ac:dyDescent="0.25">
      <c r="A401">
        <v>0</v>
      </c>
      <c r="B401">
        <v>1</v>
      </c>
      <c r="C401">
        <v>2</v>
      </c>
      <c r="D401">
        <v>2045</v>
      </c>
      <c r="E401">
        <v>46542629</v>
      </c>
    </row>
    <row r="402" spans="1:5" x14ac:dyDescent="0.25">
      <c r="A402">
        <v>0</v>
      </c>
      <c r="B402">
        <v>1</v>
      </c>
      <c r="C402">
        <v>2</v>
      </c>
      <c r="D402">
        <v>2046</v>
      </c>
      <c r="E402">
        <v>46690304</v>
      </c>
    </row>
    <row r="403" spans="1:5" x14ac:dyDescent="0.25">
      <c r="A403">
        <v>0</v>
      </c>
      <c r="B403">
        <v>1</v>
      </c>
      <c r="C403">
        <v>2</v>
      </c>
      <c r="D403">
        <v>2047</v>
      </c>
      <c r="E403">
        <v>46835882</v>
      </c>
    </row>
    <row r="404" spans="1:5" x14ac:dyDescent="0.25">
      <c r="A404">
        <v>0</v>
      </c>
      <c r="B404">
        <v>1</v>
      </c>
      <c r="C404">
        <v>2</v>
      </c>
      <c r="D404">
        <v>2048</v>
      </c>
      <c r="E404">
        <v>46979812</v>
      </c>
    </row>
    <row r="405" spans="1:5" x14ac:dyDescent="0.25">
      <c r="A405">
        <v>0</v>
      </c>
      <c r="B405">
        <v>1</v>
      </c>
      <c r="C405">
        <v>2</v>
      </c>
      <c r="D405">
        <v>2049</v>
      </c>
      <c r="E405">
        <v>47122554</v>
      </c>
    </row>
    <row r="406" spans="1:5" x14ac:dyDescent="0.25">
      <c r="A406">
        <v>0</v>
      </c>
      <c r="B406">
        <v>1</v>
      </c>
      <c r="C406">
        <v>2</v>
      </c>
      <c r="D406">
        <v>2050</v>
      </c>
      <c r="E406">
        <v>47264614</v>
      </c>
    </row>
    <row r="407" spans="1:5" x14ac:dyDescent="0.25">
      <c r="A407">
        <v>0</v>
      </c>
      <c r="B407">
        <v>1</v>
      </c>
      <c r="C407">
        <v>3</v>
      </c>
      <c r="D407">
        <v>2024</v>
      </c>
      <c r="E407">
        <v>2430303</v>
      </c>
    </row>
    <row r="408" spans="1:5" x14ac:dyDescent="0.25">
      <c r="A408">
        <v>0</v>
      </c>
      <c r="B408">
        <v>1</v>
      </c>
      <c r="C408">
        <v>3</v>
      </c>
      <c r="D408">
        <v>2025</v>
      </c>
      <c r="E408">
        <v>2434676</v>
      </c>
    </row>
    <row r="409" spans="1:5" x14ac:dyDescent="0.25">
      <c r="A409">
        <v>0</v>
      </c>
      <c r="B409">
        <v>1</v>
      </c>
      <c r="C409">
        <v>3</v>
      </c>
      <c r="D409">
        <v>2026</v>
      </c>
      <c r="E409">
        <v>2438851</v>
      </c>
    </row>
    <row r="410" spans="1:5" x14ac:dyDescent="0.25">
      <c r="A410">
        <v>0</v>
      </c>
      <c r="B410">
        <v>1</v>
      </c>
      <c r="C410">
        <v>3</v>
      </c>
      <c r="D410">
        <v>2027</v>
      </c>
      <c r="E410">
        <v>2442797</v>
      </c>
    </row>
    <row r="411" spans="1:5" x14ac:dyDescent="0.25">
      <c r="A411">
        <v>0</v>
      </c>
      <c r="B411">
        <v>1</v>
      </c>
      <c r="C411">
        <v>3</v>
      </c>
      <c r="D411">
        <v>2028</v>
      </c>
      <c r="E411">
        <v>2446512</v>
      </c>
    </row>
    <row r="412" spans="1:5" x14ac:dyDescent="0.25">
      <c r="A412">
        <v>0</v>
      </c>
      <c r="B412">
        <v>1</v>
      </c>
      <c r="C412">
        <v>3</v>
      </c>
      <c r="D412">
        <v>2029</v>
      </c>
      <c r="E412">
        <v>2449906</v>
      </c>
    </row>
    <row r="413" spans="1:5" x14ac:dyDescent="0.25">
      <c r="A413">
        <v>0</v>
      </c>
      <c r="B413">
        <v>1</v>
      </c>
      <c r="C413">
        <v>3</v>
      </c>
      <c r="D413">
        <v>2030</v>
      </c>
      <c r="E413">
        <v>2452958</v>
      </c>
    </row>
    <row r="414" spans="1:5" x14ac:dyDescent="0.25">
      <c r="A414">
        <v>0</v>
      </c>
      <c r="B414">
        <v>1</v>
      </c>
      <c r="C414">
        <v>3</v>
      </c>
      <c r="D414">
        <v>2031</v>
      </c>
      <c r="E414">
        <v>2455651</v>
      </c>
    </row>
    <row r="415" spans="1:5" x14ac:dyDescent="0.25">
      <c r="A415">
        <v>0</v>
      </c>
      <c r="B415">
        <v>1</v>
      </c>
      <c r="C415">
        <v>3</v>
      </c>
      <c r="D415">
        <v>2032</v>
      </c>
      <c r="E415">
        <v>2457919</v>
      </c>
    </row>
    <row r="416" spans="1:5" x14ac:dyDescent="0.25">
      <c r="A416">
        <v>0</v>
      </c>
      <c r="B416">
        <v>1</v>
      </c>
      <c r="C416">
        <v>3</v>
      </c>
      <c r="D416">
        <v>2033</v>
      </c>
      <c r="E416">
        <v>2459744</v>
      </c>
    </row>
    <row r="417" spans="1:5" x14ac:dyDescent="0.25">
      <c r="A417">
        <v>0</v>
      </c>
      <c r="B417">
        <v>1</v>
      </c>
      <c r="C417">
        <v>3</v>
      </c>
      <c r="D417">
        <v>2034</v>
      </c>
      <c r="E417">
        <v>2461112</v>
      </c>
    </row>
    <row r="418" spans="1:5" x14ac:dyDescent="0.25">
      <c r="A418">
        <v>0</v>
      </c>
      <c r="B418">
        <v>1</v>
      </c>
      <c r="C418">
        <v>3</v>
      </c>
      <c r="D418">
        <v>2035</v>
      </c>
      <c r="E418">
        <v>2461993</v>
      </c>
    </row>
    <row r="419" spans="1:5" x14ac:dyDescent="0.25">
      <c r="A419">
        <v>0</v>
      </c>
      <c r="B419">
        <v>1</v>
      </c>
      <c r="C419">
        <v>3</v>
      </c>
      <c r="D419">
        <v>2036</v>
      </c>
      <c r="E419">
        <v>2462336</v>
      </c>
    </row>
    <row r="420" spans="1:5" x14ac:dyDescent="0.25">
      <c r="A420">
        <v>0</v>
      </c>
      <c r="B420">
        <v>1</v>
      </c>
      <c r="C420">
        <v>3</v>
      </c>
      <c r="D420">
        <v>2037</v>
      </c>
      <c r="E420">
        <v>2462142</v>
      </c>
    </row>
    <row r="421" spans="1:5" x14ac:dyDescent="0.25">
      <c r="A421">
        <v>0</v>
      </c>
      <c r="B421">
        <v>1</v>
      </c>
      <c r="C421">
        <v>3</v>
      </c>
      <c r="D421">
        <v>2038</v>
      </c>
      <c r="E421">
        <v>2461371</v>
      </c>
    </row>
    <row r="422" spans="1:5" x14ac:dyDescent="0.25">
      <c r="A422">
        <v>0</v>
      </c>
      <c r="B422">
        <v>1</v>
      </c>
      <c r="C422">
        <v>3</v>
      </c>
      <c r="D422">
        <v>2039</v>
      </c>
      <c r="E422">
        <v>2460025</v>
      </c>
    </row>
    <row r="423" spans="1:5" x14ac:dyDescent="0.25">
      <c r="A423">
        <v>0</v>
      </c>
      <c r="B423">
        <v>1</v>
      </c>
      <c r="C423">
        <v>3</v>
      </c>
      <c r="D423">
        <v>2040</v>
      </c>
      <c r="E423">
        <v>2458105</v>
      </c>
    </row>
    <row r="424" spans="1:5" x14ac:dyDescent="0.25">
      <c r="A424">
        <v>0</v>
      </c>
      <c r="B424">
        <v>1</v>
      </c>
      <c r="C424">
        <v>3</v>
      </c>
      <c r="D424">
        <v>2041</v>
      </c>
      <c r="E424">
        <v>2455573</v>
      </c>
    </row>
    <row r="425" spans="1:5" x14ac:dyDescent="0.25">
      <c r="A425">
        <v>0</v>
      </c>
      <c r="B425">
        <v>1</v>
      </c>
      <c r="C425">
        <v>3</v>
      </c>
      <c r="D425">
        <v>2042</v>
      </c>
      <c r="E425">
        <v>2452466</v>
      </c>
    </row>
    <row r="426" spans="1:5" x14ac:dyDescent="0.25">
      <c r="A426">
        <v>0</v>
      </c>
      <c r="B426">
        <v>1</v>
      </c>
      <c r="C426">
        <v>3</v>
      </c>
      <c r="D426">
        <v>2043</v>
      </c>
      <c r="E426">
        <v>2448812</v>
      </c>
    </row>
    <row r="427" spans="1:5" x14ac:dyDescent="0.25">
      <c r="A427">
        <v>0</v>
      </c>
      <c r="B427">
        <v>1</v>
      </c>
      <c r="C427">
        <v>3</v>
      </c>
      <c r="D427">
        <v>2044</v>
      </c>
      <c r="E427">
        <v>2444625</v>
      </c>
    </row>
    <row r="428" spans="1:5" x14ac:dyDescent="0.25">
      <c r="A428">
        <v>0</v>
      </c>
      <c r="B428">
        <v>1</v>
      </c>
      <c r="C428">
        <v>3</v>
      </c>
      <c r="D428">
        <v>2045</v>
      </c>
      <c r="E428">
        <v>2439934</v>
      </c>
    </row>
    <row r="429" spans="1:5" x14ac:dyDescent="0.25">
      <c r="A429">
        <v>0</v>
      </c>
      <c r="B429">
        <v>1</v>
      </c>
      <c r="C429">
        <v>3</v>
      </c>
      <c r="D429">
        <v>2046</v>
      </c>
      <c r="E429">
        <v>2434771</v>
      </c>
    </row>
    <row r="430" spans="1:5" x14ac:dyDescent="0.25">
      <c r="A430">
        <v>0</v>
      </c>
      <c r="B430">
        <v>1</v>
      </c>
      <c r="C430">
        <v>3</v>
      </c>
      <c r="D430">
        <v>2047</v>
      </c>
      <c r="E430">
        <v>2429173</v>
      </c>
    </row>
    <row r="431" spans="1:5" x14ac:dyDescent="0.25">
      <c r="A431">
        <v>0</v>
      </c>
      <c r="B431">
        <v>1</v>
      </c>
      <c r="C431">
        <v>3</v>
      </c>
      <c r="D431">
        <v>2048</v>
      </c>
      <c r="E431">
        <v>2423165</v>
      </c>
    </row>
    <row r="432" spans="1:5" x14ac:dyDescent="0.25">
      <c r="A432">
        <v>0</v>
      </c>
      <c r="B432">
        <v>1</v>
      </c>
      <c r="C432">
        <v>3</v>
      </c>
      <c r="D432">
        <v>2049</v>
      </c>
      <c r="E432">
        <v>2416780</v>
      </c>
    </row>
    <row r="433" spans="1:5" x14ac:dyDescent="0.25">
      <c r="A433">
        <v>0</v>
      </c>
      <c r="B433">
        <v>1</v>
      </c>
      <c r="C433">
        <v>3</v>
      </c>
      <c r="D433">
        <v>2050</v>
      </c>
      <c r="E433">
        <v>2410062</v>
      </c>
    </row>
    <row r="434" spans="1:5" x14ac:dyDescent="0.25">
      <c r="A434">
        <v>0</v>
      </c>
      <c r="B434">
        <v>1</v>
      </c>
      <c r="C434">
        <v>4</v>
      </c>
      <c r="D434">
        <v>2024</v>
      </c>
      <c r="E434">
        <v>21030779</v>
      </c>
    </row>
    <row r="435" spans="1:5" x14ac:dyDescent="0.25">
      <c r="A435">
        <v>0</v>
      </c>
      <c r="B435">
        <v>1</v>
      </c>
      <c r="C435">
        <v>4</v>
      </c>
      <c r="D435">
        <v>2025</v>
      </c>
      <c r="E435">
        <v>21409404</v>
      </c>
    </row>
    <row r="436" spans="1:5" x14ac:dyDescent="0.25">
      <c r="A436">
        <v>0</v>
      </c>
      <c r="B436">
        <v>1</v>
      </c>
      <c r="C436">
        <v>4</v>
      </c>
      <c r="D436">
        <v>2026</v>
      </c>
      <c r="E436">
        <v>21789049</v>
      </c>
    </row>
    <row r="437" spans="1:5" x14ac:dyDescent="0.25">
      <c r="A437">
        <v>0</v>
      </c>
      <c r="B437">
        <v>1</v>
      </c>
      <c r="C437">
        <v>4</v>
      </c>
      <c r="D437">
        <v>2027</v>
      </c>
      <c r="E437">
        <v>22168522</v>
      </c>
    </row>
    <row r="438" spans="1:5" x14ac:dyDescent="0.25">
      <c r="A438">
        <v>0</v>
      </c>
      <c r="B438">
        <v>1</v>
      </c>
      <c r="C438">
        <v>4</v>
      </c>
      <c r="D438">
        <v>2028</v>
      </c>
      <c r="E438">
        <v>22546802</v>
      </c>
    </row>
    <row r="439" spans="1:5" x14ac:dyDescent="0.25">
      <c r="A439">
        <v>0</v>
      </c>
      <c r="B439">
        <v>1</v>
      </c>
      <c r="C439">
        <v>4</v>
      </c>
      <c r="D439">
        <v>2029</v>
      </c>
      <c r="E439">
        <v>22924353</v>
      </c>
    </row>
    <row r="440" spans="1:5" x14ac:dyDescent="0.25">
      <c r="A440">
        <v>0</v>
      </c>
      <c r="B440">
        <v>1</v>
      </c>
      <c r="C440">
        <v>4</v>
      </c>
      <c r="D440">
        <v>2030</v>
      </c>
      <c r="E440">
        <v>23299485</v>
      </c>
    </row>
    <row r="441" spans="1:5" x14ac:dyDescent="0.25">
      <c r="A441">
        <v>0</v>
      </c>
      <c r="B441">
        <v>1</v>
      </c>
      <c r="C441">
        <v>4</v>
      </c>
      <c r="D441">
        <v>2031</v>
      </c>
      <c r="E441">
        <v>23669905</v>
      </c>
    </row>
    <row r="442" spans="1:5" x14ac:dyDescent="0.25">
      <c r="A442">
        <v>0</v>
      </c>
      <c r="B442">
        <v>1</v>
      </c>
      <c r="C442">
        <v>4</v>
      </c>
      <c r="D442">
        <v>2032</v>
      </c>
      <c r="E442">
        <v>24033454</v>
      </c>
    </row>
    <row r="443" spans="1:5" x14ac:dyDescent="0.25">
      <c r="A443">
        <v>0</v>
      </c>
      <c r="B443">
        <v>1</v>
      </c>
      <c r="C443">
        <v>4</v>
      </c>
      <c r="D443">
        <v>2033</v>
      </c>
      <c r="E443">
        <v>24395824</v>
      </c>
    </row>
    <row r="444" spans="1:5" x14ac:dyDescent="0.25">
      <c r="A444">
        <v>0</v>
      </c>
      <c r="B444">
        <v>1</v>
      </c>
      <c r="C444">
        <v>4</v>
      </c>
      <c r="D444">
        <v>2034</v>
      </c>
      <c r="E444">
        <v>24756727</v>
      </c>
    </row>
    <row r="445" spans="1:5" x14ac:dyDescent="0.25">
      <c r="A445">
        <v>0</v>
      </c>
      <c r="B445">
        <v>1</v>
      </c>
      <c r="C445">
        <v>4</v>
      </c>
      <c r="D445">
        <v>2035</v>
      </c>
      <c r="E445">
        <v>25115991</v>
      </c>
    </row>
    <row r="446" spans="1:5" x14ac:dyDescent="0.25">
      <c r="A446">
        <v>0</v>
      </c>
      <c r="B446">
        <v>1</v>
      </c>
      <c r="C446">
        <v>4</v>
      </c>
      <c r="D446">
        <v>2036</v>
      </c>
      <c r="E446">
        <v>25473389</v>
      </c>
    </row>
    <row r="447" spans="1:5" x14ac:dyDescent="0.25">
      <c r="A447">
        <v>0</v>
      </c>
      <c r="B447">
        <v>1</v>
      </c>
      <c r="C447">
        <v>4</v>
      </c>
      <c r="D447">
        <v>2037</v>
      </c>
      <c r="E447">
        <v>25828689</v>
      </c>
    </row>
    <row r="448" spans="1:5" x14ac:dyDescent="0.25">
      <c r="A448">
        <v>0</v>
      </c>
      <c r="B448">
        <v>1</v>
      </c>
      <c r="C448">
        <v>4</v>
      </c>
      <c r="D448">
        <v>2038</v>
      </c>
      <c r="E448">
        <v>26181680</v>
      </c>
    </row>
    <row r="449" spans="1:5" x14ac:dyDescent="0.25">
      <c r="A449">
        <v>0</v>
      </c>
      <c r="B449">
        <v>1</v>
      </c>
      <c r="C449">
        <v>4</v>
      </c>
      <c r="D449">
        <v>2039</v>
      </c>
      <c r="E449">
        <v>26532253</v>
      </c>
    </row>
    <row r="450" spans="1:5" x14ac:dyDescent="0.25">
      <c r="A450">
        <v>0</v>
      </c>
      <c r="B450">
        <v>1</v>
      </c>
      <c r="C450">
        <v>4</v>
      </c>
      <c r="D450">
        <v>2040</v>
      </c>
      <c r="E450">
        <v>26880375</v>
      </c>
    </row>
    <row r="451" spans="1:5" x14ac:dyDescent="0.25">
      <c r="A451">
        <v>0</v>
      </c>
      <c r="B451">
        <v>1</v>
      </c>
      <c r="C451">
        <v>4</v>
      </c>
      <c r="D451">
        <v>2041</v>
      </c>
      <c r="E451">
        <v>27225979</v>
      </c>
    </row>
    <row r="452" spans="1:5" x14ac:dyDescent="0.25">
      <c r="A452">
        <v>0</v>
      </c>
      <c r="B452">
        <v>1</v>
      </c>
      <c r="C452">
        <v>4</v>
      </c>
      <c r="D452">
        <v>2042</v>
      </c>
      <c r="E452">
        <v>27569115</v>
      </c>
    </row>
    <row r="453" spans="1:5" x14ac:dyDescent="0.25">
      <c r="A453">
        <v>0</v>
      </c>
      <c r="B453">
        <v>1</v>
      </c>
      <c r="C453">
        <v>4</v>
      </c>
      <c r="D453">
        <v>2043</v>
      </c>
      <c r="E453">
        <v>27909893</v>
      </c>
    </row>
    <row r="454" spans="1:5" x14ac:dyDescent="0.25">
      <c r="A454">
        <v>0</v>
      </c>
      <c r="B454">
        <v>1</v>
      </c>
      <c r="C454">
        <v>4</v>
      </c>
      <c r="D454">
        <v>2044</v>
      </c>
      <c r="E454">
        <v>28248338</v>
      </c>
    </row>
    <row r="455" spans="1:5" x14ac:dyDescent="0.25">
      <c r="A455">
        <v>0</v>
      </c>
      <c r="B455">
        <v>1</v>
      </c>
      <c r="C455">
        <v>4</v>
      </c>
      <c r="D455">
        <v>2045</v>
      </c>
      <c r="E455">
        <v>28584494</v>
      </c>
    </row>
    <row r="456" spans="1:5" x14ac:dyDescent="0.25">
      <c r="A456">
        <v>0</v>
      </c>
      <c r="B456">
        <v>1</v>
      </c>
      <c r="C456">
        <v>4</v>
      </c>
      <c r="D456">
        <v>2046</v>
      </c>
      <c r="E456">
        <v>28918316</v>
      </c>
    </row>
    <row r="457" spans="1:5" x14ac:dyDescent="0.25">
      <c r="A457">
        <v>0</v>
      </c>
      <c r="B457">
        <v>1</v>
      </c>
      <c r="C457">
        <v>4</v>
      </c>
      <c r="D457">
        <v>2047</v>
      </c>
      <c r="E457">
        <v>29249768</v>
      </c>
    </row>
    <row r="458" spans="1:5" x14ac:dyDescent="0.25">
      <c r="A458">
        <v>0</v>
      </c>
      <c r="B458">
        <v>1</v>
      </c>
      <c r="C458">
        <v>4</v>
      </c>
      <c r="D458">
        <v>2048</v>
      </c>
      <c r="E458">
        <v>29578780</v>
      </c>
    </row>
    <row r="459" spans="1:5" x14ac:dyDescent="0.25">
      <c r="A459">
        <v>0</v>
      </c>
      <c r="B459">
        <v>1</v>
      </c>
      <c r="C459">
        <v>4</v>
      </c>
      <c r="D459">
        <v>2049</v>
      </c>
      <c r="E459">
        <v>29905241</v>
      </c>
    </row>
    <row r="460" spans="1:5" x14ac:dyDescent="0.25">
      <c r="A460">
        <v>0</v>
      </c>
      <c r="B460">
        <v>1</v>
      </c>
      <c r="C460">
        <v>4</v>
      </c>
      <c r="D460">
        <v>2050</v>
      </c>
      <c r="E460">
        <v>30229041</v>
      </c>
    </row>
    <row r="461" spans="1:5" x14ac:dyDescent="0.25">
      <c r="A461">
        <v>0</v>
      </c>
      <c r="B461">
        <v>1</v>
      </c>
      <c r="C461">
        <v>5</v>
      </c>
      <c r="D461">
        <v>2024</v>
      </c>
      <c r="E461">
        <v>655408</v>
      </c>
    </row>
    <row r="462" spans="1:5" x14ac:dyDescent="0.25">
      <c r="A462">
        <v>0</v>
      </c>
      <c r="B462">
        <v>1</v>
      </c>
      <c r="C462">
        <v>5</v>
      </c>
      <c r="D462">
        <v>2025</v>
      </c>
      <c r="E462">
        <v>664981</v>
      </c>
    </row>
    <row r="463" spans="1:5" x14ac:dyDescent="0.25">
      <c r="A463">
        <v>0</v>
      </c>
      <c r="B463">
        <v>1</v>
      </c>
      <c r="C463">
        <v>5</v>
      </c>
      <c r="D463">
        <v>2026</v>
      </c>
      <c r="E463">
        <v>674483</v>
      </c>
    </row>
    <row r="464" spans="1:5" x14ac:dyDescent="0.25">
      <c r="A464">
        <v>0</v>
      </c>
      <c r="B464">
        <v>1</v>
      </c>
      <c r="C464">
        <v>5</v>
      </c>
      <c r="D464">
        <v>2027</v>
      </c>
      <c r="E464">
        <v>683880</v>
      </c>
    </row>
    <row r="465" spans="1:5" x14ac:dyDescent="0.25">
      <c r="A465">
        <v>0</v>
      </c>
      <c r="B465">
        <v>1</v>
      </c>
      <c r="C465">
        <v>5</v>
      </c>
      <c r="D465">
        <v>2028</v>
      </c>
      <c r="E465">
        <v>693167</v>
      </c>
    </row>
    <row r="466" spans="1:5" x14ac:dyDescent="0.25">
      <c r="A466">
        <v>0</v>
      </c>
      <c r="B466">
        <v>1</v>
      </c>
      <c r="C466">
        <v>5</v>
      </c>
      <c r="D466">
        <v>2029</v>
      </c>
      <c r="E466">
        <v>702334</v>
      </c>
    </row>
    <row r="467" spans="1:5" x14ac:dyDescent="0.25">
      <c r="A467">
        <v>0</v>
      </c>
      <c r="B467">
        <v>1</v>
      </c>
      <c r="C467">
        <v>5</v>
      </c>
      <c r="D467">
        <v>2030</v>
      </c>
      <c r="E467">
        <v>711368</v>
      </c>
    </row>
    <row r="468" spans="1:5" x14ac:dyDescent="0.25">
      <c r="A468">
        <v>0</v>
      </c>
      <c r="B468">
        <v>1</v>
      </c>
      <c r="C468">
        <v>5</v>
      </c>
      <c r="D468">
        <v>2031</v>
      </c>
      <c r="E468">
        <v>720239</v>
      </c>
    </row>
    <row r="469" spans="1:5" x14ac:dyDescent="0.25">
      <c r="A469">
        <v>0</v>
      </c>
      <c r="B469">
        <v>1</v>
      </c>
      <c r="C469">
        <v>5</v>
      </c>
      <c r="D469">
        <v>2032</v>
      </c>
      <c r="E469">
        <v>728892</v>
      </c>
    </row>
    <row r="470" spans="1:5" x14ac:dyDescent="0.25">
      <c r="A470">
        <v>0</v>
      </c>
      <c r="B470">
        <v>1</v>
      </c>
      <c r="C470">
        <v>5</v>
      </c>
      <c r="D470">
        <v>2033</v>
      </c>
      <c r="E470">
        <v>737451</v>
      </c>
    </row>
    <row r="471" spans="1:5" x14ac:dyDescent="0.25">
      <c r="A471">
        <v>0</v>
      </c>
      <c r="B471">
        <v>1</v>
      </c>
      <c r="C471">
        <v>5</v>
      </c>
      <c r="D471">
        <v>2034</v>
      </c>
      <c r="E471">
        <v>745966</v>
      </c>
    </row>
    <row r="472" spans="1:5" x14ac:dyDescent="0.25">
      <c r="A472">
        <v>0</v>
      </c>
      <c r="B472">
        <v>1</v>
      </c>
      <c r="C472">
        <v>5</v>
      </c>
      <c r="D472">
        <v>2035</v>
      </c>
      <c r="E472">
        <v>754393</v>
      </c>
    </row>
    <row r="473" spans="1:5" x14ac:dyDescent="0.25">
      <c r="A473">
        <v>0</v>
      </c>
      <c r="B473">
        <v>1</v>
      </c>
      <c r="C473">
        <v>5</v>
      </c>
      <c r="D473">
        <v>2036</v>
      </c>
      <c r="E473">
        <v>762762</v>
      </c>
    </row>
    <row r="474" spans="1:5" x14ac:dyDescent="0.25">
      <c r="A474">
        <v>0</v>
      </c>
      <c r="B474">
        <v>1</v>
      </c>
      <c r="C474">
        <v>5</v>
      </c>
      <c r="D474">
        <v>2037</v>
      </c>
      <c r="E474">
        <v>771031</v>
      </c>
    </row>
    <row r="475" spans="1:5" x14ac:dyDescent="0.25">
      <c r="A475">
        <v>0</v>
      </c>
      <c r="B475">
        <v>1</v>
      </c>
      <c r="C475">
        <v>5</v>
      </c>
      <c r="D475">
        <v>2038</v>
      </c>
      <c r="E475">
        <v>779226</v>
      </c>
    </row>
    <row r="476" spans="1:5" x14ac:dyDescent="0.25">
      <c r="A476">
        <v>0</v>
      </c>
      <c r="B476">
        <v>1</v>
      </c>
      <c r="C476">
        <v>5</v>
      </c>
      <c r="D476">
        <v>2039</v>
      </c>
      <c r="E476">
        <v>787349</v>
      </c>
    </row>
    <row r="477" spans="1:5" x14ac:dyDescent="0.25">
      <c r="A477">
        <v>0</v>
      </c>
      <c r="B477">
        <v>1</v>
      </c>
      <c r="C477">
        <v>5</v>
      </c>
      <c r="D477">
        <v>2040</v>
      </c>
      <c r="E477">
        <v>795373</v>
      </c>
    </row>
    <row r="478" spans="1:5" x14ac:dyDescent="0.25">
      <c r="A478">
        <v>0</v>
      </c>
      <c r="B478">
        <v>1</v>
      </c>
      <c r="C478">
        <v>5</v>
      </c>
      <c r="D478">
        <v>2041</v>
      </c>
      <c r="E478">
        <v>803312</v>
      </c>
    </row>
    <row r="479" spans="1:5" x14ac:dyDescent="0.25">
      <c r="A479">
        <v>0</v>
      </c>
      <c r="B479">
        <v>1</v>
      </c>
      <c r="C479">
        <v>5</v>
      </c>
      <c r="D479">
        <v>2042</v>
      </c>
      <c r="E479">
        <v>811155</v>
      </c>
    </row>
    <row r="480" spans="1:5" x14ac:dyDescent="0.25">
      <c r="A480">
        <v>0</v>
      </c>
      <c r="B480">
        <v>1</v>
      </c>
      <c r="C480">
        <v>5</v>
      </c>
      <c r="D480">
        <v>2043</v>
      </c>
      <c r="E480">
        <v>818888</v>
      </c>
    </row>
    <row r="481" spans="1:5" x14ac:dyDescent="0.25">
      <c r="A481">
        <v>0</v>
      </c>
      <c r="B481">
        <v>1</v>
      </c>
      <c r="C481">
        <v>5</v>
      </c>
      <c r="D481">
        <v>2044</v>
      </c>
      <c r="E481">
        <v>826535</v>
      </c>
    </row>
    <row r="482" spans="1:5" x14ac:dyDescent="0.25">
      <c r="A482">
        <v>0</v>
      </c>
      <c r="B482">
        <v>1</v>
      </c>
      <c r="C482">
        <v>5</v>
      </c>
      <c r="D482">
        <v>2045</v>
      </c>
      <c r="E482">
        <v>834083</v>
      </c>
    </row>
    <row r="483" spans="1:5" x14ac:dyDescent="0.25">
      <c r="A483">
        <v>0</v>
      </c>
      <c r="B483">
        <v>1</v>
      </c>
      <c r="C483">
        <v>5</v>
      </c>
      <c r="D483">
        <v>2046</v>
      </c>
      <c r="E483">
        <v>841533</v>
      </c>
    </row>
    <row r="484" spans="1:5" x14ac:dyDescent="0.25">
      <c r="A484">
        <v>0</v>
      </c>
      <c r="B484">
        <v>1</v>
      </c>
      <c r="C484">
        <v>5</v>
      </c>
      <c r="D484">
        <v>2047</v>
      </c>
      <c r="E484">
        <v>848910</v>
      </c>
    </row>
    <row r="485" spans="1:5" x14ac:dyDescent="0.25">
      <c r="A485">
        <v>0</v>
      </c>
      <c r="B485">
        <v>1</v>
      </c>
      <c r="C485">
        <v>5</v>
      </c>
      <c r="D485">
        <v>2048</v>
      </c>
      <c r="E485">
        <v>856144</v>
      </c>
    </row>
    <row r="486" spans="1:5" x14ac:dyDescent="0.25">
      <c r="A486">
        <v>0</v>
      </c>
      <c r="B486">
        <v>1</v>
      </c>
      <c r="C486">
        <v>5</v>
      </c>
      <c r="D486">
        <v>2049</v>
      </c>
      <c r="E486">
        <v>863298</v>
      </c>
    </row>
    <row r="487" spans="1:5" x14ac:dyDescent="0.25">
      <c r="A487">
        <v>0</v>
      </c>
      <c r="B487">
        <v>1</v>
      </c>
      <c r="C487">
        <v>5</v>
      </c>
      <c r="D487">
        <v>2050</v>
      </c>
      <c r="E487">
        <v>870322</v>
      </c>
    </row>
    <row r="488" spans="1:5" x14ac:dyDescent="0.25">
      <c r="A488">
        <v>0</v>
      </c>
      <c r="B488">
        <v>1</v>
      </c>
      <c r="C488">
        <v>6</v>
      </c>
      <c r="D488">
        <v>2024</v>
      </c>
      <c r="E488">
        <v>8399244</v>
      </c>
    </row>
    <row r="489" spans="1:5" x14ac:dyDescent="0.25">
      <c r="A489">
        <v>0</v>
      </c>
      <c r="B489">
        <v>1</v>
      </c>
      <c r="C489">
        <v>6</v>
      </c>
      <c r="D489">
        <v>2025</v>
      </c>
      <c r="E489">
        <v>8607666</v>
      </c>
    </row>
    <row r="490" spans="1:5" x14ac:dyDescent="0.25">
      <c r="A490">
        <v>0</v>
      </c>
      <c r="B490">
        <v>1</v>
      </c>
      <c r="C490">
        <v>6</v>
      </c>
      <c r="D490">
        <v>2026</v>
      </c>
      <c r="E490">
        <v>8819920</v>
      </c>
    </row>
    <row r="491" spans="1:5" x14ac:dyDescent="0.25">
      <c r="A491">
        <v>0</v>
      </c>
      <c r="B491">
        <v>1</v>
      </c>
      <c r="C491">
        <v>6</v>
      </c>
      <c r="D491">
        <v>2027</v>
      </c>
      <c r="E491">
        <v>9035964</v>
      </c>
    </row>
    <row r="492" spans="1:5" x14ac:dyDescent="0.25">
      <c r="A492">
        <v>0</v>
      </c>
      <c r="B492">
        <v>1</v>
      </c>
      <c r="C492">
        <v>6</v>
      </c>
      <c r="D492">
        <v>2028</v>
      </c>
      <c r="E492">
        <v>9255712</v>
      </c>
    </row>
    <row r="493" spans="1:5" x14ac:dyDescent="0.25">
      <c r="A493">
        <v>0</v>
      </c>
      <c r="B493">
        <v>1</v>
      </c>
      <c r="C493">
        <v>6</v>
      </c>
      <c r="D493">
        <v>2029</v>
      </c>
      <c r="E493">
        <v>9479048</v>
      </c>
    </row>
    <row r="494" spans="1:5" x14ac:dyDescent="0.25">
      <c r="A494">
        <v>0</v>
      </c>
      <c r="B494">
        <v>1</v>
      </c>
      <c r="C494">
        <v>6</v>
      </c>
      <c r="D494">
        <v>2030</v>
      </c>
      <c r="E494">
        <v>9705864</v>
      </c>
    </row>
    <row r="495" spans="1:5" x14ac:dyDescent="0.25">
      <c r="A495">
        <v>0</v>
      </c>
      <c r="B495">
        <v>1</v>
      </c>
      <c r="C495">
        <v>6</v>
      </c>
      <c r="D495">
        <v>2031</v>
      </c>
      <c r="E495">
        <v>9935872</v>
      </c>
    </row>
    <row r="496" spans="1:5" x14ac:dyDescent="0.25">
      <c r="A496">
        <v>0</v>
      </c>
      <c r="B496">
        <v>1</v>
      </c>
      <c r="C496">
        <v>6</v>
      </c>
      <c r="D496">
        <v>2032</v>
      </c>
      <c r="E496">
        <v>10168885</v>
      </c>
    </row>
    <row r="497" spans="1:5" x14ac:dyDescent="0.25">
      <c r="A497">
        <v>0</v>
      </c>
      <c r="B497">
        <v>1</v>
      </c>
      <c r="C497">
        <v>6</v>
      </c>
      <c r="D497">
        <v>2033</v>
      </c>
      <c r="E497">
        <v>10404919</v>
      </c>
    </row>
    <row r="498" spans="1:5" x14ac:dyDescent="0.25">
      <c r="A498">
        <v>0</v>
      </c>
      <c r="B498">
        <v>1</v>
      </c>
      <c r="C498">
        <v>6</v>
      </c>
      <c r="D498">
        <v>2034</v>
      </c>
      <c r="E498">
        <v>10643783</v>
      </c>
    </row>
    <row r="499" spans="1:5" x14ac:dyDescent="0.25">
      <c r="A499">
        <v>0</v>
      </c>
      <c r="B499">
        <v>1</v>
      </c>
      <c r="C499">
        <v>6</v>
      </c>
      <c r="D499">
        <v>2035</v>
      </c>
      <c r="E499">
        <v>10885233</v>
      </c>
    </row>
    <row r="500" spans="1:5" x14ac:dyDescent="0.25">
      <c r="A500">
        <v>0</v>
      </c>
      <c r="B500">
        <v>1</v>
      </c>
      <c r="C500">
        <v>6</v>
      </c>
      <c r="D500">
        <v>2036</v>
      </c>
      <c r="E500">
        <v>11129099</v>
      </c>
    </row>
    <row r="501" spans="1:5" x14ac:dyDescent="0.25">
      <c r="A501">
        <v>0</v>
      </c>
      <c r="B501">
        <v>1</v>
      </c>
      <c r="C501">
        <v>6</v>
      </c>
      <c r="D501">
        <v>2037</v>
      </c>
      <c r="E501">
        <v>11375080</v>
      </c>
    </row>
    <row r="502" spans="1:5" x14ac:dyDescent="0.25">
      <c r="A502">
        <v>0</v>
      </c>
      <c r="B502">
        <v>1</v>
      </c>
      <c r="C502">
        <v>6</v>
      </c>
      <c r="D502">
        <v>2038</v>
      </c>
      <c r="E502">
        <v>11622870</v>
      </c>
    </row>
    <row r="503" spans="1:5" x14ac:dyDescent="0.25">
      <c r="A503">
        <v>0</v>
      </c>
      <c r="B503">
        <v>1</v>
      </c>
      <c r="C503">
        <v>6</v>
      </c>
      <c r="D503">
        <v>2039</v>
      </c>
      <c r="E503">
        <v>11872192</v>
      </c>
    </row>
    <row r="504" spans="1:5" x14ac:dyDescent="0.25">
      <c r="A504">
        <v>0</v>
      </c>
      <c r="B504">
        <v>1</v>
      </c>
      <c r="C504">
        <v>6</v>
      </c>
      <c r="D504">
        <v>2040</v>
      </c>
      <c r="E504">
        <v>12122794</v>
      </c>
    </row>
    <row r="505" spans="1:5" x14ac:dyDescent="0.25">
      <c r="A505">
        <v>0</v>
      </c>
      <c r="B505">
        <v>1</v>
      </c>
      <c r="C505">
        <v>6</v>
      </c>
      <c r="D505">
        <v>2041</v>
      </c>
      <c r="E505">
        <v>12374423</v>
      </c>
    </row>
    <row r="506" spans="1:5" x14ac:dyDescent="0.25">
      <c r="A506">
        <v>0</v>
      </c>
      <c r="B506">
        <v>1</v>
      </c>
      <c r="C506">
        <v>6</v>
      </c>
      <c r="D506">
        <v>2042</v>
      </c>
      <c r="E506">
        <v>12626955</v>
      </c>
    </row>
    <row r="507" spans="1:5" x14ac:dyDescent="0.25">
      <c r="A507">
        <v>0</v>
      </c>
      <c r="B507">
        <v>1</v>
      </c>
      <c r="C507">
        <v>6</v>
      </c>
      <c r="D507">
        <v>2043</v>
      </c>
      <c r="E507">
        <v>12880376</v>
      </c>
    </row>
    <row r="508" spans="1:5" x14ac:dyDescent="0.25">
      <c r="A508">
        <v>0</v>
      </c>
      <c r="B508">
        <v>1</v>
      </c>
      <c r="C508">
        <v>6</v>
      </c>
      <c r="D508">
        <v>2044</v>
      </c>
      <c r="E508">
        <v>13134629</v>
      </c>
    </row>
    <row r="509" spans="1:5" x14ac:dyDescent="0.25">
      <c r="A509">
        <v>0</v>
      </c>
      <c r="B509">
        <v>1</v>
      </c>
      <c r="C509">
        <v>6</v>
      </c>
      <c r="D509">
        <v>2045</v>
      </c>
      <c r="E509">
        <v>13389617</v>
      </c>
    </row>
    <row r="510" spans="1:5" x14ac:dyDescent="0.25">
      <c r="A510">
        <v>0</v>
      </c>
      <c r="B510">
        <v>1</v>
      </c>
      <c r="C510">
        <v>6</v>
      </c>
      <c r="D510">
        <v>2046</v>
      </c>
      <c r="E510">
        <v>13645387</v>
      </c>
    </row>
    <row r="511" spans="1:5" x14ac:dyDescent="0.25">
      <c r="A511">
        <v>0</v>
      </c>
      <c r="B511">
        <v>1</v>
      </c>
      <c r="C511">
        <v>6</v>
      </c>
      <c r="D511">
        <v>2047</v>
      </c>
      <c r="E511">
        <v>13901976</v>
      </c>
    </row>
    <row r="512" spans="1:5" x14ac:dyDescent="0.25">
      <c r="A512">
        <v>0</v>
      </c>
      <c r="B512">
        <v>1</v>
      </c>
      <c r="C512">
        <v>6</v>
      </c>
      <c r="D512">
        <v>2048</v>
      </c>
      <c r="E512">
        <v>14159357</v>
      </c>
    </row>
    <row r="513" spans="1:5" x14ac:dyDescent="0.25">
      <c r="A513">
        <v>0</v>
      </c>
      <c r="B513">
        <v>1</v>
      </c>
      <c r="C513">
        <v>6</v>
      </c>
      <c r="D513">
        <v>2049</v>
      </c>
      <c r="E513">
        <v>14417596</v>
      </c>
    </row>
    <row r="514" spans="1:5" x14ac:dyDescent="0.25">
      <c r="A514">
        <v>0</v>
      </c>
      <c r="B514">
        <v>1</v>
      </c>
      <c r="C514">
        <v>6</v>
      </c>
      <c r="D514">
        <v>2050</v>
      </c>
      <c r="E514">
        <v>14676706</v>
      </c>
    </row>
    <row r="515" spans="1:5" x14ac:dyDescent="0.25">
      <c r="A515">
        <v>0</v>
      </c>
      <c r="B515">
        <v>1</v>
      </c>
      <c r="C515">
        <v>7</v>
      </c>
      <c r="D515">
        <v>2024</v>
      </c>
      <c r="E515">
        <v>203275098</v>
      </c>
    </row>
    <row r="516" spans="1:5" x14ac:dyDescent="0.25">
      <c r="A516">
        <v>0</v>
      </c>
      <c r="B516">
        <v>1</v>
      </c>
      <c r="C516">
        <v>7</v>
      </c>
      <c r="D516">
        <v>2025</v>
      </c>
      <c r="E516">
        <v>203179475</v>
      </c>
    </row>
    <row r="517" spans="1:5" x14ac:dyDescent="0.25">
      <c r="A517">
        <v>0</v>
      </c>
      <c r="B517">
        <v>1</v>
      </c>
      <c r="C517">
        <v>7</v>
      </c>
      <c r="D517">
        <v>2026</v>
      </c>
      <c r="E517">
        <v>203044570</v>
      </c>
    </row>
    <row r="518" spans="1:5" x14ac:dyDescent="0.25">
      <c r="A518">
        <v>0</v>
      </c>
      <c r="B518">
        <v>1</v>
      </c>
      <c r="C518">
        <v>7</v>
      </c>
      <c r="D518">
        <v>2027</v>
      </c>
      <c r="E518">
        <v>202869405</v>
      </c>
    </row>
    <row r="519" spans="1:5" x14ac:dyDescent="0.25">
      <c r="A519">
        <v>0</v>
      </c>
      <c r="B519">
        <v>1</v>
      </c>
      <c r="C519">
        <v>7</v>
      </c>
      <c r="D519">
        <v>2028</v>
      </c>
      <c r="E519">
        <v>202652601</v>
      </c>
    </row>
    <row r="520" spans="1:5" x14ac:dyDescent="0.25">
      <c r="A520">
        <v>0</v>
      </c>
      <c r="B520">
        <v>1</v>
      </c>
      <c r="C520">
        <v>7</v>
      </c>
      <c r="D520">
        <v>2029</v>
      </c>
      <c r="E520">
        <v>202393723</v>
      </c>
    </row>
    <row r="521" spans="1:5" x14ac:dyDescent="0.25">
      <c r="A521">
        <v>0</v>
      </c>
      <c r="B521">
        <v>1</v>
      </c>
      <c r="C521">
        <v>7</v>
      </c>
      <c r="D521">
        <v>2030</v>
      </c>
      <c r="E521">
        <v>202091526</v>
      </c>
    </row>
    <row r="522" spans="1:5" x14ac:dyDescent="0.25">
      <c r="A522">
        <v>0</v>
      </c>
      <c r="B522">
        <v>1</v>
      </c>
      <c r="C522">
        <v>7</v>
      </c>
      <c r="D522">
        <v>2031</v>
      </c>
      <c r="E522">
        <v>201744667</v>
      </c>
    </row>
    <row r="523" spans="1:5" x14ac:dyDescent="0.25">
      <c r="A523">
        <v>0</v>
      </c>
      <c r="B523">
        <v>1</v>
      </c>
      <c r="C523">
        <v>7</v>
      </c>
      <c r="D523">
        <v>2032</v>
      </c>
      <c r="E523">
        <v>201351353</v>
      </c>
    </row>
    <row r="524" spans="1:5" x14ac:dyDescent="0.25">
      <c r="A524">
        <v>0</v>
      </c>
      <c r="B524">
        <v>1</v>
      </c>
      <c r="C524">
        <v>7</v>
      </c>
      <c r="D524">
        <v>2033</v>
      </c>
      <c r="E524">
        <v>200915617</v>
      </c>
    </row>
    <row r="525" spans="1:5" x14ac:dyDescent="0.25">
      <c r="A525">
        <v>0</v>
      </c>
      <c r="B525">
        <v>1</v>
      </c>
      <c r="C525">
        <v>7</v>
      </c>
      <c r="D525">
        <v>2034</v>
      </c>
      <c r="E525">
        <v>200437292</v>
      </c>
    </row>
    <row r="526" spans="1:5" x14ac:dyDescent="0.25">
      <c r="A526">
        <v>0</v>
      </c>
      <c r="B526">
        <v>1</v>
      </c>
      <c r="C526">
        <v>7</v>
      </c>
      <c r="D526">
        <v>2035</v>
      </c>
      <c r="E526">
        <v>199916317</v>
      </c>
    </row>
    <row r="527" spans="1:5" x14ac:dyDescent="0.25">
      <c r="A527">
        <v>0</v>
      </c>
      <c r="B527">
        <v>1</v>
      </c>
      <c r="C527">
        <v>7</v>
      </c>
      <c r="D527">
        <v>2036</v>
      </c>
      <c r="E527">
        <v>199353119</v>
      </c>
    </row>
    <row r="528" spans="1:5" x14ac:dyDescent="0.25">
      <c r="A528">
        <v>0</v>
      </c>
      <c r="B528">
        <v>1</v>
      </c>
      <c r="C528">
        <v>7</v>
      </c>
      <c r="D528">
        <v>2037</v>
      </c>
      <c r="E528">
        <v>198748178</v>
      </c>
    </row>
    <row r="529" spans="1:5" x14ac:dyDescent="0.25">
      <c r="A529">
        <v>0</v>
      </c>
      <c r="B529">
        <v>1</v>
      </c>
      <c r="C529">
        <v>7</v>
      </c>
      <c r="D529">
        <v>2038</v>
      </c>
      <c r="E529">
        <v>198102540</v>
      </c>
    </row>
    <row r="530" spans="1:5" x14ac:dyDescent="0.25">
      <c r="A530">
        <v>0</v>
      </c>
      <c r="B530">
        <v>1</v>
      </c>
      <c r="C530">
        <v>7</v>
      </c>
      <c r="D530">
        <v>2039</v>
      </c>
      <c r="E530">
        <v>197417719</v>
      </c>
    </row>
    <row r="531" spans="1:5" x14ac:dyDescent="0.25">
      <c r="A531">
        <v>0</v>
      </c>
      <c r="B531">
        <v>1</v>
      </c>
      <c r="C531">
        <v>7</v>
      </c>
      <c r="D531">
        <v>2040</v>
      </c>
      <c r="E531">
        <v>196695645</v>
      </c>
    </row>
    <row r="532" spans="1:5" x14ac:dyDescent="0.25">
      <c r="A532">
        <v>0</v>
      </c>
      <c r="B532">
        <v>1</v>
      </c>
      <c r="C532">
        <v>7</v>
      </c>
      <c r="D532">
        <v>2041</v>
      </c>
      <c r="E532">
        <v>195938726</v>
      </c>
    </row>
    <row r="533" spans="1:5" x14ac:dyDescent="0.25">
      <c r="A533">
        <v>0</v>
      </c>
      <c r="B533">
        <v>1</v>
      </c>
      <c r="C533">
        <v>7</v>
      </c>
      <c r="D533">
        <v>2042</v>
      </c>
      <c r="E533">
        <v>195150112</v>
      </c>
    </row>
    <row r="534" spans="1:5" x14ac:dyDescent="0.25">
      <c r="A534">
        <v>0</v>
      </c>
      <c r="B534">
        <v>1</v>
      </c>
      <c r="C534">
        <v>7</v>
      </c>
      <c r="D534">
        <v>2043</v>
      </c>
      <c r="E534">
        <v>194333292</v>
      </c>
    </row>
    <row r="535" spans="1:5" x14ac:dyDescent="0.25">
      <c r="A535">
        <v>0</v>
      </c>
      <c r="B535">
        <v>1</v>
      </c>
      <c r="C535">
        <v>7</v>
      </c>
      <c r="D535">
        <v>2044</v>
      </c>
      <c r="E535">
        <v>193492485</v>
      </c>
    </row>
    <row r="536" spans="1:5" x14ac:dyDescent="0.25">
      <c r="A536">
        <v>0</v>
      </c>
      <c r="B536">
        <v>1</v>
      </c>
      <c r="C536">
        <v>7</v>
      </c>
      <c r="D536">
        <v>2045</v>
      </c>
      <c r="E536">
        <v>192632164</v>
      </c>
    </row>
    <row r="537" spans="1:5" x14ac:dyDescent="0.25">
      <c r="A537">
        <v>0</v>
      </c>
      <c r="B537">
        <v>1</v>
      </c>
      <c r="C537">
        <v>7</v>
      </c>
      <c r="D537">
        <v>2046</v>
      </c>
      <c r="E537">
        <v>191756726</v>
      </c>
    </row>
    <row r="538" spans="1:5" x14ac:dyDescent="0.25">
      <c r="A538">
        <v>0</v>
      </c>
      <c r="B538">
        <v>1</v>
      </c>
      <c r="C538">
        <v>7</v>
      </c>
      <c r="D538">
        <v>2047</v>
      </c>
      <c r="E538">
        <v>190868876</v>
      </c>
    </row>
    <row r="539" spans="1:5" x14ac:dyDescent="0.25">
      <c r="A539">
        <v>0</v>
      </c>
      <c r="B539">
        <v>1</v>
      </c>
      <c r="C539">
        <v>7</v>
      </c>
      <c r="D539">
        <v>2048</v>
      </c>
      <c r="E539">
        <v>189972714</v>
      </c>
    </row>
    <row r="540" spans="1:5" x14ac:dyDescent="0.25">
      <c r="A540">
        <v>0</v>
      </c>
      <c r="B540">
        <v>1</v>
      </c>
      <c r="C540">
        <v>7</v>
      </c>
      <c r="D540">
        <v>2049</v>
      </c>
      <c r="E540">
        <v>189072278</v>
      </c>
    </row>
    <row r="541" spans="1:5" x14ac:dyDescent="0.25">
      <c r="A541">
        <v>0</v>
      </c>
      <c r="B541">
        <v>1</v>
      </c>
      <c r="C541">
        <v>7</v>
      </c>
      <c r="D541">
        <v>2050</v>
      </c>
      <c r="E541">
        <v>188171443</v>
      </c>
    </row>
    <row r="542" spans="1:5" x14ac:dyDescent="0.25">
      <c r="A542">
        <v>0</v>
      </c>
      <c r="B542">
        <v>1</v>
      </c>
      <c r="C542">
        <v>8</v>
      </c>
      <c r="D542">
        <v>2024</v>
      </c>
      <c r="E542">
        <v>46453918</v>
      </c>
    </row>
    <row r="543" spans="1:5" x14ac:dyDescent="0.25">
      <c r="A543">
        <v>0</v>
      </c>
      <c r="B543">
        <v>1</v>
      </c>
      <c r="C543">
        <v>8</v>
      </c>
      <c r="D543">
        <v>2025</v>
      </c>
      <c r="E543">
        <v>46803001</v>
      </c>
    </row>
    <row r="544" spans="1:5" x14ac:dyDescent="0.25">
      <c r="A544">
        <v>0</v>
      </c>
      <c r="B544">
        <v>1</v>
      </c>
      <c r="C544">
        <v>8</v>
      </c>
      <c r="D544">
        <v>2026</v>
      </c>
      <c r="E544">
        <v>47153796</v>
      </c>
    </row>
    <row r="545" spans="1:5" x14ac:dyDescent="0.25">
      <c r="A545">
        <v>0</v>
      </c>
      <c r="B545">
        <v>1</v>
      </c>
      <c r="C545">
        <v>8</v>
      </c>
      <c r="D545">
        <v>2027</v>
      </c>
      <c r="E545">
        <v>47505928</v>
      </c>
    </row>
    <row r="546" spans="1:5" x14ac:dyDescent="0.25">
      <c r="A546">
        <v>0</v>
      </c>
      <c r="B546">
        <v>1</v>
      </c>
      <c r="C546">
        <v>8</v>
      </c>
      <c r="D546">
        <v>2028</v>
      </c>
      <c r="E546">
        <v>47858226</v>
      </c>
    </row>
    <row r="547" spans="1:5" x14ac:dyDescent="0.25">
      <c r="A547">
        <v>0</v>
      </c>
      <c r="B547">
        <v>1</v>
      </c>
      <c r="C547">
        <v>8</v>
      </c>
      <c r="D547">
        <v>2029</v>
      </c>
      <c r="E547">
        <v>48209761</v>
      </c>
    </row>
    <row r="548" spans="1:5" x14ac:dyDescent="0.25">
      <c r="A548">
        <v>0</v>
      </c>
      <c r="B548">
        <v>1</v>
      </c>
      <c r="C548">
        <v>8</v>
      </c>
      <c r="D548">
        <v>2030</v>
      </c>
      <c r="E548">
        <v>48559200</v>
      </c>
    </row>
    <row r="549" spans="1:5" x14ac:dyDescent="0.25">
      <c r="A549">
        <v>0</v>
      </c>
      <c r="B549">
        <v>1</v>
      </c>
      <c r="C549">
        <v>8</v>
      </c>
      <c r="D549">
        <v>2031</v>
      </c>
      <c r="E549">
        <v>48905570</v>
      </c>
    </row>
    <row r="550" spans="1:5" x14ac:dyDescent="0.25">
      <c r="A550">
        <v>0</v>
      </c>
      <c r="B550">
        <v>1</v>
      </c>
      <c r="C550">
        <v>8</v>
      </c>
      <c r="D550">
        <v>2032</v>
      </c>
      <c r="E550">
        <v>49247864</v>
      </c>
    </row>
    <row r="551" spans="1:5" x14ac:dyDescent="0.25">
      <c r="A551">
        <v>0</v>
      </c>
      <c r="B551">
        <v>1</v>
      </c>
      <c r="C551">
        <v>8</v>
      </c>
      <c r="D551">
        <v>2033</v>
      </c>
      <c r="E551">
        <v>49587807</v>
      </c>
    </row>
    <row r="552" spans="1:5" x14ac:dyDescent="0.25">
      <c r="A552">
        <v>0</v>
      </c>
      <c r="B552">
        <v>1</v>
      </c>
      <c r="C552">
        <v>8</v>
      </c>
      <c r="D552">
        <v>2034</v>
      </c>
      <c r="E552">
        <v>49925149</v>
      </c>
    </row>
    <row r="553" spans="1:5" x14ac:dyDescent="0.25">
      <c r="A553">
        <v>0</v>
      </c>
      <c r="B553">
        <v>1</v>
      </c>
      <c r="C553">
        <v>8</v>
      </c>
      <c r="D553">
        <v>2035</v>
      </c>
      <c r="E553">
        <v>50259835</v>
      </c>
    </row>
    <row r="554" spans="1:5" x14ac:dyDescent="0.25">
      <c r="A554">
        <v>0</v>
      </c>
      <c r="B554">
        <v>1</v>
      </c>
      <c r="C554">
        <v>8</v>
      </c>
      <c r="D554">
        <v>2036</v>
      </c>
      <c r="E554">
        <v>50591773</v>
      </c>
    </row>
    <row r="555" spans="1:5" x14ac:dyDescent="0.25">
      <c r="A555">
        <v>0</v>
      </c>
      <c r="B555">
        <v>1</v>
      </c>
      <c r="C555">
        <v>8</v>
      </c>
      <c r="D555">
        <v>2037</v>
      </c>
      <c r="E555">
        <v>50920872</v>
      </c>
    </row>
    <row r="556" spans="1:5" x14ac:dyDescent="0.25">
      <c r="A556">
        <v>0</v>
      </c>
      <c r="B556">
        <v>1</v>
      </c>
      <c r="C556">
        <v>8</v>
      </c>
      <c r="D556">
        <v>2038</v>
      </c>
      <c r="E556">
        <v>51247089</v>
      </c>
    </row>
    <row r="557" spans="1:5" x14ac:dyDescent="0.25">
      <c r="A557">
        <v>0</v>
      </c>
      <c r="B557">
        <v>1</v>
      </c>
      <c r="C557">
        <v>8</v>
      </c>
      <c r="D557">
        <v>2039</v>
      </c>
      <c r="E557">
        <v>51570417</v>
      </c>
    </row>
    <row r="558" spans="1:5" x14ac:dyDescent="0.25">
      <c r="A558">
        <v>0</v>
      </c>
      <c r="B558">
        <v>1</v>
      </c>
      <c r="C558">
        <v>8</v>
      </c>
      <c r="D558">
        <v>2040</v>
      </c>
      <c r="E558">
        <v>51890792</v>
      </c>
    </row>
    <row r="559" spans="1:5" x14ac:dyDescent="0.25">
      <c r="A559">
        <v>0</v>
      </c>
      <c r="B559">
        <v>1</v>
      </c>
      <c r="C559">
        <v>8</v>
      </c>
      <c r="D559">
        <v>2041</v>
      </c>
      <c r="E559">
        <v>52208250</v>
      </c>
    </row>
    <row r="560" spans="1:5" x14ac:dyDescent="0.25">
      <c r="A560">
        <v>0</v>
      </c>
      <c r="B560">
        <v>1</v>
      </c>
      <c r="C560">
        <v>8</v>
      </c>
      <c r="D560">
        <v>2042</v>
      </c>
      <c r="E560">
        <v>52522884</v>
      </c>
    </row>
    <row r="561" spans="1:5" x14ac:dyDescent="0.25">
      <c r="A561">
        <v>0</v>
      </c>
      <c r="B561">
        <v>1</v>
      </c>
      <c r="C561">
        <v>8</v>
      </c>
      <c r="D561">
        <v>2043</v>
      </c>
      <c r="E561">
        <v>52834803</v>
      </c>
    </row>
    <row r="562" spans="1:5" x14ac:dyDescent="0.25">
      <c r="A562">
        <v>0</v>
      </c>
      <c r="B562">
        <v>1</v>
      </c>
      <c r="C562">
        <v>8</v>
      </c>
      <c r="D562">
        <v>2044</v>
      </c>
      <c r="E562">
        <v>53144297</v>
      </c>
    </row>
    <row r="563" spans="1:5" x14ac:dyDescent="0.25">
      <c r="A563">
        <v>0</v>
      </c>
      <c r="B563">
        <v>1</v>
      </c>
      <c r="C563">
        <v>8</v>
      </c>
      <c r="D563">
        <v>2045</v>
      </c>
      <c r="E563">
        <v>53451758</v>
      </c>
    </row>
    <row r="564" spans="1:5" x14ac:dyDescent="0.25">
      <c r="A564">
        <v>0</v>
      </c>
      <c r="B564">
        <v>1</v>
      </c>
      <c r="C564">
        <v>8</v>
      </c>
      <c r="D564">
        <v>2046</v>
      </c>
      <c r="E564">
        <v>53757668</v>
      </c>
    </row>
    <row r="565" spans="1:5" x14ac:dyDescent="0.25">
      <c r="A565">
        <v>0</v>
      </c>
      <c r="B565">
        <v>1</v>
      </c>
      <c r="C565">
        <v>8</v>
      </c>
      <c r="D565">
        <v>2047</v>
      </c>
      <c r="E565">
        <v>54062452</v>
      </c>
    </row>
    <row r="566" spans="1:5" x14ac:dyDescent="0.25">
      <c r="A566">
        <v>0</v>
      </c>
      <c r="B566">
        <v>1</v>
      </c>
      <c r="C566">
        <v>8</v>
      </c>
      <c r="D566">
        <v>2048</v>
      </c>
      <c r="E566">
        <v>54366518</v>
      </c>
    </row>
    <row r="567" spans="1:5" x14ac:dyDescent="0.25">
      <c r="A567">
        <v>0</v>
      </c>
      <c r="B567">
        <v>1</v>
      </c>
      <c r="C567">
        <v>8</v>
      </c>
      <c r="D567">
        <v>2049</v>
      </c>
      <c r="E567">
        <v>54670413</v>
      </c>
    </row>
    <row r="568" spans="1:5" x14ac:dyDescent="0.25">
      <c r="A568">
        <v>0</v>
      </c>
      <c r="B568">
        <v>1</v>
      </c>
      <c r="C568">
        <v>8</v>
      </c>
      <c r="D568">
        <v>2050</v>
      </c>
      <c r="E568">
        <v>54974615</v>
      </c>
    </row>
    <row r="569" spans="1:5" x14ac:dyDescent="0.25">
      <c r="A569">
        <v>0</v>
      </c>
      <c r="B569">
        <v>1</v>
      </c>
      <c r="C569">
        <v>9</v>
      </c>
      <c r="D569">
        <v>2024</v>
      </c>
      <c r="E569">
        <v>4507438</v>
      </c>
    </row>
    <row r="570" spans="1:5" x14ac:dyDescent="0.25">
      <c r="A570">
        <v>0</v>
      </c>
      <c r="B570">
        <v>1</v>
      </c>
      <c r="C570">
        <v>9</v>
      </c>
      <c r="D570">
        <v>2025</v>
      </c>
      <c r="E570">
        <v>4527533</v>
      </c>
    </row>
    <row r="571" spans="1:5" x14ac:dyDescent="0.25">
      <c r="A571">
        <v>0</v>
      </c>
      <c r="B571">
        <v>1</v>
      </c>
      <c r="C571">
        <v>9</v>
      </c>
      <c r="D571">
        <v>2026</v>
      </c>
      <c r="E571">
        <v>4547385</v>
      </c>
    </row>
    <row r="572" spans="1:5" x14ac:dyDescent="0.25">
      <c r="A572">
        <v>0</v>
      </c>
      <c r="B572">
        <v>1</v>
      </c>
      <c r="C572">
        <v>9</v>
      </c>
      <c r="D572">
        <v>2027</v>
      </c>
      <c r="E572">
        <v>4566930</v>
      </c>
    </row>
    <row r="573" spans="1:5" x14ac:dyDescent="0.25">
      <c r="A573">
        <v>0</v>
      </c>
      <c r="B573">
        <v>1</v>
      </c>
      <c r="C573">
        <v>9</v>
      </c>
      <c r="D573">
        <v>2028</v>
      </c>
      <c r="E573">
        <v>4586092</v>
      </c>
    </row>
    <row r="574" spans="1:5" x14ac:dyDescent="0.25">
      <c r="A574">
        <v>0</v>
      </c>
      <c r="B574">
        <v>1</v>
      </c>
      <c r="C574">
        <v>9</v>
      </c>
      <c r="D574">
        <v>2029</v>
      </c>
      <c r="E574">
        <v>4604748</v>
      </c>
    </row>
    <row r="575" spans="1:5" x14ac:dyDescent="0.25">
      <c r="A575">
        <v>0</v>
      </c>
      <c r="B575">
        <v>1</v>
      </c>
      <c r="C575">
        <v>9</v>
      </c>
      <c r="D575">
        <v>2030</v>
      </c>
      <c r="E575">
        <v>4622846</v>
      </c>
    </row>
    <row r="576" spans="1:5" x14ac:dyDescent="0.25">
      <c r="A576">
        <v>0</v>
      </c>
      <c r="B576">
        <v>1</v>
      </c>
      <c r="C576">
        <v>9</v>
      </c>
      <c r="D576">
        <v>2031</v>
      </c>
      <c r="E576">
        <v>4640320</v>
      </c>
    </row>
    <row r="577" spans="1:5" x14ac:dyDescent="0.25">
      <c r="A577">
        <v>0</v>
      </c>
      <c r="B577">
        <v>1</v>
      </c>
      <c r="C577">
        <v>9</v>
      </c>
      <c r="D577">
        <v>2032</v>
      </c>
      <c r="E577">
        <v>4657076</v>
      </c>
    </row>
    <row r="578" spans="1:5" x14ac:dyDescent="0.25">
      <c r="A578">
        <v>0</v>
      </c>
      <c r="B578">
        <v>1</v>
      </c>
      <c r="C578">
        <v>9</v>
      </c>
      <c r="D578">
        <v>2033</v>
      </c>
      <c r="E578">
        <v>4673056</v>
      </c>
    </row>
    <row r="579" spans="1:5" x14ac:dyDescent="0.25">
      <c r="A579">
        <v>0</v>
      </c>
      <c r="B579">
        <v>1</v>
      </c>
      <c r="C579">
        <v>9</v>
      </c>
      <c r="D579">
        <v>2034</v>
      </c>
      <c r="E579">
        <v>4688220</v>
      </c>
    </row>
    <row r="580" spans="1:5" x14ac:dyDescent="0.25">
      <c r="A580">
        <v>0</v>
      </c>
      <c r="B580">
        <v>1</v>
      </c>
      <c r="C580">
        <v>9</v>
      </c>
      <c r="D580">
        <v>2035</v>
      </c>
      <c r="E580">
        <v>4702522</v>
      </c>
    </row>
    <row r="581" spans="1:5" x14ac:dyDescent="0.25">
      <c r="A581">
        <v>0</v>
      </c>
      <c r="B581">
        <v>1</v>
      </c>
      <c r="C581">
        <v>9</v>
      </c>
      <c r="D581">
        <v>2036</v>
      </c>
      <c r="E581">
        <v>4715904</v>
      </c>
    </row>
    <row r="582" spans="1:5" x14ac:dyDescent="0.25">
      <c r="A582">
        <v>0</v>
      </c>
      <c r="B582">
        <v>1</v>
      </c>
      <c r="C582">
        <v>9</v>
      </c>
      <c r="D582">
        <v>2037</v>
      </c>
      <c r="E582">
        <v>4728322</v>
      </c>
    </row>
    <row r="583" spans="1:5" x14ac:dyDescent="0.25">
      <c r="A583">
        <v>0</v>
      </c>
      <c r="B583">
        <v>1</v>
      </c>
      <c r="C583">
        <v>9</v>
      </c>
      <c r="D583">
        <v>2038</v>
      </c>
      <c r="E583">
        <v>4739680</v>
      </c>
    </row>
    <row r="584" spans="1:5" x14ac:dyDescent="0.25">
      <c r="A584">
        <v>0</v>
      </c>
      <c r="B584">
        <v>1</v>
      </c>
      <c r="C584">
        <v>9</v>
      </c>
      <c r="D584">
        <v>2039</v>
      </c>
      <c r="E584">
        <v>4749991</v>
      </c>
    </row>
    <row r="585" spans="1:5" x14ac:dyDescent="0.25">
      <c r="A585">
        <v>0</v>
      </c>
      <c r="B585">
        <v>1</v>
      </c>
      <c r="C585">
        <v>9</v>
      </c>
      <c r="D585">
        <v>2040</v>
      </c>
      <c r="E585">
        <v>4759257</v>
      </c>
    </row>
    <row r="586" spans="1:5" x14ac:dyDescent="0.25">
      <c r="A586">
        <v>0</v>
      </c>
      <c r="B586">
        <v>1</v>
      </c>
      <c r="C586">
        <v>9</v>
      </c>
      <c r="D586">
        <v>2041</v>
      </c>
      <c r="E586">
        <v>4767442</v>
      </c>
    </row>
    <row r="587" spans="1:5" x14ac:dyDescent="0.25">
      <c r="A587">
        <v>0</v>
      </c>
      <c r="B587">
        <v>1</v>
      </c>
      <c r="C587">
        <v>9</v>
      </c>
      <c r="D587">
        <v>2042</v>
      </c>
      <c r="E587">
        <v>4774614</v>
      </c>
    </row>
    <row r="588" spans="1:5" x14ac:dyDescent="0.25">
      <c r="A588">
        <v>0</v>
      </c>
      <c r="B588">
        <v>1</v>
      </c>
      <c r="C588">
        <v>9</v>
      </c>
      <c r="D588">
        <v>2043</v>
      </c>
      <c r="E588">
        <v>4780827</v>
      </c>
    </row>
    <row r="589" spans="1:5" x14ac:dyDescent="0.25">
      <c r="A589">
        <v>0</v>
      </c>
      <c r="B589">
        <v>1</v>
      </c>
      <c r="C589">
        <v>9</v>
      </c>
      <c r="D589">
        <v>2044</v>
      </c>
      <c r="E589">
        <v>4786121</v>
      </c>
    </row>
    <row r="590" spans="1:5" x14ac:dyDescent="0.25">
      <c r="A590">
        <v>0</v>
      </c>
      <c r="B590">
        <v>1</v>
      </c>
      <c r="C590">
        <v>9</v>
      </c>
      <c r="D590">
        <v>2045</v>
      </c>
      <c r="E590">
        <v>4790552</v>
      </c>
    </row>
    <row r="591" spans="1:5" x14ac:dyDescent="0.25">
      <c r="A591">
        <v>0</v>
      </c>
      <c r="B591">
        <v>1</v>
      </c>
      <c r="C591">
        <v>9</v>
      </c>
      <c r="D591">
        <v>2046</v>
      </c>
      <c r="E591">
        <v>4794197</v>
      </c>
    </row>
    <row r="592" spans="1:5" x14ac:dyDescent="0.25">
      <c r="A592">
        <v>0</v>
      </c>
      <c r="B592">
        <v>1</v>
      </c>
      <c r="C592">
        <v>9</v>
      </c>
      <c r="D592">
        <v>2047</v>
      </c>
      <c r="E592">
        <v>4797112</v>
      </c>
    </row>
    <row r="593" spans="1:5" x14ac:dyDescent="0.25">
      <c r="A593">
        <v>0</v>
      </c>
      <c r="B593">
        <v>1</v>
      </c>
      <c r="C593">
        <v>9</v>
      </c>
      <c r="D593">
        <v>2048</v>
      </c>
      <c r="E593">
        <v>4799372</v>
      </c>
    </row>
    <row r="594" spans="1:5" x14ac:dyDescent="0.25">
      <c r="A594">
        <v>0</v>
      </c>
      <c r="B594">
        <v>1</v>
      </c>
      <c r="C594">
        <v>9</v>
      </c>
      <c r="D594">
        <v>2049</v>
      </c>
      <c r="E594">
        <v>4801031</v>
      </c>
    </row>
    <row r="595" spans="1:5" x14ac:dyDescent="0.25">
      <c r="A595">
        <v>0</v>
      </c>
      <c r="B595">
        <v>1</v>
      </c>
      <c r="C595">
        <v>9</v>
      </c>
      <c r="D595">
        <v>2050</v>
      </c>
      <c r="E595">
        <v>4802183</v>
      </c>
    </row>
    <row r="596" spans="1:5" x14ac:dyDescent="0.25">
      <c r="A596">
        <v>0</v>
      </c>
      <c r="B596">
        <v>1</v>
      </c>
      <c r="C596">
        <v>10</v>
      </c>
      <c r="D596">
        <v>2024</v>
      </c>
      <c r="E596">
        <v>24360983</v>
      </c>
    </row>
    <row r="597" spans="1:5" x14ac:dyDescent="0.25">
      <c r="A597">
        <v>0</v>
      </c>
      <c r="B597">
        <v>1</v>
      </c>
      <c r="C597">
        <v>10</v>
      </c>
      <c r="D597">
        <v>2025</v>
      </c>
      <c r="E597">
        <v>24831682</v>
      </c>
    </row>
    <row r="598" spans="1:5" x14ac:dyDescent="0.25">
      <c r="A598">
        <v>0</v>
      </c>
      <c r="B598">
        <v>1</v>
      </c>
      <c r="C598">
        <v>10</v>
      </c>
      <c r="D598">
        <v>2026</v>
      </c>
      <c r="E598">
        <v>25304691</v>
      </c>
    </row>
    <row r="599" spans="1:5" x14ac:dyDescent="0.25">
      <c r="A599">
        <v>0</v>
      </c>
      <c r="B599">
        <v>1</v>
      </c>
      <c r="C599">
        <v>10</v>
      </c>
      <c r="D599">
        <v>2027</v>
      </c>
      <c r="E599">
        <v>25778844</v>
      </c>
    </row>
    <row r="600" spans="1:5" x14ac:dyDescent="0.25">
      <c r="A600">
        <v>0</v>
      </c>
      <c r="B600">
        <v>1</v>
      </c>
      <c r="C600">
        <v>10</v>
      </c>
      <c r="D600">
        <v>2028</v>
      </c>
      <c r="E600">
        <v>26253117</v>
      </c>
    </row>
    <row r="601" spans="1:5" x14ac:dyDescent="0.25">
      <c r="A601">
        <v>0</v>
      </c>
      <c r="B601">
        <v>1</v>
      </c>
      <c r="C601">
        <v>10</v>
      </c>
      <c r="D601">
        <v>2029</v>
      </c>
      <c r="E601">
        <v>26727963</v>
      </c>
    </row>
    <row r="602" spans="1:5" x14ac:dyDescent="0.25">
      <c r="A602">
        <v>0</v>
      </c>
      <c r="B602">
        <v>1</v>
      </c>
      <c r="C602">
        <v>10</v>
      </c>
      <c r="D602">
        <v>2030</v>
      </c>
      <c r="E602">
        <v>27201759</v>
      </c>
    </row>
    <row r="603" spans="1:5" x14ac:dyDescent="0.25">
      <c r="A603">
        <v>0</v>
      </c>
      <c r="B603">
        <v>1</v>
      </c>
      <c r="C603">
        <v>10</v>
      </c>
      <c r="D603">
        <v>2031</v>
      </c>
      <c r="E603">
        <v>27672132</v>
      </c>
    </row>
    <row r="604" spans="1:5" x14ac:dyDescent="0.25">
      <c r="A604">
        <v>0</v>
      </c>
      <c r="B604">
        <v>1</v>
      </c>
      <c r="C604">
        <v>10</v>
      </c>
      <c r="D604">
        <v>2032</v>
      </c>
      <c r="E604">
        <v>28136883</v>
      </c>
    </row>
    <row r="605" spans="1:5" x14ac:dyDescent="0.25">
      <c r="A605">
        <v>0</v>
      </c>
      <c r="B605">
        <v>1</v>
      </c>
      <c r="C605">
        <v>10</v>
      </c>
      <c r="D605">
        <v>2033</v>
      </c>
      <c r="E605">
        <v>28601935</v>
      </c>
    </row>
    <row r="606" spans="1:5" x14ac:dyDescent="0.25">
      <c r="A606">
        <v>0</v>
      </c>
      <c r="B606">
        <v>1</v>
      </c>
      <c r="C606">
        <v>10</v>
      </c>
      <c r="D606">
        <v>2034</v>
      </c>
      <c r="E606">
        <v>29066953</v>
      </c>
    </row>
    <row r="607" spans="1:5" x14ac:dyDescent="0.25">
      <c r="A607">
        <v>0</v>
      </c>
      <c r="B607">
        <v>1</v>
      </c>
      <c r="C607">
        <v>10</v>
      </c>
      <c r="D607">
        <v>2035</v>
      </c>
      <c r="E607">
        <v>29531664</v>
      </c>
    </row>
    <row r="608" spans="1:5" x14ac:dyDescent="0.25">
      <c r="A608">
        <v>0</v>
      </c>
      <c r="B608">
        <v>1</v>
      </c>
      <c r="C608">
        <v>10</v>
      </c>
      <c r="D608">
        <v>2036</v>
      </c>
      <c r="E608">
        <v>29995792</v>
      </c>
    </row>
    <row r="609" spans="1:5" x14ac:dyDescent="0.25">
      <c r="A609">
        <v>0</v>
      </c>
      <c r="B609">
        <v>1</v>
      </c>
      <c r="C609">
        <v>10</v>
      </c>
      <c r="D609">
        <v>2037</v>
      </c>
      <c r="E609">
        <v>30458983</v>
      </c>
    </row>
    <row r="610" spans="1:5" x14ac:dyDescent="0.25">
      <c r="A610">
        <v>0</v>
      </c>
      <c r="B610">
        <v>1</v>
      </c>
      <c r="C610">
        <v>10</v>
      </c>
      <c r="D610">
        <v>2038</v>
      </c>
      <c r="E610">
        <v>30920911</v>
      </c>
    </row>
    <row r="611" spans="1:5" x14ac:dyDescent="0.25">
      <c r="A611">
        <v>0</v>
      </c>
      <c r="B611">
        <v>1</v>
      </c>
      <c r="C611">
        <v>10</v>
      </c>
      <c r="D611">
        <v>2039</v>
      </c>
      <c r="E611">
        <v>31381316</v>
      </c>
    </row>
    <row r="612" spans="1:5" x14ac:dyDescent="0.25">
      <c r="A612">
        <v>0</v>
      </c>
      <c r="B612">
        <v>1</v>
      </c>
      <c r="C612">
        <v>10</v>
      </c>
      <c r="D612">
        <v>2040</v>
      </c>
      <c r="E612">
        <v>31840026</v>
      </c>
    </row>
    <row r="613" spans="1:5" x14ac:dyDescent="0.25">
      <c r="A613">
        <v>0</v>
      </c>
      <c r="B613">
        <v>1</v>
      </c>
      <c r="C613">
        <v>10</v>
      </c>
      <c r="D613">
        <v>2041</v>
      </c>
      <c r="E613">
        <v>32296882</v>
      </c>
    </row>
    <row r="614" spans="1:5" x14ac:dyDescent="0.25">
      <c r="A614">
        <v>0</v>
      </c>
      <c r="B614">
        <v>1</v>
      </c>
      <c r="C614">
        <v>10</v>
      </c>
      <c r="D614">
        <v>2042</v>
      </c>
      <c r="E614">
        <v>32751863</v>
      </c>
    </row>
    <row r="615" spans="1:5" x14ac:dyDescent="0.25">
      <c r="A615">
        <v>0</v>
      </c>
      <c r="B615">
        <v>1</v>
      </c>
      <c r="C615">
        <v>10</v>
      </c>
      <c r="D615">
        <v>2043</v>
      </c>
      <c r="E615">
        <v>33205023</v>
      </c>
    </row>
    <row r="616" spans="1:5" x14ac:dyDescent="0.25">
      <c r="A616">
        <v>0</v>
      </c>
      <c r="B616">
        <v>1</v>
      </c>
      <c r="C616">
        <v>10</v>
      </c>
      <c r="D616">
        <v>2044</v>
      </c>
      <c r="E616">
        <v>33656340</v>
      </c>
    </row>
    <row r="617" spans="1:5" x14ac:dyDescent="0.25">
      <c r="A617">
        <v>0</v>
      </c>
      <c r="B617">
        <v>1</v>
      </c>
      <c r="C617">
        <v>10</v>
      </c>
      <c r="D617">
        <v>2045</v>
      </c>
      <c r="E617">
        <v>34105774</v>
      </c>
    </row>
    <row r="618" spans="1:5" x14ac:dyDescent="0.25">
      <c r="A618">
        <v>0</v>
      </c>
      <c r="B618">
        <v>1</v>
      </c>
      <c r="C618">
        <v>10</v>
      </c>
      <c r="D618">
        <v>2046</v>
      </c>
      <c r="E618">
        <v>34553243</v>
      </c>
    </row>
    <row r="619" spans="1:5" x14ac:dyDescent="0.25">
      <c r="A619">
        <v>0</v>
      </c>
      <c r="B619">
        <v>1</v>
      </c>
      <c r="C619">
        <v>10</v>
      </c>
      <c r="D619">
        <v>2047</v>
      </c>
      <c r="E619">
        <v>34998733</v>
      </c>
    </row>
    <row r="620" spans="1:5" x14ac:dyDescent="0.25">
      <c r="A620">
        <v>0</v>
      </c>
      <c r="B620">
        <v>1</v>
      </c>
      <c r="C620">
        <v>10</v>
      </c>
      <c r="D620">
        <v>2048</v>
      </c>
      <c r="E620">
        <v>35442107</v>
      </c>
    </row>
    <row r="621" spans="1:5" x14ac:dyDescent="0.25">
      <c r="A621">
        <v>0</v>
      </c>
      <c r="B621">
        <v>1</v>
      </c>
      <c r="C621">
        <v>10</v>
      </c>
      <c r="D621">
        <v>2049</v>
      </c>
      <c r="E621">
        <v>35883268</v>
      </c>
    </row>
    <row r="622" spans="1:5" x14ac:dyDescent="0.25">
      <c r="A622">
        <v>0</v>
      </c>
      <c r="B622">
        <v>1</v>
      </c>
      <c r="C622">
        <v>10</v>
      </c>
      <c r="D622">
        <v>2050</v>
      </c>
      <c r="E622">
        <v>36322075</v>
      </c>
    </row>
    <row r="623" spans="1:5" x14ac:dyDescent="0.25">
      <c r="A623">
        <v>0</v>
      </c>
      <c r="B623">
        <v>1</v>
      </c>
      <c r="C623">
        <v>11</v>
      </c>
      <c r="D623">
        <v>2024</v>
      </c>
      <c r="E623">
        <v>1360769</v>
      </c>
    </row>
    <row r="624" spans="1:5" x14ac:dyDescent="0.25">
      <c r="A624">
        <v>0</v>
      </c>
      <c r="B624">
        <v>1</v>
      </c>
      <c r="C624">
        <v>11</v>
      </c>
      <c r="D624">
        <v>2025</v>
      </c>
      <c r="E624">
        <v>1382044</v>
      </c>
    </row>
    <row r="625" spans="1:5" x14ac:dyDescent="0.25">
      <c r="A625">
        <v>0</v>
      </c>
      <c r="B625">
        <v>1</v>
      </c>
      <c r="C625">
        <v>11</v>
      </c>
      <c r="D625">
        <v>2026</v>
      </c>
      <c r="E625">
        <v>1403454</v>
      </c>
    </row>
    <row r="626" spans="1:5" x14ac:dyDescent="0.25">
      <c r="A626">
        <v>0</v>
      </c>
      <c r="B626">
        <v>1</v>
      </c>
      <c r="C626">
        <v>11</v>
      </c>
      <c r="D626">
        <v>2027</v>
      </c>
      <c r="E626">
        <v>1424914</v>
      </c>
    </row>
    <row r="627" spans="1:5" x14ac:dyDescent="0.25">
      <c r="A627">
        <v>0</v>
      </c>
      <c r="B627">
        <v>1</v>
      </c>
      <c r="C627">
        <v>11</v>
      </c>
      <c r="D627">
        <v>2028</v>
      </c>
      <c r="E627">
        <v>1446418</v>
      </c>
    </row>
    <row r="628" spans="1:5" x14ac:dyDescent="0.25">
      <c r="A628">
        <v>0</v>
      </c>
      <c r="B628">
        <v>1</v>
      </c>
      <c r="C628">
        <v>11</v>
      </c>
      <c r="D628">
        <v>2029</v>
      </c>
      <c r="E628">
        <v>1467936</v>
      </c>
    </row>
    <row r="629" spans="1:5" x14ac:dyDescent="0.25">
      <c r="A629">
        <v>0</v>
      </c>
      <c r="B629">
        <v>1</v>
      </c>
      <c r="C629">
        <v>11</v>
      </c>
      <c r="D629">
        <v>2030</v>
      </c>
      <c r="E629">
        <v>1489486</v>
      </c>
    </row>
    <row r="630" spans="1:5" x14ac:dyDescent="0.25">
      <c r="A630">
        <v>0</v>
      </c>
      <c r="B630">
        <v>1</v>
      </c>
      <c r="C630">
        <v>11</v>
      </c>
      <c r="D630">
        <v>2031</v>
      </c>
      <c r="E630">
        <v>1510958</v>
      </c>
    </row>
    <row r="631" spans="1:5" x14ac:dyDescent="0.25">
      <c r="A631">
        <v>0</v>
      </c>
      <c r="B631">
        <v>1</v>
      </c>
      <c r="C631">
        <v>11</v>
      </c>
      <c r="D631">
        <v>2032</v>
      </c>
      <c r="E631">
        <v>1532317</v>
      </c>
    </row>
    <row r="632" spans="1:5" x14ac:dyDescent="0.25">
      <c r="A632">
        <v>0</v>
      </c>
      <c r="B632">
        <v>1</v>
      </c>
      <c r="C632">
        <v>11</v>
      </c>
      <c r="D632">
        <v>2033</v>
      </c>
      <c r="E632">
        <v>1553681</v>
      </c>
    </row>
    <row r="633" spans="1:5" x14ac:dyDescent="0.25">
      <c r="A633">
        <v>0</v>
      </c>
      <c r="B633">
        <v>1</v>
      </c>
      <c r="C633">
        <v>11</v>
      </c>
      <c r="D633">
        <v>2034</v>
      </c>
      <c r="E633">
        <v>1575090</v>
      </c>
    </row>
    <row r="634" spans="1:5" x14ac:dyDescent="0.25">
      <c r="A634">
        <v>0</v>
      </c>
      <c r="B634">
        <v>1</v>
      </c>
      <c r="C634">
        <v>11</v>
      </c>
      <c r="D634">
        <v>2035</v>
      </c>
      <c r="E634">
        <v>1596488</v>
      </c>
    </row>
    <row r="635" spans="1:5" x14ac:dyDescent="0.25">
      <c r="A635">
        <v>0</v>
      </c>
      <c r="B635">
        <v>1</v>
      </c>
      <c r="C635">
        <v>11</v>
      </c>
      <c r="D635">
        <v>2036</v>
      </c>
      <c r="E635">
        <v>1617909</v>
      </c>
    </row>
    <row r="636" spans="1:5" x14ac:dyDescent="0.25">
      <c r="A636">
        <v>0</v>
      </c>
      <c r="B636">
        <v>1</v>
      </c>
      <c r="C636">
        <v>11</v>
      </c>
      <c r="D636">
        <v>2037</v>
      </c>
      <c r="E636">
        <v>1639311</v>
      </c>
    </row>
    <row r="637" spans="1:5" x14ac:dyDescent="0.25">
      <c r="A637">
        <v>0</v>
      </c>
      <c r="B637">
        <v>1</v>
      </c>
      <c r="C637">
        <v>11</v>
      </c>
      <c r="D637">
        <v>2038</v>
      </c>
      <c r="E637">
        <v>1660629</v>
      </c>
    </row>
    <row r="638" spans="1:5" x14ac:dyDescent="0.25">
      <c r="A638">
        <v>0</v>
      </c>
      <c r="B638">
        <v>1</v>
      </c>
      <c r="C638">
        <v>11</v>
      </c>
      <c r="D638">
        <v>2039</v>
      </c>
      <c r="E638">
        <v>1681828</v>
      </c>
    </row>
    <row r="639" spans="1:5" x14ac:dyDescent="0.25">
      <c r="A639">
        <v>0</v>
      </c>
      <c r="B639">
        <v>1</v>
      </c>
      <c r="C639">
        <v>11</v>
      </c>
      <c r="D639">
        <v>2040</v>
      </c>
      <c r="E639">
        <v>1702893</v>
      </c>
    </row>
    <row r="640" spans="1:5" x14ac:dyDescent="0.25">
      <c r="A640">
        <v>0</v>
      </c>
      <c r="B640">
        <v>1</v>
      </c>
      <c r="C640">
        <v>11</v>
      </c>
      <c r="D640">
        <v>2041</v>
      </c>
      <c r="E640">
        <v>1723805</v>
      </c>
    </row>
    <row r="641" spans="1:5" x14ac:dyDescent="0.25">
      <c r="A641">
        <v>0</v>
      </c>
      <c r="B641">
        <v>1</v>
      </c>
      <c r="C641">
        <v>11</v>
      </c>
      <c r="D641">
        <v>2042</v>
      </c>
      <c r="E641">
        <v>1744585</v>
      </c>
    </row>
    <row r="642" spans="1:5" x14ac:dyDescent="0.25">
      <c r="A642">
        <v>0</v>
      </c>
      <c r="B642">
        <v>1</v>
      </c>
      <c r="C642">
        <v>11</v>
      </c>
      <c r="D642">
        <v>2043</v>
      </c>
      <c r="E642">
        <v>1765200</v>
      </c>
    </row>
    <row r="643" spans="1:5" x14ac:dyDescent="0.25">
      <c r="A643">
        <v>0</v>
      </c>
      <c r="B643">
        <v>1</v>
      </c>
      <c r="C643">
        <v>11</v>
      </c>
      <c r="D643">
        <v>2044</v>
      </c>
      <c r="E643">
        <v>1785676</v>
      </c>
    </row>
    <row r="644" spans="1:5" x14ac:dyDescent="0.25">
      <c r="A644">
        <v>0</v>
      </c>
      <c r="B644">
        <v>1</v>
      </c>
      <c r="C644">
        <v>11</v>
      </c>
      <c r="D644">
        <v>2045</v>
      </c>
      <c r="E644">
        <v>1805943</v>
      </c>
    </row>
    <row r="645" spans="1:5" x14ac:dyDescent="0.25">
      <c r="A645">
        <v>0</v>
      </c>
      <c r="B645">
        <v>1</v>
      </c>
      <c r="C645">
        <v>11</v>
      </c>
      <c r="D645">
        <v>2046</v>
      </c>
      <c r="E645">
        <v>1826076</v>
      </c>
    </row>
    <row r="646" spans="1:5" x14ac:dyDescent="0.25">
      <c r="A646">
        <v>0</v>
      </c>
      <c r="B646">
        <v>1</v>
      </c>
      <c r="C646">
        <v>11</v>
      </c>
      <c r="D646">
        <v>2047</v>
      </c>
      <c r="E646">
        <v>1846110</v>
      </c>
    </row>
    <row r="647" spans="1:5" x14ac:dyDescent="0.25">
      <c r="A647">
        <v>0</v>
      </c>
      <c r="B647">
        <v>1</v>
      </c>
      <c r="C647">
        <v>11</v>
      </c>
      <c r="D647">
        <v>2048</v>
      </c>
      <c r="E647">
        <v>1865938</v>
      </c>
    </row>
    <row r="648" spans="1:5" x14ac:dyDescent="0.25">
      <c r="A648">
        <v>0</v>
      </c>
      <c r="B648">
        <v>1</v>
      </c>
      <c r="C648">
        <v>11</v>
      </c>
      <c r="D648">
        <v>2049</v>
      </c>
      <c r="E648">
        <v>1885633</v>
      </c>
    </row>
    <row r="649" spans="1:5" x14ac:dyDescent="0.25">
      <c r="A649">
        <v>0</v>
      </c>
      <c r="B649">
        <v>1</v>
      </c>
      <c r="C649">
        <v>11</v>
      </c>
      <c r="D649">
        <v>2050</v>
      </c>
      <c r="E649">
        <v>1905169</v>
      </c>
    </row>
    <row r="650" spans="1:5" x14ac:dyDescent="0.25">
      <c r="A650">
        <v>0</v>
      </c>
      <c r="B650">
        <v>2</v>
      </c>
      <c r="C650">
        <v>0</v>
      </c>
      <c r="D650">
        <v>2024</v>
      </c>
      <c r="E650">
        <v>65661023</v>
      </c>
    </row>
    <row r="651" spans="1:5" x14ac:dyDescent="0.25">
      <c r="A651">
        <v>0</v>
      </c>
      <c r="B651">
        <v>2</v>
      </c>
      <c r="C651">
        <v>0</v>
      </c>
      <c r="D651">
        <v>2025</v>
      </c>
      <c r="E651">
        <v>66657374</v>
      </c>
    </row>
    <row r="652" spans="1:5" x14ac:dyDescent="0.25">
      <c r="A652">
        <v>0</v>
      </c>
      <c r="B652">
        <v>2</v>
      </c>
      <c r="C652">
        <v>0</v>
      </c>
      <c r="D652">
        <v>2026</v>
      </c>
      <c r="E652">
        <v>67656195</v>
      </c>
    </row>
    <row r="653" spans="1:5" x14ac:dyDescent="0.25">
      <c r="A653">
        <v>0</v>
      </c>
      <c r="B653">
        <v>2</v>
      </c>
      <c r="C653">
        <v>0</v>
      </c>
      <c r="D653">
        <v>2027</v>
      </c>
      <c r="E653">
        <v>68658049</v>
      </c>
    </row>
    <row r="654" spans="1:5" x14ac:dyDescent="0.25">
      <c r="A654">
        <v>0</v>
      </c>
      <c r="B654">
        <v>2</v>
      </c>
      <c r="C654">
        <v>0</v>
      </c>
      <c r="D654">
        <v>2028</v>
      </c>
      <c r="E654">
        <v>69662652</v>
      </c>
    </row>
    <row r="655" spans="1:5" x14ac:dyDescent="0.25">
      <c r="A655">
        <v>0</v>
      </c>
      <c r="B655">
        <v>2</v>
      </c>
      <c r="C655">
        <v>0</v>
      </c>
      <c r="D655">
        <v>2029</v>
      </c>
      <c r="E655">
        <v>70668849</v>
      </c>
    </row>
    <row r="656" spans="1:5" x14ac:dyDescent="0.25">
      <c r="A656">
        <v>0</v>
      </c>
      <c r="B656">
        <v>2</v>
      </c>
      <c r="C656">
        <v>0</v>
      </c>
      <c r="D656">
        <v>2030</v>
      </c>
      <c r="E656">
        <v>71676794</v>
      </c>
    </row>
    <row r="657" spans="1:5" x14ac:dyDescent="0.25">
      <c r="A657">
        <v>0</v>
      </c>
      <c r="B657">
        <v>2</v>
      </c>
      <c r="C657">
        <v>0</v>
      </c>
      <c r="D657">
        <v>2031</v>
      </c>
      <c r="E657">
        <v>72686186</v>
      </c>
    </row>
    <row r="658" spans="1:5" x14ac:dyDescent="0.25">
      <c r="A658">
        <v>0</v>
      </c>
      <c r="B658">
        <v>2</v>
      </c>
      <c r="C658">
        <v>0</v>
      </c>
      <c r="D658">
        <v>2032</v>
      </c>
      <c r="E658">
        <v>73696184</v>
      </c>
    </row>
    <row r="659" spans="1:5" x14ac:dyDescent="0.25">
      <c r="A659">
        <v>0</v>
      </c>
      <c r="B659">
        <v>2</v>
      </c>
      <c r="C659">
        <v>0</v>
      </c>
      <c r="D659">
        <v>2033</v>
      </c>
      <c r="E659">
        <v>74705783</v>
      </c>
    </row>
    <row r="660" spans="1:5" x14ac:dyDescent="0.25">
      <c r="A660">
        <v>0</v>
      </c>
      <c r="B660">
        <v>2</v>
      </c>
      <c r="C660">
        <v>0</v>
      </c>
      <c r="D660">
        <v>2034</v>
      </c>
      <c r="E660">
        <v>75713775</v>
      </c>
    </row>
    <row r="661" spans="1:5" x14ac:dyDescent="0.25">
      <c r="A661">
        <v>0</v>
      </c>
      <c r="B661">
        <v>2</v>
      </c>
      <c r="C661">
        <v>0</v>
      </c>
      <c r="D661">
        <v>2035</v>
      </c>
      <c r="E661">
        <v>76718864</v>
      </c>
    </row>
    <row r="662" spans="1:5" x14ac:dyDescent="0.25">
      <c r="A662">
        <v>0</v>
      </c>
      <c r="B662">
        <v>2</v>
      </c>
      <c r="C662">
        <v>0</v>
      </c>
      <c r="D662">
        <v>2036</v>
      </c>
      <c r="E662">
        <v>77719633</v>
      </c>
    </row>
    <row r="663" spans="1:5" x14ac:dyDescent="0.25">
      <c r="A663">
        <v>0</v>
      </c>
      <c r="B663">
        <v>2</v>
      </c>
      <c r="C663">
        <v>0</v>
      </c>
      <c r="D663">
        <v>2037</v>
      </c>
      <c r="E663">
        <v>78714631</v>
      </c>
    </row>
    <row r="664" spans="1:5" x14ac:dyDescent="0.25">
      <c r="A664">
        <v>0</v>
      </c>
      <c r="B664">
        <v>2</v>
      </c>
      <c r="C664">
        <v>0</v>
      </c>
      <c r="D664">
        <v>2038</v>
      </c>
      <c r="E664">
        <v>79702309</v>
      </c>
    </row>
    <row r="665" spans="1:5" x14ac:dyDescent="0.25">
      <c r="A665">
        <v>0</v>
      </c>
      <c r="B665">
        <v>2</v>
      </c>
      <c r="C665">
        <v>0</v>
      </c>
      <c r="D665">
        <v>2039</v>
      </c>
      <c r="E665">
        <v>80681180</v>
      </c>
    </row>
    <row r="666" spans="1:5" x14ac:dyDescent="0.25">
      <c r="A666">
        <v>0</v>
      </c>
      <c r="B666">
        <v>2</v>
      </c>
      <c r="C666">
        <v>0</v>
      </c>
      <c r="D666">
        <v>2040</v>
      </c>
      <c r="E666">
        <v>81649755</v>
      </c>
    </row>
    <row r="667" spans="1:5" x14ac:dyDescent="0.25">
      <c r="A667">
        <v>0</v>
      </c>
      <c r="B667">
        <v>2</v>
      </c>
      <c r="C667">
        <v>0</v>
      </c>
      <c r="D667">
        <v>2041</v>
      </c>
      <c r="E667">
        <v>82605761</v>
      </c>
    </row>
    <row r="668" spans="1:5" x14ac:dyDescent="0.25">
      <c r="A668">
        <v>0</v>
      </c>
      <c r="B668">
        <v>2</v>
      </c>
      <c r="C668">
        <v>0</v>
      </c>
      <c r="D668">
        <v>2042</v>
      </c>
      <c r="E668">
        <v>83547938</v>
      </c>
    </row>
    <row r="669" spans="1:5" x14ac:dyDescent="0.25">
      <c r="A669">
        <v>0</v>
      </c>
      <c r="B669">
        <v>2</v>
      </c>
      <c r="C669">
        <v>0</v>
      </c>
      <c r="D669">
        <v>2043</v>
      </c>
      <c r="E669">
        <v>84475244</v>
      </c>
    </row>
    <row r="670" spans="1:5" x14ac:dyDescent="0.25">
      <c r="A670">
        <v>0</v>
      </c>
      <c r="B670">
        <v>2</v>
      </c>
      <c r="C670">
        <v>0</v>
      </c>
      <c r="D670">
        <v>2044</v>
      </c>
      <c r="E670">
        <v>85386998</v>
      </c>
    </row>
    <row r="671" spans="1:5" x14ac:dyDescent="0.25">
      <c r="A671">
        <v>0</v>
      </c>
      <c r="B671">
        <v>2</v>
      </c>
      <c r="C671">
        <v>0</v>
      </c>
      <c r="D671">
        <v>2045</v>
      </c>
      <c r="E671">
        <v>86282876</v>
      </c>
    </row>
    <row r="672" spans="1:5" x14ac:dyDescent="0.25">
      <c r="A672">
        <v>0</v>
      </c>
      <c r="B672">
        <v>2</v>
      </c>
      <c r="C672">
        <v>0</v>
      </c>
      <c r="D672">
        <v>2046</v>
      </c>
      <c r="E672">
        <v>87162777</v>
      </c>
    </row>
    <row r="673" spans="1:5" x14ac:dyDescent="0.25">
      <c r="A673">
        <v>0</v>
      </c>
      <c r="B673">
        <v>2</v>
      </c>
      <c r="C673">
        <v>0</v>
      </c>
      <c r="D673">
        <v>2047</v>
      </c>
      <c r="E673">
        <v>88026578</v>
      </c>
    </row>
    <row r="674" spans="1:5" x14ac:dyDescent="0.25">
      <c r="A674">
        <v>0</v>
      </c>
      <c r="B674">
        <v>2</v>
      </c>
      <c r="C674">
        <v>0</v>
      </c>
      <c r="D674">
        <v>2048</v>
      </c>
      <c r="E674">
        <v>88874546</v>
      </c>
    </row>
    <row r="675" spans="1:5" x14ac:dyDescent="0.25">
      <c r="A675">
        <v>0</v>
      </c>
      <c r="B675">
        <v>2</v>
      </c>
      <c r="C675">
        <v>0</v>
      </c>
      <c r="D675">
        <v>2049</v>
      </c>
      <c r="E675">
        <v>89706886</v>
      </c>
    </row>
    <row r="676" spans="1:5" x14ac:dyDescent="0.25">
      <c r="A676">
        <v>0</v>
      </c>
      <c r="B676">
        <v>2</v>
      </c>
      <c r="C676">
        <v>0</v>
      </c>
      <c r="D676">
        <v>2050</v>
      </c>
      <c r="E676">
        <v>90524088</v>
      </c>
    </row>
    <row r="677" spans="1:5" x14ac:dyDescent="0.25">
      <c r="A677">
        <v>0</v>
      </c>
      <c r="B677">
        <v>2</v>
      </c>
      <c r="C677">
        <v>1</v>
      </c>
      <c r="D677">
        <v>2024</v>
      </c>
      <c r="E677">
        <v>57086049</v>
      </c>
    </row>
    <row r="678" spans="1:5" x14ac:dyDescent="0.25">
      <c r="A678">
        <v>0</v>
      </c>
      <c r="B678">
        <v>2</v>
      </c>
      <c r="C678">
        <v>1</v>
      </c>
      <c r="D678">
        <v>2025</v>
      </c>
      <c r="E678">
        <v>57938284</v>
      </c>
    </row>
    <row r="679" spans="1:5" x14ac:dyDescent="0.25">
      <c r="A679">
        <v>0</v>
      </c>
      <c r="B679">
        <v>2</v>
      </c>
      <c r="C679">
        <v>1</v>
      </c>
      <c r="D679">
        <v>2026</v>
      </c>
      <c r="E679">
        <v>58792077</v>
      </c>
    </row>
    <row r="680" spans="1:5" x14ac:dyDescent="0.25">
      <c r="A680">
        <v>0</v>
      </c>
      <c r="B680">
        <v>2</v>
      </c>
      <c r="C680">
        <v>1</v>
      </c>
      <c r="D680">
        <v>2027</v>
      </c>
      <c r="E680">
        <v>59647930</v>
      </c>
    </row>
    <row r="681" spans="1:5" x14ac:dyDescent="0.25">
      <c r="A681">
        <v>0</v>
      </c>
      <c r="B681">
        <v>2</v>
      </c>
      <c r="C681">
        <v>1</v>
      </c>
      <c r="D681">
        <v>2028</v>
      </c>
      <c r="E681">
        <v>60505571</v>
      </c>
    </row>
    <row r="682" spans="1:5" x14ac:dyDescent="0.25">
      <c r="A682">
        <v>0</v>
      </c>
      <c r="B682">
        <v>2</v>
      </c>
      <c r="C682">
        <v>1</v>
      </c>
      <c r="D682">
        <v>2029</v>
      </c>
      <c r="E682">
        <v>61363887</v>
      </c>
    </row>
    <row r="683" spans="1:5" x14ac:dyDescent="0.25">
      <c r="A683">
        <v>0</v>
      </c>
      <c r="B683">
        <v>2</v>
      </c>
      <c r="C683">
        <v>1</v>
      </c>
      <c r="D683">
        <v>2030</v>
      </c>
      <c r="E683">
        <v>62222885</v>
      </c>
    </row>
    <row r="684" spans="1:5" x14ac:dyDescent="0.25">
      <c r="A684">
        <v>0</v>
      </c>
      <c r="B684">
        <v>2</v>
      </c>
      <c r="C684">
        <v>1</v>
      </c>
      <c r="D684">
        <v>2031</v>
      </c>
      <c r="E684">
        <v>63082115</v>
      </c>
    </row>
    <row r="685" spans="1:5" x14ac:dyDescent="0.25">
      <c r="A685">
        <v>0</v>
      </c>
      <c r="B685">
        <v>2</v>
      </c>
      <c r="C685">
        <v>1</v>
      </c>
      <c r="D685">
        <v>2032</v>
      </c>
      <c r="E685">
        <v>63940584</v>
      </c>
    </row>
    <row r="686" spans="1:5" x14ac:dyDescent="0.25">
      <c r="A686">
        <v>0</v>
      </c>
      <c r="B686">
        <v>2</v>
      </c>
      <c r="C686">
        <v>1</v>
      </c>
      <c r="D686">
        <v>2033</v>
      </c>
      <c r="E686">
        <v>64797180</v>
      </c>
    </row>
    <row r="687" spans="1:5" x14ac:dyDescent="0.25">
      <c r="A687">
        <v>0</v>
      </c>
      <c r="B687">
        <v>2</v>
      </c>
      <c r="C687">
        <v>1</v>
      </c>
      <c r="D687">
        <v>2034</v>
      </c>
      <c r="E687">
        <v>65650626</v>
      </c>
    </row>
    <row r="688" spans="1:5" x14ac:dyDescent="0.25">
      <c r="A688">
        <v>0</v>
      </c>
      <c r="B688">
        <v>2</v>
      </c>
      <c r="C688">
        <v>1</v>
      </c>
      <c r="D688">
        <v>2035</v>
      </c>
      <c r="E688">
        <v>66499697</v>
      </c>
    </row>
    <row r="689" spans="1:5" x14ac:dyDescent="0.25">
      <c r="A689">
        <v>0</v>
      </c>
      <c r="B689">
        <v>2</v>
      </c>
      <c r="C689">
        <v>1</v>
      </c>
      <c r="D689">
        <v>2036</v>
      </c>
      <c r="E689">
        <v>67343036</v>
      </c>
    </row>
    <row r="690" spans="1:5" x14ac:dyDescent="0.25">
      <c r="A690">
        <v>0</v>
      </c>
      <c r="B690">
        <v>2</v>
      </c>
      <c r="C690">
        <v>1</v>
      </c>
      <c r="D690">
        <v>2037</v>
      </c>
      <c r="E690">
        <v>68179185</v>
      </c>
    </row>
    <row r="691" spans="1:5" x14ac:dyDescent="0.25">
      <c r="A691">
        <v>0</v>
      </c>
      <c r="B691">
        <v>2</v>
      </c>
      <c r="C691">
        <v>1</v>
      </c>
      <c r="D691">
        <v>2038</v>
      </c>
      <c r="E691">
        <v>69006663</v>
      </c>
    </row>
    <row r="692" spans="1:5" x14ac:dyDescent="0.25">
      <c r="A692">
        <v>0</v>
      </c>
      <c r="B692">
        <v>2</v>
      </c>
      <c r="C692">
        <v>1</v>
      </c>
      <c r="D692">
        <v>2039</v>
      </c>
      <c r="E692">
        <v>69824091</v>
      </c>
    </row>
    <row r="693" spans="1:5" x14ac:dyDescent="0.25">
      <c r="A693">
        <v>0</v>
      </c>
      <c r="B693">
        <v>2</v>
      </c>
      <c r="C693">
        <v>1</v>
      </c>
      <c r="D693">
        <v>2040</v>
      </c>
      <c r="E693">
        <v>70630178</v>
      </c>
    </row>
    <row r="694" spans="1:5" x14ac:dyDescent="0.25">
      <c r="A694">
        <v>0</v>
      </c>
      <c r="B694">
        <v>2</v>
      </c>
      <c r="C694">
        <v>1</v>
      </c>
      <c r="D694">
        <v>2041</v>
      </c>
      <c r="E694">
        <v>71423005</v>
      </c>
    </row>
    <row r="695" spans="1:5" x14ac:dyDescent="0.25">
      <c r="A695">
        <v>0</v>
      </c>
      <c r="B695">
        <v>2</v>
      </c>
      <c r="C695">
        <v>1</v>
      </c>
      <c r="D695">
        <v>2042</v>
      </c>
      <c r="E695">
        <v>72201618</v>
      </c>
    </row>
    <row r="696" spans="1:5" x14ac:dyDescent="0.25">
      <c r="A696">
        <v>0</v>
      </c>
      <c r="B696">
        <v>2</v>
      </c>
      <c r="C696">
        <v>1</v>
      </c>
      <c r="D696">
        <v>2043</v>
      </c>
      <c r="E696">
        <v>72965281</v>
      </c>
    </row>
    <row r="697" spans="1:5" x14ac:dyDescent="0.25">
      <c r="A697">
        <v>0</v>
      </c>
      <c r="B697">
        <v>2</v>
      </c>
      <c r="C697">
        <v>1</v>
      </c>
      <c r="D697">
        <v>2044</v>
      </c>
      <c r="E697">
        <v>73713539</v>
      </c>
    </row>
    <row r="698" spans="1:5" x14ac:dyDescent="0.25">
      <c r="A698">
        <v>0</v>
      </c>
      <c r="B698">
        <v>2</v>
      </c>
      <c r="C698">
        <v>1</v>
      </c>
      <c r="D698">
        <v>2045</v>
      </c>
      <c r="E698">
        <v>74446249</v>
      </c>
    </row>
    <row r="699" spans="1:5" x14ac:dyDescent="0.25">
      <c r="A699">
        <v>0</v>
      </c>
      <c r="B699">
        <v>2</v>
      </c>
      <c r="C699">
        <v>1</v>
      </c>
      <c r="D699">
        <v>2046</v>
      </c>
      <c r="E699">
        <v>75163449</v>
      </c>
    </row>
    <row r="700" spans="1:5" x14ac:dyDescent="0.25">
      <c r="A700">
        <v>0</v>
      </c>
      <c r="B700">
        <v>2</v>
      </c>
      <c r="C700">
        <v>1</v>
      </c>
      <c r="D700">
        <v>2047</v>
      </c>
      <c r="E700">
        <v>75865254</v>
      </c>
    </row>
    <row r="701" spans="1:5" x14ac:dyDescent="0.25">
      <c r="A701">
        <v>0</v>
      </c>
      <c r="B701">
        <v>2</v>
      </c>
      <c r="C701">
        <v>1</v>
      </c>
      <c r="D701">
        <v>2048</v>
      </c>
      <c r="E701">
        <v>76551947</v>
      </c>
    </row>
    <row r="702" spans="1:5" x14ac:dyDescent="0.25">
      <c r="A702">
        <v>0</v>
      </c>
      <c r="B702">
        <v>2</v>
      </c>
      <c r="C702">
        <v>1</v>
      </c>
      <c r="D702">
        <v>2049</v>
      </c>
      <c r="E702">
        <v>77223960</v>
      </c>
    </row>
    <row r="703" spans="1:5" x14ac:dyDescent="0.25">
      <c r="A703">
        <v>0</v>
      </c>
      <c r="B703">
        <v>2</v>
      </c>
      <c r="C703">
        <v>1</v>
      </c>
      <c r="D703">
        <v>2050</v>
      </c>
      <c r="E703">
        <v>77881821</v>
      </c>
    </row>
    <row r="704" spans="1:5" x14ac:dyDescent="0.25">
      <c r="A704">
        <v>0</v>
      </c>
      <c r="B704">
        <v>2</v>
      </c>
      <c r="C704">
        <v>2</v>
      </c>
      <c r="D704">
        <v>2024</v>
      </c>
      <c r="E704">
        <v>3432847</v>
      </c>
    </row>
    <row r="705" spans="1:5" x14ac:dyDescent="0.25">
      <c r="A705">
        <v>0</v>
      </c>
      <c r="B705">
        <v>2</v>
      </c>
      <c r="C705">
        <v>2</v>
      </c>
      <c r="D705">
        <v>2025</v>
      </c>
      <c r="E705">
        <v>3484260</v>
      </c>
    </row>
    <row r="706" spans="1:5" x14ac:dyDescent="0.25">
      <c r="A706">
        <v>0</v>
      </c>
      <c r="B706">
        <v>2</v>
      </c>
      <c r="C706">
        <v>2</v>
      </c>
      <c r="D706">
        <v>2026</v>
      </c>
      <c r="E706">
        <v>3535683</v>
      </c>
    </row>
    <row r="707" spans="1:5" x14ac:dyDescent="0.25">
      <c r="A707">
        <v>0</v>
      </c>
      <c r="B707">
        <v>2</v>
      </c>
      <c r="C707">
        <v>2</v>
      </c>
      <c r="D707">
        <v>2027</v>
      </c>
      <c r="E707">
        <v>3587213</v>
      </c>
    </row>
    <row r="708" spans="1:5" x14ac:dyDescent="0.25">
      <c r="A708">
        <v>0</v>
      </c>
      <c r="B708">
        <v>2</v>
      </c>
      <c r="C708">
        <v>2</v>
      </c>
      <c r="D708">
        <v>2028</v>
      </c>
      <c r="E708">
        <v>3638790</v>
      </c>
    </row>
    <row r="709" spans="1:5" x14ac:dyDescent="0.25">
      <c r="A709">
        <v>0</v>
      </c>
      <c r="B709">
        <v>2</v>
      </c>
      <c r="C709">
        <v>2</v>
      </c>
      <c r="D709">
        <v>2029</v>
      </c>
      <c r="E709">
        <v>3690417</v>
      </c>
    </row>
    <row r="710" spans="1:5" x14ac:dyDescent="0.25">
      <c r="A710">
        <v>0</v>
      </c>
      <c r="B710">
        <v>2</v>
      </c>
      <c r="C710">
        <v>2</v>
      </c>
      <c r="D710">
        <v>2030</v>
      </c>
      <c r="E710">
        <v>3742181</v>
      </c>
    </row>
    <row r="711" spans="1:5" x14ac:dyDescent="0.25">
      <c r="A711">
        <v>0</v>
      </c>
      <c r="B711">
        <v>2</v>
      </c>
      <c r="C711">
        <v>2</v>
      </c>
      <c r="D711">
        <v>2031</v>
      </c>
      <c r="E711">
        <v>3794081</v>
      </c>
    </row>
    <row r="712" spans="1:5" x14ac:dyDescent="0.25">
      <c r="A712">
        <v>0</v>
      </c>
      <c r="B712">
        <v>2</v>
      </c>
      <c r="C712">
        <v>2</v>
      </c>
      <c r="D712">
        <v>2032</v>
      </c>
      <c r="E712">
        <v>3846213</v>
      </c>
    </row>
    <row r="713" spans="1:5" x14ac:dyDescent="0.25">
      <c r="A713">
        <v>0</v>
      </c>
      <c r="B713">
        <v>2</v>
      </c>
      <c r="C713">
        <v>2</v>
      </c>
      <c r="D713">
        <v>2033</v>
      </c>
      <c r="E713">
        <v>3898612</v>
      </c>
    </row>
    <row r="714" spans="1:5" x14ac:dyDescent="0.25">
      <c r="A714">
        <v>0</v>
      </c>
      <c r="B714">
        <v>2</v>
      </c>
      <c r="C714">
        <v>2</v>
      </c>
      <c r="D714">
        <v>2034</v>
      </c>
      <c r="E714">
        <v>3951344</v>
      </c>
    </row>
    <row r="715" spans="1:5" x14ac:dyDescent="0.25">
      <c r="A715">
        <v>0</v>
      </c>
      <c r="B715">
        <v>2</v>
      </c>
      <c r="C715">
        <v>2</v>
      </c>
      <c r="D715">
        <v>2035</v>
      </c>
      <c r="E715">
        <v>4004372</v>
      </c>
    </row>
    <row r="716" spans="1:5" x14ac:dyDescent="0.25">
      <c r="A716">
        <v>0</v>
      </c>
      <c r="B716">
        <v>2</v>
      </c>
      <c r="C716">
        <v>2</v>
      </c>
      <c r="D716">
        <v>2036</v>
      </c>
      <c r="E716">
        <v>4057686</v>
      </c>
    </row>
    <row r="717" spans="1:5" x14ac:dyDescent="0.25">
      <c r="A717">
        <v>0</v>
      </c>
      <c r="B717">
        <v>2</v>
      </c>
      <c r="C717">
        <v>2</v>
      </c>
      <c r="D717">
        <v>2037</v>
      </c>
      <c r="E717">
        <v>4111284</v>
      </c>
    </row>
    <row r="718" spans="1:5" x14ac:dyDescent="0.25">
      <c r="A718">
        <v>0</v>
      </c>
      <c r="B718">
        <v>2</v>
      </c>
      <c r="C718">
        <v>2</v>
      </c>
      <c r="D718">
        <v>2038</v>
      </c>
      <c r="E718">
        <v>4165190</v>
      </c>
    </row>
    <row r="719" spans="1:5" x14ac:dyDescent="0.25">
      <c r="A719">
        <v>0</v>
      </c>
      <c r="B719">
        <v>2</v>
      </c>
      <c r="C719">
        <v>2</v>
      </c>
      <c r="D719">
        <v>2039</v>
      </c>
      <c r="E719">
        <v>4219315</v>
      </c>
    </row>
    <row r="720" spans="1:5" x14ac:dyDescent="0.25">
      <c r="A720">
        <v>0</v>
      </c>
      <c r="B720">
        <v>2</v>
      </c>
      <c r="C720">
        <v>2</v>
      </c>
      <c r="D720">
        <v>2040</v>
      </c>
      <c r="E720">
        <v>4273666</v>
      </c>
    </row>
    <row r="721" spans="1:5" x14ac:dyDescent="0.25">
      <c r="A721">
        <v>0</v>
      </c>
      <c r="B721">
        <v>2</v>
      </c>
      <c r="C721">
        <v>2</v>
      </c>
      <c r="D721">
        <v>2041</v>
      </c>
      <c r="E721">
        <v>4328086</v>
      </c>
    </row>
    <row r="722" spans="1:5" x14ac:dyDescent="0.25">
      <c r="A722">
        <v>0</v>
      </c>
      <c r="B722">
        <v>2</v>
      </c>
      <c r="C722">
        <v>2</v>
      </c>
      <c r="D722">
        <v>2042</v>
      </c>
      <c r="E722">
        <v>4382434</v>
      </c>
    </row>
    <row r="723" spans="1:5" x14ac:dyDescent="0.25">
      <c r="A723">
        <v>0</v>
      </c>
      <c r="B723">
        <v>2</v>
      </c>
      <c r="C723">
        <v>2</v>
      </c>
      <c r="D723">
        <v>2043</v>
      </c>
      <c r="E723">
        <v>4436610</v>
      </c>
    </row>
    <row r="724" spans="1:5" x14ac:dyDescent="0.25">
      <c r="A724">
        <v>0</v>
      </c>
      <c r="B724">
        <v>2</v>
      </c>
      <c r="C724">
        <v>2</v>
      </c>
      <c r="D724">
        <v>2044</v>
      </c>
      <c r="E724">
        <v>4490473</v>
      </c>
    </row>
    <row r="725" spans="1:5" x14ac:dyDescent="0.25">
      <c r="A725">
        <v>0</v>
      </c>
      <c r="B725">
        <v>2</v>
      </c>
      <c r="C725">
        <v>2</v>
      </c>
      <c r="D725">
        <v>2045</v>
      </c>
      <c r="E725">
        <v>4543914</v>
      </c>
    </row>
    <row r="726" spans="1:5" x14ac:dyDescent="0.25">
      <c r="A726">
        <v>0</v>
      </c>
      <c r="B726">
        <v>2</v>
      </c>
      <c r="C726">
        <v>2</v>
      </c>
      <c r="D726">
        <v>2046</v>
      </c>
      <c r="E726">
        <v>4596919</v>
      </c>
    </row>
    <row r="727" spans="1:5" x14ac:dyDescent="0.25">
      <c r="A727">
        <v>0</v>
      </c>
      <c r="B727">
        <v>2</v>
      </c>
      <c r="C727">
        <v>2</v>
      </c>
      <c r="D727">
        <v>2047</v>
      </c>
      <c r="E727">
        <v>4649399</v>
      </c>
    </row>
    <row r="728" spans="1:5" x14ac:dyDescent="0.25">
      <c r="A728">
        <v>0</v>
      </c>
      <c r="B728">
        <v>2</v>
      </c>
      <c r="C728">
        <v>2</v>
      </c>
      <c r="D728">
        <v>2048</v>
      </c>
      <c r="E728">
        <v>4701286</v>
      </c>
    </row>
    <row r="729" spans="1:5" x14ac:dyDescent="0.25">
      <c r="A729">
        <v>0</v>
      </c>
      <c r="B729">
        <v>2</v>
      </c>
      <c r="C729">
        <v>2</v>
      </c>
      <c r="D729">
        <v>2049</v>
      </c>
      <c r="E729">
        <v>4752506</v>
      </c>
    </row>
    <row r="730" spans="1:5" x14ac:dyDescent="0.25">
      <c r="A730">
        <v>0</v>
      </c>
      <c r="B730">
        <v>2</v>
      </c>
      <c r="C730">
        <v>2</v>
      </c>
      <c r="D730">
        <v>2050</v>
      </c>
      <c r="E730">
        <v>4803075</v>
      </c>
    </row>
    <row r="731" spans="1:5" x14ac:dyDescent="0.25">
      <c r="A731">
        <v>0</v>
      </c>
      <c r="B731">
        <v>2</v>
      </c>
      <c r="C731">
        <v>3</v>
      </c>
      <c r="D731">
        <v>2024</v>
      </c>
      <c r="E731">
        <v>2006679</v>
      </c>
    </row>
    <row r="732" spans="1:5" x14ac:dyDescent="0.25">
      <c r="A732">
        <v>0</v>
      </c>
      <c r="B732">
        <v>2</v>
      </c>
      <c r="C732">
        <v>3</v>
      </c>
      <c r="D732">
        <v>2025</v>
      </c>
      <c r="E732">
        <v>2029238</v>
      </c>
    </row>
    <row r="733" spans="1:5" x14ac:dyDescent="0.25">
      <c r="A733">
        <v>0</v>
      </c>
      <c r="B733">
        <v>2</v>
      </c>
      <c r="C733">
        <v>3</v>
      </c>
      <c r="D733">
        <v>2026</v>
      </c>
      <c r="E733">
        <v>2051690</v>
      </c>
    </row>
    <row r="734" spans="1:5" x14ac:dyDescent="0.25">
      <c r="A734">
        <v>0</v>
      </c>
      <c r="B734">
        <v>2</v>
      </c>
      <c r="C734">
        <v>3</v>
      </c>
      <c r="D734">
        <v>2027</v>
      </c>
      <c r="E734">
        <v>2074064</v>
      </c>
    </row>
    <row r="735" spans="1:5" x14ac:dyDescent="0.25">
      <c r="A735">
        <v>0</v>
      </c>
      <c r="B735">
        <v>2</v>
      </c>
      <c r="C735">
        <v>3</v>
      </c>
      <c r="D735">
        <v>2028</v>
      </c>
      <c r="E735">
        <v>2096332</v>
      </c>
    </row>
    <row r="736" spans="1:5" x14ac:dyDescent="0.25">
      <c r="A736">
        <v>0</v>
      </c>
      <c r="B736">
        <v>2</v>
      </c>
      <c r="C736">
        <v>3</v>
      </c>
      <c r="D736">
        <v>2029</v>
      </c>
      <c r="E736">
        <v>2118470</v>
      </c>
    </row>
    <row r="737" spans="1:5" x14ac:dyDescent="0.25">
      <c r="A737">
        <v>0</v>
      </c>
      <c r="B737">
        <v>2</v>
      </c>
      <c r="C737">
        <v>3</v>
      </c>
      <c r="D737">
        <v>2030</v>
      </c>
      <c r="E737">
        <v>2140515</v>
      </c>
    </row>
    <row r="738" spans="1:5" x14ac:dyDescent="0.25">
      <c r="A738">
        <v>0</v>
      </c>
      <c r="B738">
        <v>2</v>
      </c>
      <c r="C738">
        <v>3</v>
      </c>
      <c r="D738">
        <v>2031</v>
      </c>
      <c r="E738">
        <v>2162530</v>
      </c>
    </row>
    <row r="739" spans="1:5" x14ac:dyDescent="0.25">
      <c r="A739">
        <v>0</v>
      </c>
      <c r="B739">
        <v>2</v>
      </c>
      <c r="C739">
        <v>3</v>
      </c>
      <c r="D739">
        <v>2032</v>
      </c>
      <c r="E739">
        <v>2184528</v>
      </c>
    </row>
    <row r="740" spans="1:5" x14ac:dyDescent="0.25">
      <c r="A740">
        <v>0</v>
      </c>
      <c r="B740">
        <v>2</v>
      </c>
      <c r="C740">
        <v>3</v>
      </c>
      <c r="D740">
        <v>2033</v>
      </c>
      <c r="E740">
        <v>2206540</v>
      </c>
    </row>
    <row r="741" spans="1:5" x14ac:dyDescent="0.25">
      <c r="A741">
        <v>0</v>
      </c>
      <c r="B741">
        <v>2</v>
      </c>
      <c r="C741">
        <v>3</v>
      </c>
      <c r="D741">
        <v>2034</v>
      </c>
      <c r="E741">
        <v>2228599</v>
      </c>
    </row>
    <row r="742" spans="1:5" x14ac:dyDescent="0.25">
      <c r="A742">
        <v>0</v>
      </c>
      <c r="B742">
        <v>2</v>
      </c>
      <c r="C742">
        <v>3</v>
      </c>
      <c r="D742">
        <v>2035</v>
      </c>
      <c r="E742">
        <v>2250692</v>
      </c>
    </row>
    <row r="743" spans="1:5" x14ac:dyDescent="0.25">
      <c r="A743">
        <v>0</v>
      </c>
      <c r="B743">
        <v>2</v>
      </c>
      <c r="C743">
        <v>3</v>
      </c>
      <c r="D743">
        <v>2036</v>
      </c>
      <c r="E743">
        <v>2272830</v>
      </c>
    </row>
    <row r="744" spans="1:5" x14ac:dyDescent="0.25">
      <c r="A744">
        <v>0</v>
      </c>
      <c r="B744">
        <v>2</v>
      </c>
      <c r="C744">
        <v>3</v>
      </c>
      <c r="D744">
        <v>2037</v>
      </c>
      <c r="E744">
        <v>2295026</v>
      </c>
    </row>
    <row r="745" spans="1:5" x14ac:dyDescent="0.25">
      <c r="A745">
        <v>0</v>
      </c>
      <c r="B745">
        <v>2</v>
      </c>
      <c r="C745">
        <v>3</v>
      </c>
      <c r="D745">
        <v>2038</v>
      </c>
      <c r="E745">
        <v>2317309</v>
      </c>
    </row>
    <row r="746" spans="1:5" x14ac:dyDescent="0.25">
      <c r="A746">
        <v>0</v>
      </c>
      <c r="B746">
        <v>2</v>
      </c>
      <c r="C746">
        <v>3</v>
      </c>
      <c r="D746">
        <v>2039</v>
      </c>
      <c r="E746">
        <v>2339622</v>
      </c>
    </row>
    <row r="747" spans="1:5" x14ac:dyDescent="0.25">
      <c r="A747">
        <v>0</v>
      </c>
      <c r="B747">
        <v>2</v>
      </c>
      <c r="C747">
        <v>3</v>
      </c>
      <c r="D747">
        <v>2040</v>
      </c>
      <c r="E747">
        <v>2361947</v>
      </c>
    </row>
    <row r="748" spans="1:5" x14ac:dyDescent="0.25">
      <c r="A748">
        <v>0</v>
      </c>
      <c r="B748">
        <v>2</v>
      </c>
      <c r="C748">
        <v>3</v>
      </c>
      <c r="D748">
        <v>2041</v>
      </c>
      <c r="E748">
        <v>2384182</v>
      </c>
    </row>
    <row r="749" spans="1:5" x14ac:dyDescent="0.25">
      <c r="A749">
        <v>0</v>
      </c>
      <c r="B749">
        <v>2</v>
      </c>
      <c r="C749">
        <v>3</v>
      </c>
      <c r="D749">
        <v>2042</v>
      </c>
      <c r="E749">
        <v>2406273</v>
      </c>
    </row>
    <row r="750" spans="1:5" x14ac:dyDescent="0.25">
      <c r="A750">
        <v>0</v>
      </c>
      <c r="B750">
        <v>2</v>
      </c>
      <c r="C750">
        <v>3</v>
      </c>
      <c r="D750">
        <v>2043</v>
      </c>
      <c r="E750">
        <v>2428078</v>
      </c>
    </row>
    <row r="751" spans="1:5" x14ac:dyDescent="0.25">
      <c r="A751">
        <v>0</v>
      </c>
      <c r="B751">
        <v>2</v>
      </c>
      <c r="C751">
        <v>3</v>
      </c>
      <c r="D751">
        <v>2044</v>
      </c>
      <c r="E751">
        <v>2449547</v>
      </c>
    </row>
    <row r="752" spans="1:5" x14ac:dyDescent="0.25">
      <c r="A752">
        <v>0</v>
      </c>
      <c r="B752">
        <v>2</v>
      </c>
      <c r="C752">
        <v>3</v>
      </c>
      <c r="D752">
        <v>2045</v>
      </c>
      <c r="E752">
        <v>2470634</v>
      </c>
    </row>
    <row r="753" spans="1:5" x14ac:dyDescent="0.25">
      <c r="A753">
        <v>0</v>
      </c>
      <c r="B753">
        <v>2</v>
      </c>
      <c r="C753">
        <v>3</v>
      </c>
      <c r="D753">
        <v>2046</v>
      </c>
      <c r="E753">
        <v>2491277</v>
      </c>
    </row>
    <row r="754" spans="1:5" x14ac:dyDescent="0.25">
      <c r="A754">
        <v>0</v>
      </c>
      <c r="B754">
        <v>2</v>
      </c>
      <c r="C754">
        <v>3</v>
      </c>
      <c r="D754">
        <v>2047</v>
      </c>
      <c r="E754">
        <v>2511446</v>
      </c>
    </row>
    <row r="755" spans="1:5" x14ac:dyDescent="0.25">
      <c r="A755">
        <v>0</v>
      </c>
      <c r="B755">
        <v>2</v>
      </c>
      <c r="C755">
        <v>3</v>
      </c>
      <c r="D755">
        <v>2048</v>
      </c>
      <c r="E755">
        <v>2531091</v>
      </c>
    </row>
    <row r="756" spans="1:5" x14ac:dyDescent="0.25">
      <c r="A756">
        <v>0</v>
      </c>
      <c r="B756">
        <v>2</v>
      </c>
      <c r="C756">
        <v>3</v>
      </c>
      <c r="D756">
        <v>2049</v>
      </c>
      <c r="E756">
        <v>2550172</v>
      </c>
    </row>
    <row r="757" spans="1:5" x14ac:dyDescent="0.25">
      <c r="A757">
        <v>0</v>
      </c>
      <c r="B757">
        <v>2</v>
      </c>
      <c r="C757">
        <v>3</v>
      </c>
      <c r="D757">
        <v>2050</v>
      </c>
      <c r="E757">
        <v>2568629</v>
      </c>
    </row>
    <row r="758" spans="1:5" x14ac:dyDescent="0.25">
      <c r="A758">
        <v>0</v>
      </c>
      <c r="B758">
        <v>2</v>
      </c>
      <c r="C758">
        <v>4</v>
      </c>
      <c r="D758">
        <v>2024</v>
      </c>
      <c r="E758">
        <v>696089</v>
      </c>
    </row>
    <row r="759" spans="1:5" x14ac:dyDescent="0.25">
      <c r="A759">
        <v>0</v>
      </c>
      <c r="B759">
        <v>2</v>
      </c>
      <c r="C759">
        <v>4</v>
      </c>
      <c r="D759">
        <v>2025</v>
      </c>
      <c r="E759">
        <v>705215</v>
      </c>
    </row>
    <row r="760" spans="1:5" x14ac:dyDescent="0.25">
      <c r="A760">
        <v>0</v>
      </c>
      <c r="B760">
        <v>2</v>
      </c>
      <c r="C760">
        <v>4</v>
      </c>
      <c r="D760">
        <v>2026</v>
      </c>
      <c r="E760">
        <v>714372</v>
      </c>
    </row>
    <row r="761" spans="1:5" x14ac:dyDescent="0.25">
      <c r="A761">
        <v>0</v>
      </c>
      <c r="B761">
        <v>2</v>
      </c>
      <c r="C761">
        <v>4</v>
      </c>
      <c r="D761">
        <v>2027</v>
      </c>
      <c r="E761">
        <v>723541</v>
      </c>
    </row>
    <row r="762" spans="1:5" x14ac:dyDescent="0.25">
      <c r="A762">
        <v>0</v>
      </c>
      <c r="B762">
        <v>2</v>
      </c>
      <c r="C762">
        <v>4</v>
      </c>
      <c r="D762">
        <v>2028</v>
      </c>
      <c r="E762">
        <v>732734</v>
      </c>
    </row>
    <row r="763" spans="1:5" x14ac:dyDescent="0.25">
      <c r="A763">
        <v>0</v>
      </c>
      <c r="B763">
        <v>2</v>
      </c>
      <c r="C763">
        <v>4</v>
      </c>
      <c r="D763">
        <v>2029</v>
      </c>
      <c r="E763">
        <v>741975</v>
      </c>
    </row>
    <row r="764" spans="1:5" x14ac:dyDescent="0.25">
      <c r="A764">
        <v>0</v>
      </c>
      <c r="B764">
        <v>2</v>
      </c>
      <c r="C764">
        <v>4</v>
      </c>
      <c r="D764">
        <v>2030</v>
      </c>
      <c r="E764">
        <v>751236</v>
      </c>
    </row>
    <row r="765" spans="1:5" x14ac:dyDescent="0.25">
      <c r="A765">
        <v>0</v>
      </c>
      <c r="B765">
        <v>2</v>
      </c>
      <c r="C765">
        <v>4</v>
      </c>
      <c r="D765">
        <v>2031</v>
      </c>
      <c r="E765">
        <v>760528</v>
      </c>
    </row>
    <row r="766" spans="1:5" x14ac:dyDescent="0.25">
      <c r="A766">
        <v>0</v>
      </c>
      <c r="B766">
        <v>2</v>
      </c>
      <c r="C766">
        <v>4</v>
      </c>
      <c r="D766">
        <v>2032</v>
      </c>
      <c r="E766">
        <v>769883</v>
      </c>
    </row>
    <row r="767" spans="1:5" x14ac:dyDescent="0.25">
      <c r="A767">
        <v>0</v>
      </c>
      <c r="B767">
        <v>2</v>
      </c>
      <c r="C767">
        <v>4</v>
      </c>
      <c r="D767">
        <v>2033</v>
      </c>
      <c r="E767">
        <v>779332</v>
      </c>
    </row>
    <row r="768" spans="1:5" x14ac:dyDescent="0.25">
      <c r="A768">
        <v>0</v>
      </c>
      <c r="B768">
        <v>2</v>
      </c>
      <c r="C768">
        <v>4</v>
      </c>
      <c r="D768">
        <v>2034</v>
      </c>
      <c r="E768">
        <v>788861</v>
      </c>
    </row>
    <row r="769" spans="1:5" x14ac:dyDescent="0.25">
      <c r="A769">
        <v>0</v>
      </c>
      <c r="B769">
        <v>2</v>
      </c>
      <c r="C769">
        <v>4</v>
      </c>
      <c r="D769">
        <v>2035</v>
      </c>
      <c r="E769">
        <v>798481</v>
      </c>
    </row>
    <row r="770" spans="1:5" x14ac:dyDescent="0.25">
      <c r="A770">
        <v>0</v>
      </c>
      <c r="B770">
        <v>2</v>
      </c>
      <c r="C770">
        <v>4</v>
      </c>
      <c r="D770">
        <v>2036</v>
      </c>
      <c r="E770">
        <v>808199</v>
      </c>
    </row>
    <row r="771" spans="1:5" x14ac:dyDescent="0.25">
      <c r="A771">
        <v>0</v>
      </c>
      <c r="B771">
        <v>2</v>
      </c>
      <c r="C771">
        <v>4</v>
      </c>
      <c r="D771">
        <v>2037</v>
      </c>
      <c r="E771">
        <v>818032</v>
      </c>
    </row>
    <row r="772" spans="1:5" x14ac:dyDescent="0.25">
      <c r="A772">
        <v>0</v>
      </c>
      <c r="B772">
        <v>2</v>
      </c>
      <c r="C772">
        <v>4</v>
      </c>
      <c r="D772">
        <v>2038</v>
      </c>
      <c r="E772">
        <v>827962</v>
      </c>
    </row>
    <row r="773" spans="1:5" x14ac:dyDescent="0.25">
      <c r="A773">
        <v>0</v>
      </c>
      <c r="B773">
        <v>2</v>
      </c>
      <c r="C773">
        <v>4</v>
      </c>
      <c r="D773">
        <v>2039</v>
      </c>
      <c r="E773">
        <v>838017</v>
      </c>
    </row>
    <row r="774" spans="1:5" x14ac:dyDescent="0.25">
      <c r="A774">
        <v>0</v>
      </c>
      <c r="B774">
        <v>2</v>
      </c>
      <c r="C774">
        <v>4</v>
      </c>
      <c r="D774">
        <v>2040</v>
      </c>
      <c r="E774">
        <v>848185</v>
      </c>
    </row>
    <row r="775" spans="1:5" x14ac:dyDescent="0.25">
      <c r="A775">
        <v>0</v>
      </c>
      <c r="B775">
        <v>2</v>
      </c>
      <c r="C775">
        <v>4</v>
      </c>
      <c r="D775">
        <v>2041</v>
      </c>
      <c r="E775">
        <v>858457</v>
      </c>
    </row>
    <row r="776" spans="1:5" x14ac:dyDescent="0.25">
      <c r="A776">
        <v>0</v>
      </c>
      <c r="B776">
        <v>2</v>
      </c>
      <c r="C776">
        <v>4</v>
      </c>
      <c r="D776">
        <v>2042</v>
      </c>
      <c r="E776">
        <v>868856</v>
      </c>
    </row>
    <row r="777" spans="1:5" x14ac:dyDescent="0.25">
      <c r="A777">
        <v>0</v>
      </c>
      <c r="B777">
        <v>2</v>
      </c>
      <c r="C777">
        <v>4</v>
      </c>
      <c r="D777">
        <v>2043</v>
      </c>
      <c r="E777">
        <v>879331</v>
      </c>
    </row>
    <row r="778" spans="1:5" x14ac:dyDescent="0.25">
      <c r="A778">
        <v>0</v>
      </c>
      <c r="B778">
        <v>2</v>
      </c>
      <c r="C778">
        <v>4</v>
      </c>
      <c r="D778">
        <v>2044</v>
      </c>
      <c r="E778">
        <v>889878</v>
      </c>
    </row>
    <row r="779" spans="1:5" x14ac:dyDescent="0.25">
      <c r="A779">
        <v>0</v>
      </c>
      <c r="B779">
        <v>2</v>
      </c>
      <c r="C779">
        <v>4</v>
      </c>
      <c r="D779">
        <v>2045</v>
      </c>
      <c r="E779">
        <v>900491</v>
      </c>
    </row>
    <row r="780" spans="1:5" x14ac:dyDescent="0.25">
      <c r="A780">
        <v>0</v>
      </c>
      <c r="B780">
        <v>2</v>
      </c>
      <c r="C780">
        <v>4</v>
      </c>
      <c r="D780">
        <v>2046</v>
      </c>
      <c r="E780">
        <v>911188</v>
      </c>
    </row>
    <row r="781" spans="1:5" x14ac:dyDescent="0.25">
      <c r="A781">
        <v>0</v>
      </c>
      <c r="B781">
        <v>2</v>
      </c>
      <c r="C781">
        <v>4</v>
      </c>
      <c r="D781">
        <v>2047</v>
      </c>
      <c r="E781">
        <v>921899</v>
      </c>
    </row>
    <row r="782" spans="1:5" x14ac:dyDescent="0.25">
      <c r="A782">
        <v>0</v>
      </c>
      <c r="B782">
        <v>2</v>
      </c>
      <c r="C782">
        <v>4</v>
      </c>
      <c r="D782">
        <v>2048</v>
      </c>
      <c r="E782">
        <v>932634</v>
      </c>
    </row>
    <row r="783" spans="1:5" x14ac:dyDescent="0.25">
      <c r="A783">
        <v>0</v>
      </c>
      <c r="B783">
        <v>2</v>
      </c>
      <c r="C783">
        <v>4</v>
      </c>
      <c r="D783">
        <v>2049</v>
      </c>
      <c r="E783">
        <v>943339</v>
      </c>
    </row>
    <row r="784" spans="1:5" x14ac:dyDescent="0.25">
      <c r="A784">
        <v>0</v>
      </c>
      <c r="B784">
        <v>2</v>
      </c>
      <c r="C784">
        <v>4</v>
      </c>
      <c r="D784">
        <v>2050</v>
      </c>
      <c r="E784">
        <v>954000</v>
      </c>
    </row>
    <row r="785" spans="1:5" x14ac:dyDescent="0.25">
      <c r="A785">
        <v>0</v>
      </c>
      <c r="B785">
        <v>2</v>
      </c>
      <c r="C785">
        <v>5</v>
      </c>
      <c r="D785">
        <v>2024</v>
      </c>
      <c r="E785">
        <v>247619</v>
      </c>
    </row>
    <row r="786" spans="1:5" x14ac:dyDescent="0.25">
      <c r="A786">
        <v>0</v>
      </c>
      <c r="B786">
        <v>2</v>
      </c>
      <c r="C786">
        <v>5</v>
      </c>
      <c r="D786">
        <v>2025</v>
      </c>
      <c r="E786">
        <v>249962</v>
      </c>
    </row>
    <row r="787" spans="1:5" x14ac:dyDescent="0.25">
      <c r="A787">
        <v>0</v>
      </c>
      <c r="B787">
        <v>2</v>
      </c>
      <c r="C787">
        <v>5</v>
      </c>
      <c r="D787">
        <v>2026</v>
      </c>
      <c r="E787">
        <v>252292</v>
      </c>
    </row>
    <row r="788" spans="1:5" x14ac:dyDescent="0.25">
      <c r="A788">
        <v>0</v>
      </c>
      <c r="B788">
        <v>2</v>
      </c>
      <c r="C788">
        <v>5</v>
      </c>
      <c r="D788">
        <v>2027</v>
      </c>
      <c r="E788">
        <v>254604</v>
      </c>
    </row>
    <row r="789" spans="1:5" x14ac:dyDescent="0.25">
      <c r="A789">
        <v>0</v>
      </c>
      <c r="B789">
        <v>2</v>
      </c>
      <c r="C789">
        <v>5</v>
      </c>
      <c r="D789">
        <v>2028</v>
      </c>
      <c r="E789">
        <v>256907</v>
      </c>
    </row>
    <row r="790" spans="1:5" x14ac:dyDescent="0.25">
      <c r="A790">
        <v>0</v>
      </c>
      <c r="B790">
        <v>2</v>
      </c>
      <c r="C790">
        <v>5</v>
      </c>
      <c r="D790">
        <v>2029</v>
      </c>
      <c r="E790">
        <v>259197</v>
      </c>
    </row>
    <row r="791" spans="1:5" x14ac:dyDescent="0.25">
      <c r="A791">
        <v>0</v>
      </c>
      <c r="B791">
        <v>2</v>
      </c>
      <c r="C791">
        <v>5</v>
      </c>
      <c r="D791">
        <v>2030</v>
      </c>
      <c r="E791">
        <v>261492</v>
      </c>
    </row>
    <row r="792" spans="1:5" x14ac:dyDescent="0.25">
      <c r="A792">
        <v>0</v>
      </c>
      <c r="B792">
        <v>2</v>
      </c>
      <c r="C792">
        <v>5</v>
      </c>
      <c r="D792">
        <v>2031</v>
      </c>
      <c r="E792">
        <v>263795</v>
      </c>
    </row>
    <row r="793" spans="1:5" x14ac:dyDescent="0.25">
      <c r="A793">
        <v>0</v>
      </c>
      <c r="B793">
        <v>2</v>
      </c>
      <c r="C793">
        <v>5</v>
      </c>
      <c r="D793">
        <v>2032</v>
      </c>
      <c r="E793">
        <v>266092</v>
      </c>
    </row>
    <row r="794" spans="1:5" x14ac:dyDescent="0.25">
      <c r="A794">
        <v>0</v>
      </c>
      <c r="B794">
        <v>2</v>
      </c>
      <c r="C794">
        <v>5</v>
      </c>
      <c r="D794">
        <v>2033</v>
      </c>
      <c r="E794">
        <v>268389</v>
      </c>
    </row>
    <row r="795" spans="1:5" x14ac:dyDescent="0.25">
      <c r="A795">
        <v>0</v>
      </c>
      <c r="B795">
        <v>2</v>
      </c>
      <c r="C795">
        <v>5</v>
      </c>
      <c r="D795">
        <v>2034</v>
      </c>
      <c r="E795">
        <v>270713</v>
      </c>
    </row>
    <row r="796" spans="1:5" x14ac:dyDescent="0.25">
      <c r="A796">
        <v>0</v>
      </c>
      <c r="B796">
        <v>2</v>
      </c>
      <c r="C796">
        <v>5</v>
      </c>
      <c r="D796">
        <v>2035</v>
      </c>
      <c r="E796">
        <v>273046</v>
      </c>
    </row>
    <row r="797" spans="1:5" x14ac:dyDescent="0.25">
      <c r="A797">
        <v>0</v>
      </c>
      <c r="B797">
        <v>2</v>
      </c>
      <c r="C797">
        <v>5</v>
      </c>
      <c r="D797">
        <v>2036</v>
      </c>
      <c r="E797">
        <v>275398</v>
      </c>
    </row>
    <row r="798" spans="1:5" x14ac:dyDescent="0.25">
      <c r="A798">
        <v>0</v>
      </c>
      <c r="B798">
        <v>2</v>
      </c>
      <c r="C798">
        <v>5</v>
      </c>
      <c r="D798">
        <v>2037</v>
      </c>
      <c r="E798">
        <v>277770</v>
      </c>
    </row>
    <row r="799" spans="1:5" x14ac:dyDescent="0.25">
      <c r="A799">
        <v>0</v>
      </c>
      <c r="B799">
        <v>2</v>
      </c>
      <c r="C799">
        <v>5</v>
      </c>
      <c r="D799">
        <v>2038</v>
      </c>
      <c r="E799">
        <v>280153</v>
      </c>
    </row>
    <row r="800" spans="1:5" x14ac:dyDescent="0.25">
      <c r="A800">
        <v>0</v>
      </c>
      <c r="B800">
        <v>2</v>
      </c>
      <c r="C800">
        <v>5</v>
      </c>
      <c r="D800">
        <v>2039</v>
      </c>
      <c r="E800">
        <v>282585</v>
      </c>
    </row>
    <row r="801" spans="1:5" x14ac:dyDescent="0.25">
      <c r="A801">
        <v>0</v>
      </c>
      <c r="B801">
        <v>2</v>
      </c>
      <c r="C801">
        <v>5</v>
      </c>
      <c r="D801">
        <v>2040</v>
      </c>
      <c r="E801">
        <v>285045</v>
      </c>
    </row>
    <row r="802" spans="1:5" x14ac:dyDescent="0.25">
      <c r="A802">
        <v>0</v>
      </c>
      <c r="B802">
        <v>2</v>
      </c>
      <c r="C802">
        <v>5</v>
      </c>
      <c r="D802">
        <v>2041</v>
      </c>
      <c r="E802">
        <v>287532</v>
      </c>
    </row>
    <row r="803" spans="1:5" x14ac:dyDescent="0.25">
      <c r="A803">
        <v>0</v>
      </c>
      <c r="B803">
        <v>2</v>
      </c>
      <c r="C803">
        <v>5</v>
      </c>
      <c r="D803">
        <v>2042</v>
      </c>
      <c r="E803">
        <v>290027</v>
      </c>
    </row>
    <row r="804" spans="1:5" x14ac:dyDescent="0.25">
      <c r="A804">
        <v>0</v>
      </c>
      <c r="B804">
        <v>2</v>
      </c>
      <c r="C804">
        <v>5</v>
      </c>
      <c r="D804">
        <v>2043</v>
      </c>
      <c r="E804">
        <v>292541</v>
      </c>
    </row>
    <row r="805" spans="1:5" x14ac:dyDescent="0.25">
      <c r="A805">
        <v>0</v>
      </c>
      <c r="B805">
        <v>2</v>
      </c>
      <c r="C805">
        <v>5</v>
      </c>
      <c r="D805">
        <v>2044</v>
      </c>
      <c r="E805">
        <v>295063</v>
      </c>
    </row>
    <row r="806" spans="1:5" x14ac:dyDescent="0.25">
      <c r="A806">
        <v>0</v>
      </c>
      <c r="B806">
        <v>2</v>
      </c>
      <c r="C806">
        <v>5</v>
      </c>
      <c r="D806">
        <v>2045</v>
      </c>
      <c r="E806">
        <v>297588</v>
      </c>
    </row>
    <row r="807" spans="1:5" x14ac:dyDescent="0.25">
      <c r="A807">
        <v>0</v>
      </c>
      <c r="B807">
        <v>2</v>
      </c>
      <c r="C807">
        <v>5</v>
      </c>
      <c r="D807">
        <v>2046</v>
      </c>
      <c r="E807">
        <v>300103</v>
      </c>
    </row>
    <row r="808" spans="1:5" x14ac:dyDescent="0.25">
      <c r="A808">
        <v>0</v>
      </c>
      <c r="B808">
        <v>2</v>
      </c>
      <c r="C808">
        <v>5</v>
      </c>
      <c r="D808">
        <v>2047</v>
      </c>
      <c r="E808">
        <v>302600</v>
      </c>
    </row>
    <row r="809" spans="1:5" x14ac:dyDescent="0.25">
      <c r="A809">
        <v>0</v>
      </c>
      <c r="B809">
        <v>2</v>
      </c>
      <c r="C809">
        <v>5</v>
      </c>
      <c r="D809">
        <v>2048</v>
      </c>
      <c r="E809">
        <v>305084</v>
      </c>
    </row>
    <row r="810" spans="1:5" x14ac:dyDescent="0.25">
      <c r="A810">
        <v>0</v>
      </c>
      <c r="B810">
        <v>2</v>
      </c>
      <c r="C810">
        <v>5</v>
      </c>
      <c r="D810">
        <v>2049</v>
      </c>
      <c r="E810">
        <v>307526</v>
      </c>
    </row>
    <row r="811" spans="1:5" x14ac:dyDescent="0.25">
      <c r="A811">
        <v>0</v>
      </c>
      <c r="B811">
        <v>2</v>
      </c>
      <c r="C811">
        <v>5</v>
      </c>
      <c r="D811">
        <v>2050</v>
      </c>
      <c r="E811">
        <v>309923</v>
      </c>
    </row>
    <row r="812" spans="1:5" x14ac:dyDescent="0.25">
      <c r="A812">
        <v>0</v>
      </c>
      <c r="B812">
        <v>2</v>
      </c>
      <c r="C812">
        <v>6</v>
      </c>
      <c r="D812">
        <v>2024</v>
      </c>
      <c r="E812">
        <v>2191740</v>
      </c>
    </row>
    <row r="813" spans="1:5" x14ac:dyDescent="0.25">
      <c r="A813">
        <v>0</v>
      </c>
      <c r="B813">
        <v>2</v>
      </c>
      <c r="C813">
        <v>6</v>
      </c>
      <c r="D813">
        <v>2025</v>
      </c>
      <c r="E813">
        <v>2250415</v>
      </c>
    </row>
    <row r="814" spans="1:5" x14ac:dyDescent="0.25">
      <c r="A814">
        <v>0</v>
      </c>
      <c r="B814">
        <v>2</v>
      </c>
      <c r="C814">
        <v>6</v>
      </c>
      <c r="D814">
        <v>2026</v>
      </c>
      <c r="E814">
        <v>2310081</v>
      </c>
    </row>
    <row r="815" spans="1:5" x14ac:dyDescent="0.25">
      <c r="A815">
        <v>0</v>
      </c>
      <c r="B815">
        <v>2</v>
      </c>
      <c r="C815">
        <v>6</v>
      </c>
      <c r="D815">
        <v>2027</v>
      </c>
      <c r="E815">
        <v>2370697</v>
      </c>
    </row>
    <row r="816" spans="1:5" x14ac:dyDescent="0.25">
      <c r="A816">
        <v>0</v>
      </c>
      <c r="B816">
        <v>2</v>
      </c>
      <c r="C816">
        <v>6</v>
      </c>
      <c r="D816">
        <v>2028</v>
      </c>
      <c r="E816">
        <v>2432318</v>
      </c>
    </row>
    <row r="817" spans="1:5" x14ac:dyDescent="0.25">
      <c r="A817">
        <v>0</v>
      </c>
      <c r="B817">
        <v>2</v>
      </c>
      <c r="C817">
        <v>6</v>
      </c>
      <c r="D817">
        <v>2029</v>
      </c>
      <c r="E817">
        <v>2494903</v>
      </c>
    </row>
    <row r="818" spans="1:5" x14ac:dyDescent="0.25">
      <c r="A818">
        <v>0</v>
      </c>
      <c r="B818">
        <v>2</v>
      </c>
      <c r="C818">
        <v>6</v>
      </c>
      <c r="D818">
        <v>2030</v>
      </c>
      <c r="E818">
        <v>2558485</v>
      </c>
    </row>
    <row r="819" spans="1:5" x14ac:dyDescent="0.25">
      <c r="A819">
        <v>0</v>
      </c>
      <c r="B819">
        <v>2</v>
      </c>
      <c r="C819">
        <v>6</v>
      </c>
      <c r="D819">
        <v>2031</v>
      </c>
      <c r="E819">
        <v>2623137</v>
      </c>
    </row>
    <row r="820" spans="1:5" x14ac:dyDescent="0.25">
      <c r="A820">
        <v>0</v>
      </c>
      <c r="B820">
        <v>2</v>
      </c>
      <c r="C820">
        <v>6</v>
      </c>
      <c r="D820">
        <v>2032</v>
      </c>
      <c r="E820">
        <v>2688884</v>
      </c>
    </row>
    <row r="821" spans="1:5" x14ac:dyDescent="0.25">
      <c r="A821">
        <v>0</v>
      </c>
      <c r="B821">
        <v>2</v>
      </c>
      <c r="C821">
        <v>6</v>
      </c>
      <c r="D821">
        <v>2033</v>
      </c>
      <c r="E821">
        <v>2755730</v>
      </c>
    </row>
    <row r="822" spans="1:5" x14ac:dyDescent="0.25">
      <c r="A822">
        <v>0</v>
      </c>
      <c r="B822">
        <v>2</v>
      </c>
      <c r="C822">
        <v>6</v>
      </c>
      <c r="D822">
        <v>2034</v>
      </c>
      <c r="E822">
        <v>2823632</v>
      </c>
    </row>
    <row r="823" spans="1:5" x14ac:dyDescent="0.25">
      <c r="A823">
        <v>0</v>
      </c>
      <c r="B823">
        <v>2</v>
      </c>
      <c r="C823">
        <v>6</v>
      </c>
      <c r="D823">
        <v>2035</v>
      </c>
      <c r="E823">
        <v>2892576</v>
      </c>
    </row>
    <row r="824" spans="1:5" x14ac:dyDescent="0.25">
      <c r="A824">
        <v>0</v>
      </c>
      <c r="B824">
        <v>2</v>
      </c>
      <c r="C824">
        <v>6</v>
      </c>
      <c r="D824">
        <v>2036</v>
      </c>
      <c r="E824">
        <v>2962484</v>
      </c>
    </row>
    <row r="825" spans="1:5" x14ac:dyDescent="0.25">
      <c r="A825">
        <v>0</v>
      </c>
      <c r="B825">
        <v>2</v>
      </c>
      <c r="C825">
        <v>6</v>
      </c>
      <c r="D825">
        <v>2037</v>
      </c>
      <c r="E825">
        <v>3033334</v>
      </c>
    </row>
    <row r="826" spans="1:5" x14ac:dyDescent="0.25">
      <c r="A826">
        <v>0</v>
      </c>
      <c r="B826">
        <v>2</v>
      </c>
      <c r="C826">
        <v>6</v>
      </c>
      <c r="D826">
        <v>2038</v>
      </c>
      <c r="E826">
        <v>3105032</v>
      </c>
    </row>
    <row r="827" spans="1:5" x14ac:dyDescent="0.25">
      <c r="A827">
        <v>0</v>
      </c>
      <c r="B827">
        <v>2</v>
      </c>
      <c r="C827">
        <v>6</v>
      </c>
      <c r="D827">
        <v>2039</v>
      </c>
      <c r="E827">
        <v>3177550</v>
      </c>
    </row>
    <row r="828" spans="1:5" x14ac:dyDescent="0.25">
      <c r="A828">
        <v>0</v>
      </c>
      <c r="B828">
        <v>2</v>
      </c>
      <c r="C828">
        <v>6</v>
      </c>
      <c r="D828">
        <v>2040</v>
      </c>
      <c r="E828">
        <v>3250734</v>
      </c>
    </row>
    <row r="829" spans="1:5" x14ac:dyDescent="0.25">
      <c r="A829">
        <v>0</v>
      </c>
      <c r="B829">
        <v>2</v>
      </c>
      <c r="C829">
        <v>6</v>
      </c>
      <c r="D829">
        <v>2041</v>
      </c>
      <c r="E829">
        <v>3324499</v>
      </c>
    </row>
    <row r="830" spans="1:5" x14ac:dyDescent="0.25">
      <c r="A830">
        <v>0</v>
      </c>
      <c r="B830">
        <v>2</v>
      </c>
      <c r="C830">
        <v>6</v>
      </c>
      <c r="D830">
        <v>2042</v>
      </c>
      <c r="E830">
        <v>3398730</v>
      </c>
    </row>
    <row r="831" spans="1:5" x14ac:dyDescent="0.25">
      <c r="A831">
        <v>0</v>
      </c>
      <c r="B831">
        <v>2</v>
      </c>
      <c r="C831">
        <v>6</v>
      </c>
      <c r="D831">
        <v>2043</v>
      </c>
      <c r="E831">
        <v>3473403</v>
      </c>
    </row>
    <row r="832" spans="1:5" x14ac:dyDescent="0.25">
      <c r="A832">
        <v>0</v>
      </c>
      <c r="B832">
        <v>2</v>
      </c>
      <c r="C832">
        <v>6</v>
      </c>
      <c r="D832">
        <v>2044</v>
      </c>
      <c r="E832">
        <v>3548498</v>
      </c>
    </row>
    <row r="833" spans="1:5" x14ac:dyDescent="0.25">
      <c r="A833">
        <v>0</v>
      </c>
      <c r="B833">
        <v>2</v>
      </c>
      <c r="C833">
        <v>6</v>
      </c>
      <c r="D833">
        <v>2045</v>
      </c>
      <c r="E833">
        <v>3624000</v>
      </c>
    </row>
    <row r="834" spans="1:5" x14ac:dyDescent="0.25">
      <c r="A834">
        <v>0</v>
      </c>
      <c r="B834">
        <v>2</v>
      </c>
      <c r="C834">
        <v>6</v>
      </c>
      <c r="D834">
        <v>2046</v>
      </c>
      <c r="E834">
        <v>3699841</v>
      </c>
    </row>
    <row r="835" spans="1:5" x14ac:dyDescent="0.25">
      <c r="A835">
        <v>0</v>
      </c>
      <c r="B835">
        <v>2</v>
      </c>
      <c r="C835">
        <v>6</v>
      </c>
      <c r="D835">
        <v>2047</v>
      </c>
      <c r="E835">
        <v>3775980</v>
      </c>
    </row>
    <row r="836" spans="1:5" x14ac:dyDescent="0.25">
      <c r="A836">
        <v>0</v>
      </c>
      <c r="B836">
        <v>2</v>
      </c>
      <c r="C836">
        <v>6</v>
      </c>
      <c r="D836">
        <v>2048</v>
      </c>
      <c r="E836">
        <v>3852504</v>
      </c>
    </row>
    <row r="837" spans="1:5" x14ac:dyDescent="0.25">
      <c r="A837">
        <v>0</v>
      </c>
      <c r="B837">
        <v>2</v>
      </c>
      <c r="C837">
        <v>6</v>
      </c>
      <c r="D837">
        <v>2049</v>
      </c>
      <c r="E837">
        <v>3929383</v>
      </c>
    </row>
    <row r="838" spans="1:5" x14ac:dyDescent="0.25">
      <c r="A838">
        <v>0</v>
      </c>
      <c r="B838">
        <v>2</v>
      </c>
      <c r="C838">
        <v>6</v>
      </c>
      <c r="D838">
        <v>2050</v>
      </c>
      <c r="E838">
        <v>4006640</v>
      </c>
    </row>
    <row r="839" spans="1:5" x14ac:dyDescent="0.25">
      <c r="A839">
        <v>0</v>
      </c>
      <c r="B839">
        <v>2</v>
      </c>
      <c r="C839">
        <v>7</v>
      </c>
      <c r="D839">
        <v>2024</v>
      </c>
      <c r="E839">
        <v>59039912</v>
      </c>
    </row>
    <row r="840" spans="1:5" x14ac:dyDescent="0.25">
      <c r="A840">
        <v>0</v>
      </c>
      <c r="B840">
        <v>2</v>
      </c>
      <c r="C840">
        <v>7</v>
      </c>
      <c r="D840">
        <v>2025</v>
      </c>
      <c r="E840">
        <v>59946570</v>
      </c>
    </row>
    <row r="841" spans="1:5" x14ac:dyDescent="0.25">
      <c r="A841">
        <v>0</v>
      </c>
      <c r="B841">
        <v>2</v>
      </c>
      <c r="C841">
        <v>7</v>
      </c>
      <c r="D841">
        <v>2026</v>
      </c>
      <c r="E841">
        <v>60855783</v>
      </c>
    </row>
    <row r="842" spans="1:5" x14ac:dyDescent="0.25">
      <c r="A842">
        <v>0</v>
      </c>
      <c r="B842">
        <v>2</v>
      </c>
      <c r="C842">
        <v>7</v>
      </c>
      <c r="D842">
        <v>2027</v>
      </c>
      <c r="E842">
        <v>61768034</v>
      </c>
    </row>
    <row r="843" spans="1:5" x14ac:dyDescent="0.25">
      <c r="A843">
        <v>0</v>
      </c>
      <c r="B843">
        <v>2</v>
      </c>
      <c r="C843">
        <v>7</v>
      </c>
      <c r="D843">
        <v>2028</v>
      </c>
      <c r="E843">
        <v>62683086</v>
      </c>
    </row>
    <row r="844" spans="1:5" x14ac:dyDescent="0.25">
      <c r="A844">
        <v>0</v>
      </c>
      <c r="B844">
        <v>2</v>
      </c>
      <c r="C844">
        <v>7</v>
      </c>
      <c r="D844">
        <v>2029</v>
      </c>
      <c r="E844">
        <v>63599764</v>
      </c>
    </row>
    <row r="845" spans="1:5" x14ac:dyDescent="0.25">
      <c r="A845">
        <v>0</v>
      </c>
      <c r="B845">
        <v>2</v>
      </c>
      <c r="C845">
        <v>7</v>
      </c>
      <c r="D845">
        <v>2030</v>
      </c>
      <c r="E845">
        <v>64518130</v>
      </c>
    </row>
    <row r="846" spans="1:5" x14ac:dyDescent="0.25">
      <c r="A846">
        <v>0</v>
      </c>
      <c r="B846">
        <v>2</v>
      </c>
      <c r="C846">
        <v>7</v>
      </c>
      <c r="D846">
        <v>2031</v>
      </c>
      <c r="E846">
        <v>65437765</v>
      </c>
    </row>
    <row r="847" spans="1:5" x14ac:dyDescent="0.25">
      <c r="A847">
        <v>0</v>
      </c>
      <c r="B847">
        <v>2</v>
      </c>
      <c r="C847">
        <v>7</v>
      </c>
      <c r="D847">
        <v>2032</v>
      </c>
      <c r="E847">
        <v>66357662</v>
      </c>
    </row>
    <row r="848" spans="1:5" x14ac:dyDescent="0.25">
      <c r="A848">
        <v>0</v>
      </c>
      <c r="B848">
        <v>2</v>
      </c>
      <c r="C848">
        <v>7</v>
      </c>
      <c r="D848">
        <v>2033</v>
      </c>
      <c r="E848">
        <v>67276732</v>
      </c>
    </row>
    <row r="849" spans="1:5" x14ac:dyDescent="0.25">
      <c r="A849">
        <v>0</v>
      </c>
      <c r="B849">
        <v>2</v>
      </c>
      <c r="C849">
        <v>7</v>
      </c>
      <c r="D849">
        <v>2034</v>
      </c>
      <c r="E849">
        <v>68193652</v>
      </c>
    </row>
    <row r="850" spans="1:5" x14ac:dyDescent="0.25">
      <c r="A850">
        <v>0</v>
      </c>
      <c r="B850">
        <v>2</v>
      </c>
      <c r="C850">
        <v>7</v>
      </c>
      <c r="D850">
        <v>2035</v>
      </c>
      <c r="E850">
        <v>69107162</v>
      </c>
    </row>
    <row r="851" spans="1:5" x14ac:dyDescent="0.25">
      <c r="A851">
        <v>0</v>
      </c>
      <c r="B851">
        <v>2</v>
      </c>
      <c r="C851">
        <v>7</v>
      </c>
      <c r="D851">
        <v>2036</v>
      </c>
      <c r="E851">
        <v>70015841</v>
      </c>
    </row>
    <row r="852" spans="1:5" x14ac:dyDescent="0.25">
      <c r="A852">
        <v>0</v>
      </c>
      <c r="B852">
        <v>2</v>
      </c>
      <c r="C852">
        <v>7</v>
      </c>
      <c r="D852">
        <v>2037</v>
      </c>
      <c r="E852">
        <v>70918239</v>
      </c>
    </row>
    <row r="853" spans="1:5" x14ac:dyDescent="0.25">
      <c r="A853">
        <v>0</v>
      </c>
      <c r="B853">
        <v>2</v>
      </c>
      <c r="C853">
        <v>7</v>
      </c>
      <c r="D853">
        <v>2038</v>
      </c>
      <c r="E853">
        <v>71812760</v>
      </c>
    </row>
    <row r="854" spans="1:5" x14ac:dyDescent="0.25">
      <c r="A854">
        <v>0</v>
      </c>
      <c r="B854">
        <v>2</v>
      </c>
      <c r="C854">
        <v>7</v>
      </c>
      <c r="D854">
        <v>2039</v>
      </c>
      <c r="E854">
        <v>72698041</v>
      </c>
    </row>
    <row r="855" spans="1:5" x14ac:dyDescent="0.25">
      <c r="A855">
        <v>0</v>
      </c>
      <c r="B855">
        <v>2</v>
      </c>
      <c r="C855">
        <v>7</v>
      </c>
      <c r="D855">
        <v>2040</v>
      </c>
      <c r="E855">
        <v>73572625</v>
      </c>
    </row>
    <row r="856" spans="1:5" x14ac:dyDescent="0.25">
      <c r="A856">
        <v>0</v>
      </c>
      <c r="B856">
        <v>2</v>
      </c>
      <c r="C856">
        <v>7</v>
      </c>
      <c r="D856">
        <v>2041</v>
      </c>
      <c r="E856">
        <v>74434530</v>
      </c>
    </row>
    <row r="857" spans="1:5" x14ac:dyDescent="0.25">
      <c r="A857">
        <v>0</v>
      </c>
      <c r="B857">
        <v>2</v>
      </c>
      <c r="C857">
        <v>7</v>
      </c>
      <c r="D857">
        <v>2042</v>
      </c>
      <c r="E857">
        <v>75282692</v>
      </c>
    </row>
    <row r="858" spans="1:5" x14ac:dyDescent="0.25">
      <c r="A858">
        <v>0</v>
      </c>
      <c r="B858">
        <v>2</v>
      </c>
      <c r="C858">
        <v>7</v>
      </c>
      <c r="D858">
        <v>2043</v>
      </c>
      <c r="E858">
        <v>76116372</v>
      </c>
    </row>
    <row r="859" spans="1:5" x14ac:dyDescent="0.25">
      <c r="A859">
        <v>0</v>
      </c>
      <c r="B859">
        <v>2</v>
      </c>
      <c r="C859">
        <v>7</v>
      </c>
      <c r="D859">
        <v>2044</v>
      </c>
      <c r="E859">
        <v>76935085</v>
      </c>
    </row>
    <row r="860" spans="1:5" x14ac:dyDescent="0.25">
      <c r="A860">
        <v>0</v>
      </c>
      <c r="B860">
        <v>2</v>
      </c>
      <c r="C860">
        <v>7</v>
      </c>
      <c r="D860">
        <v>2045</v>
      </c>
      <c r="E860">
        <v>77738650</v>
      </c>
    </row>
    <row r="861" spans="1:5" x14ac:dyDescent="0.25">
      <c r="A861">
        <v>0</v>
      </c>
      <c r="B861">
        <v>2</v>
      </c>
      <c r="C861">
        <v>7</v>
      </c>
      <c r="D861">
        <v>2046</v>
      </c>
      <c r="E861">
        <v>78527077</v>
      </c>
    </row>
    <row r="862" spans="1:5" x14ac:dyDescent="0.25">
      <c r="A862">
        <v>0</v>
      </c>
      <c r="B862">
        <v>2</v>
      </c>
      <c r="C862">
        <v>7</v>
      </c>
      <c r="D862">
        <v>2047</v>
      </c>
      <c r="E862">
        <v>79300456</v>
      </c>
    </row>
    <row r="863" spans="1:5" x14ac:dyDescent="0.25">
      <c r="A863">
        <v>0</v>
      </c>
      <c r="B863">
        <v>2</v>
      </c>
      <c r="C863">
        <v>7</v>
      </c>
      <c r="D863">
        <v>2048</v>
      </c>
      <c r="E863">
        <v>80059123</v>
      </c>
    </row>
    <row r="864" spans="1:5" x14ac:dyDescent="0.25">
      <c r="A864">
        <v>0</v>
      </c>
      <c r="B864">
        <v>2</v>
      </c>
      <c r="C864">
        <v>7</v>
      </c>
      <c r="D864">
        <v>2049</v>
      </c>
      <c r="E864">
        <v>80803489</v>
      </c>
    </row>
    <row r="865" spans="1:5" x14ac:dyDescent="0.25">
      <c r="A865">
        <v>0</v>
      </c>
      <c r="B865">
        <v>2</v>
      </c>
      <c r="C865">
        <v>7</v>
      </c>
      <c r="D865">
        <v>2050</v>
      </c>
      <c r="E865">
        <v>81534097</v>
      </c>
    </row>
    <row r="866" spans="1:5" x14ac:dyDescent="0.25">
      <c r="A866">
        <v>0</v>
      </c>
      <c r="B866">
        <v>2</v>
      </c>
      <c r="C866">
        <v>8</v>
      </c>
      <c r="D866">
        <v>2024</v>
      </c>
      <c r="E866">
        <v>4495751</v>
      </c>
    </row>
    <row r="867" spans="1:5" x14ac:dyDescent="0.25">
      <c r="A867">
        <v>0</v>
      </c>
      <c r="B867">
        <v>2</v>
      </c>
      <c r="C867">
        <v>8</v>
      </c>
      <c r="D867">
        <v>2025</v>
      </c>
      <c r="E867">
        <v>4580174</v>
      </c>
    </row>
    <row r="868" spans="1:5" x14ac:dyDescent="0.25">
      <c r="A868">
        <v>0</v>
      </c>
      <c r="B868">
        <v>2</v>
      </c>
      <c r="C868">
        <v>8</v>
      </c>
      <c r="D868">
        <v>2026</v>
      </c>
      <c r="E868">
        <v>4665278</v>
      </c>
    </row>
    <row r="869" spans="1:5" x14ac:dyDescent="0.25">
      <c r="A869">
        <v>0</v>
      </c>
      <c r="B869">
        <v>2</v>
      </c>
      <c r="C869">
        <v>8</v>
      </c>
      <c r="D869">
        <v>2027</v>
      </c>
      <c r="E869">
        <v>4751162</v>
      </c>
    </row>
    <row r="870" spans="1:5" x14ac:dyDescent="0.25">
      <c r="A870">
        <v>0</v>
      </c>
      <c r="B870">
        <v>2</v>
      </c>
      <c r="C870">
        <v>8</v>
      </c>
      <c r="D870">
        <v>2028</v>
      </c>
      <c r="E870">
        <v>4837768</v>
      </c>
    </row>
    <row r="871" spans="1:5" x14ac:dyDescent="0.25">
      <c r="A871">
        <v>0</v>
      </c>
      <c r="B871">
        <v>2</v>
      </c>
      <c r="C871">
        <v>8</v>
      </c>
      <c r="D871">
        <v>2029</v>
      </c>
      <c r="E871">
        <v>4925104</v>
      </c>
    </row>
    <row r="872" spans="1:5" x14ac:dyDescent="0.25">
      <c r="A872">
        <v>0</v>
      </c>
      <c r="B872">
        <v>2</v>
      </c>
      <c r="C872">
        <v>8</v>
      </c>
      <c r="D872">
        <v>2030</v>
      </c>
      <c r="E872">
        <v>5013257</v>
      </c>
    </row>
    <row r="873" spans="1:5" x14ac:dyDescent="0.25">
      <c r="A873">
        <v>0</v>
      </c>
      <c r="B873">
        <v>2</v>
      </c>
      <c r="C873">
        <v>8</v>
      </c>
      <c r="D873">
        <v>2031</v>
      </c>
      <c r="E873">
        <v>5102286</v>
      </c>
    </row>
    <row r="874" spans="1:5" x14ac:dyDescent="0.25">
      <c r="A874">
        <v>0</v>
      </c>
      <c r="B874">
        <v>2</v>
      </c>
      <c r="C874">
        <v>8</v>
      </c>
      <c r="D874">
        <v>2032</v>
      </c>
      <c r="E874">
        <v>5192274</v>
      </c>
    </row>
    <row r="875" spans="1:5" x14ac:dyDescent="0.25">
      <c r="A875">
        <v>0</v>
      </c>
      <c r="B875">
        <v>2</v>
      </c>
      <c r="C875">
        <v>8</v>
      </c>
      <c r="D875">
        <v>2033</v>
      </c>
      <c r="E875">
        <v>5283287</v>
      </c>
    </row>
    <row r="876" spans="1:5" x14ac:dyDescent="0.25">
      <c r="A876">
        <v>0</v>
      </c>
      <c r="B876">
        <v>2</v>
      </c>
      <c r="C876">
        <v>8</v>
      </c>
      <c r="D876">
        <v>2034</v>
      </c>
      <c r="E876">
        <v>5375358</v>
      </c>
    </row>
    <row r="877" spans="1:5" x14ac:dyDescent="0.25">
      <c r="A877">
        <v>0</v>
      </c>
      <c r="B877">
        <v>2</v>
      </c>
      <c r="C877">
        <v>8</v>
      </c>
      <c r="D877">
        <v>2035</v>
      </c>
      <c r="E877">
        <v>5468433</v>
      </c>
    </row>
    <row r="878" spans="1:5" x14ac:dyDescent="0.25">
      <c r="A878">
        <v>0</v>
      </c>
      <c r="B878">
        <v>2</v>
      </c>
      <c r="C878">
        <v>8</v>
      </c>
      <c r="D878">
        <v>2036</v>
      </c>
      <c r="E878">
        <v>5562486</v>
      </c>
    </row>
    <row r="879" spans="1:5" x14ac:dyDescent="0.25">
      <c r="A879">
        <v>0</v>
      </c>
      <c r="B879">
        <v>2</v>
      </c>
      <c r="C879">
        <v>8</v>
      </c>
      <c r="D879">
        <v>2037</v>
      </c>
      <c r="E879">
        <v>5657464</v>
      </c>
    </row>
    <row r="880" spans="1:5" x14ac:dyDescent="0.25">
      <c r="A880">
        <v>0</v>
      </c>
      <c r="B880">
        <v>2</v>
      </c>
      <c r="C880">
        <v>8</v>
      </c>
      <c r="D880">
        <v>2038</v>
      </c>
      <c r="E880">
        <v>5753327</v>
      </c>
    </row>
    <row r="881" spans="1:5" x14ac:dyDescent="0.25">
      <c r="A881">
        <v>0</v>
      </c>
      <c r="B881">
        <v>2</v>
      </c>
      <c r="C881">
        <v>8</v>
      </c>
      <c r="D881">
        <v>2039</v>
      </c>
      <c r="E881">
        <v>5849999</v>
      </c>
    </row>
    <row r="882" spans="1:5" x14ac:dyDescent="0.25">
      <c r="A882">
        <v>0</v>
      </c>
      <c r="B882">
        <v>2</v>
      </c>
      <c r="C882">
        <v>8</v>
      </c>
      <c r="D882">
        <v>2040</v>
      </c>
      <c r="E882">
        <v>5947409</v>
      </c>
    </row>
    <row r="883" spans="1:5" x14ac:dyDescent="0.25">
      <c r="A883">
        <v>0</v>
      </c>
      <c r="B883">
        <v>2</v>
      </c>
      <c r="C883">
        <v>8</v>
      </c>
      <c r="D883">
        <v>2041</v>
      </c>
      <c r="E883">
        <v>6045309</v>
      </c>
    </row>
    <row r="884" spans="1:5" x14ac:dyDescent="0.25">
      <c r="A884">
        <v>0</v>
      </c>
      <c r="B884">
        <v>2</v>
      </c>
      <c r="C884">
        <v>8</v>
      </c>
      <c r="D884">
        <v>2042</v>
      </c>
      <c r="E884">
        <v>6143517</v>
      </c>
    </row>
    <row r="885" spans="1:5" x14ac:dyDescent="0.25">
      <c r="A885">
        <v>0</v>
      </c>
      <c r="B885">
        <v>2</v>
      </c>
      <c r="C885">
        <v>8</v>
      </c>
      <c r="D885">
        <v>2043</v>
      </c>
      <c r="E885">
        <v>6241908</v>
      </c>
    </row>
    <row r="886" spans="1:5" x14ac:dyDescent="0.25">
      <c r="A886">
        <v>0</v>
      </c>
      <c r="B886">
        <v>2</v>
      </c>
      <c r="C886">
        <v>8</v>
      </c>
      <c r="D886">
        <v>2044</v>
      </c>
      <c r="E886">
        <v>6340364</v>
      </c>
    </row>
    <row r="887" spans="1:5" x14ac:dyDescent="0.25">
      <c r="A887">
        <v>0</v>
      </c>
      <c r="B887">
        <v>2</v>
      </c>
      <c r="C887">
        <v>8</v>
      </c>
      <c r="D887">
        <v>2045</v>
      </c>
      <c r="E887">
        <v>6438736</v>
      </c>
    </row>
    <row r="888" spans="1:5" x14ac:dyDescent="0.25">
      <c r="A888">
        <v>0</v>
      </c>
      <c r="B888">
        <v>2</v>
      </c>
      <c r="C888">
        <v>8</v>
      </c>
      <c r="D888">
        <v>2046</v>
      </c>
      <c r="E888">
        <v>6537056</v>
      </c>
    </row>
    <row r="889" spans="1:5" x14ac:dyDescent="0.25">
      <c r="A889">
        <v>0</v>
      </c>
      <c r="B889">
        <v>2</v>
      </c>
      <c r="C889">
        <v>8</v>
      </c>
      <c r="D889">
        <v>2047</v>
      </c>
      <c r="E889">
        <v>6635157</v>
      </c>
    </row>
    <row r="890" spans="1:5" x14ac:dyDescent="0.25">
      <c r="A890">
        <v>0</v>
      </c>
      <c r="B890">
        <v>2</v>
      </c>
      <c r="C890">
        <v>8</v>
      </c>
      <c r="D890">
        <v>2048</v>
      </c>
      <c r="E890">
        <v>6733039</v>
      </c>
    </row>
    <row r="891" spans="1:5" x14ac:dyDescent="0.25">
      <c r="A891">
        <v>0</v>
      </c>
      <c r="B891">
        <v>2</v>
      </c>
      <c r="C891">
        <v>8</v>
      </c>
      <c r="D891">
        <v>2049</v>
      </c>
      <c r="E891">
        <v>6830614</v>
      </c>
    </row>
    <row r="892" spans="1:5" x14ac:dyDescent="0.25">
      <c r="A892">
        <v>0</v>
      </c>
      <c r="B892">
        <v>2</v>
      </c>
      <c r="C892">
        <v>8</v>
      </c>
      <c r="D892">
        <v>2050</v>
      </c>
      <c r="E892">
        <v>6927940</v>
      </c>
    </row>
    <row r="893" spans="1:5" x14ac:dyDescent="0.25">
      <c r="A893">
        <v>0</v>
      </c>
      <c r="B893">
        <v>2</v>
      </c>
      <c r="C893">
        <v>9</v>
      </c>
      <c r="D893">
        <v>2024</v>
      </c>
      <c r="E893">
        <v>2887799</v>
      </c>
    </row>
    <row r="894" spans="1:5" x14ac:dyDescent="0.25">
      <c r="A894">
        <v>0</v>
      </c>
      <c r="B894">
        <v>2</v>
      </c>
      <c r="C894">
        <v>9</v>
      </c>
      <c r="D894">
        <v>2025</v>
      </c>
      <c r="E894">
        <v>2927598</v>
      </c>
    </row>
    <row r="895" spans="1:5" x14ac:dyDescent="0.25">
      <c r="A895">
        <v>0</v>
      </c>
      <c r="B895">
        <v>2</v>
      </c>
      <c r="C895">
        <v>9</v>
      </c>
      <c r="D895">
        <v>2026</v>
      </c>
      <c r="E895">
        <v>2967392</v>
      </c>
    </row>
    <row r="896" spans="1:5" x14ac:dyDescent="0.25">
      <c r="A896">
        <v>0</v>
      </c>
      <c r="B896">
        <v>2</v>
      </c>
      <c r="C896">
        <v>9</v>
      </c>
      <c r="D896">
        <v>2027</v>
      </c>
      <c r="E896">
        <v>3007190</v>
      </c>
    </row>
    <row r="897" spans="1:5" x14ac:dyDescent="0.25">
      <c r="A897">
        <v>0</v>
      </c>
      <c r="B897">
        <v>2</v>
      </c>
      <c r="C897">
        <v>9</v>
      </c>
      <c r="D897">
        <v>2028</v>
      </c>
      <c r="E897">
        <v>3046947</v>
      </c>
    </row>
    <row r="898" spans="1:5" x14ac:dyDescent="0.25">
      <c r="A898">
        <v>0</v>
      </c>
      <c r="B898">
        <v>2</v>
      </c>
      <c r="C898">
        <v>9</v>
      </c>
      <c r="D898">
        <v>2029</v>
      </c>
      <c r="E898">
        <v>3086629</v>
      </c>
    </row>
    <row r="899" spans="1:5" x14ac:dyDescent="0.25">
      <c r="A899">
        <v>0</v>
      </c>
      <c r="B899">
        <v>2</v>
      </c>
      <c r="C899">
        <v>9</v>
      </c>
      <c r="D899">
        <v>2030</v>
      </c>
      <c r="E899">
        <v>3126272</v>
      </c>
    </row>
    <row r="900" spans="1:5" x14ac:dyDescent="0.25">
      <c r="A900">
        <v>0</v>
      </c>
      <c r="B900">
        <v>2</v>
      </c>
      <c r="C900">
        <v>9</v>
      </c>
      <c r="D900">
        <v>2031</v>
      </c>
      <c r="E900">
        <v>3165983</v>
      </c>
    </row>
    <row r="901" spans="1:5" x14ac:dyDescent="0.25">
      <c r="A901">
        <v>0</v>
      </c>
      <c r="B901">
        <v>2</v>
      </c>
      <c r="C901">
        <v>9</v>
      </c>
      <c r="D901">
        <v>2032</v>
      </c>
      <c r="E901">
        <v>3205756</v>
      </c>
    </row>
    <row r="902" spans="1:5" x14ac:dyDescent="0.25">
      <c r="A902">
        <v>0</v>
      </c>
      <c r="B902">
        <v>2</v>
      </c>
      <c r="C902">
        <v>9</v>
      </c>
      <c r="D902">
        <v>2033</v>
      </c>
      <c r="E902">
        <v>3245622</v>
      </c>
    </row>
    <row r="903" spans="1:5" x14ac:dyDescent="0.25">
      <c r="A903">
        <v>0</v>
      </c>
      <c r="B903">
        <v>2</v>
      </c>
      <c r="C903">
        <v>9</v>
      </c>
      <c r="D903">
        <v>2034</v>
      </c>
      <c r="E903">
        <v>3285598</v>
      </c>
    </row>
    <row r="904" spans="1:5" x14ac:dyDescent="0.25">
      <c r="A904">
        <v>0</v>
      </c>
      <c r="B904">
        <v>2</v>
      </c>
      <c r="C904">
        <v>9</v>
      </c>
      <c r="D904">
        <v>2035</v>
      </c>
      <c r="E904">
        <v>3325688</v>
      </c>
    </row>
    <row r="905" spans="1:5" x14ac:dyDescent="0.25">
      <c r="A905">
        <v>0</v>
      </c>
      <c r="B905">
        <v>2</v>
      </c>
      <c r="C905">
        <v>9</v>
      </c>
      <c r="D905">
        <v>2036</v>
      </c>
      <c r="E905">
        <v>3365862</v>
      </c>
    </row>
    <row r="906" spans="1:5" x14ac:dyDescent="0.25">
      <c r="A906">
        <v>0</v>
      </c>
      <c r="B906">
        <v>2</v>
      </c>
      <c r="C906">
        <v>9</v>
      </c>
      <c r="D906">
        <v>2037</v>
      </c>
      <c r="E906">
        <v>3406113</v>
      </c>
    </row>
    <row r="907" spans="1:5" x14ac:dyDescent="0.25">
      <c r="A907">
        <v>0</v>
      </c>
      <c r="B907">
        <v>2</v>
      </c>
      <c r="C907">
        <v>9</v>
      </c>
      <c r="D907">
        <v>2038</v>
      </c>
      <c r="E907">
        <v>3446411</v>
      </c>
    </row>
    <row r="908" spans="1:5" x14ac:dyDescent="0.25">
      <c r="A908">
        <v>0</v>
      </c>
      <c r="B908">
        <v>2</v>
      </c>
      <c r="C908">
        <v>9</v>
      </c>
      <c r="D908">
        <v>2039</v>
      </c>
      <c r="E908">
        <v>3486682</v>
      </c>
    </row>
    <row r="909" spans="1:5" x14ac:dyDescent="0.25">
      <c r="A909">
        <v>0</v>
      </c>
      <c r="B909">
        <v>2</v>
      </c>
      <c r="C909">
        <v>9</v>
      </c>
      <c r="D909">
        <v>2040</v>
      </c>
      <c r="E909">
        <v>3526867</v>
      </c>
    </row>
    <row r="910" spans="1:5" x14ac:dyDescent="0.25">
      <c r="A910">
        <v>0</v>
      </c>
      <c r="B910">
        <v>2</v>
      </c>
      <c r="C910">
        <v>9</v>
      </c>
      <c r="D910">
        <v>2041</v>
      </c>
      <c r="E910">
        <v>3566855</v>
      </c>
    </row>
    <row r="911" spans="1:5" x14ac:dyDescent="0.25">
      <c r="A911">
        <v>0</v>
      </c>
      <c r="B911">
        <v>2</v>
      </c>
      <c r="C911">
        <v>9</v>
      </c>
      <c r="D911">
        <v>2042</v>
      </c>
      <c r="E911">
        <v>3606543</v>
      </c>
    </row>
    <row r="912" spans="1:5" x14ac:dyDescent="0.25">
      <c r="A912">
        <v>0</v>
      </c>
      <c r="B912">
        <v>2</v>
      </c>
      <c r="C912">
        <v>9</v>
      </c>
      <c r="D912">
        <v>2043</v>
      </c>
      <c r="E912">
        <v>3645766</v>
      </c>
    </row>
    <row r="913" spans="1:5" x14ac:dyDescent="0.25">
      <c r="A913">
        <v>0</v>
      </c>
      <c r="B913">
        <v>2</v>
      </c>
      <c r="C913">
        <v>9</v>
      </c>
      <c r="D913">
        <v>2044</v>
      </c>
      <c r="E913">
        <v>3684510</v>
      </c>
    </row>
    <row r="914" spans="1:5" x14ac:dyDescent="0.25">
      <c r="A914">
        <v>0</v>
      </c>
      <c r="B914">
        <v>2</v>
      </c>
      <c r="C914">
        <v>9</v>
      </c>
      <c r="D914">
        <v>2045</v>
      </c>
      <c r="E914">
        <v>3722737</v>
      </c>
    </row>
    <row r="915" spans="1:5" x14ac:dyDescent="0.25">
      <c r="A915">
        <v>0</v>
      </c>
      <c r="B915">
        <v>2</v>
      </c>
      <c r="C915">
        <v>9</v>
      </c>
      <c r="D915">
        <v>2046</v>
      </c>
      <c r="E915">
        <v>3760303</v>
      </c>
    </row>
    <row r="916" spans="1:5" x14ac:dyDescent="0.25">
      <c r="A916">
        <v>0</v>
      </c>
      <c r="B916">
        <v>2</v>
      </c>
      <c r="C916">
        <v>9</v>
      </c>
      <c r="D916">
        <v>2047</v>
      </c>
      <c r="E916">
        <v>3797177</v>
      </c>
    </row>
    <row r="917" spans="1:5" x14ac:dyDescent="0.25">
      <c r="A917">
        <v>0</v>
      </c>
      <c r="B917">
        <v>2</v>
      </c>
      <c r="C917">
        <v>9</v>
      </c>
      <c r="D917">
        <v>2048</v>
      </c>
      <c r="E917">
        <v>3833357</v>
      </c>
    </row>
    <row r="918" spans="1:5" x14ac:dyDescent="0.25">
      <c r="A918">
        <v>0</v>
      </c>
      <c r="B918">
        <v>2</v>
      </c>
      <c r="C918">
        <v>9</v>
      </c>
      <c r="D918">
        <v>2049</v>
      </c>
      <c r="E918">
        <v>3868776</v>
      </c>
    </row>
    <row r="919" spans="1:5" x14ac:dyDescent="0.25">
      <c r="A919">
        <v>0</v>
      </c>
      <c r="B919">
        <v>2</v>
      </c>
      <c r="C919">
        <v>9</v>
      </c>
      <c r="D919">
        <v>2050</v>
      </c>
      <c r="E919">
        <v>3903383</v>
      </c>
    </row>
    <row r="920" spans="1:5" x14ac:dyDescent="0.25">
      <c r="A920">
        <v>0</v>
      </c>
      <c r="B920">
        <v>2</v>
      </c>
      <c r="C920">
        <v>10</v>
      </c>
      <c r="D920">
        <v>2024</v>
      </c>
      <c r="E920">
        <v>1307991</v>
      </c>
    </row>
    <row r="921" spans="1:5" x14ac:dyDescent="0.25">
      <c r="A921">
        <v>0</v>
      </c>
      <c r="B921">
        <v>2</v>
      </c>
      <c r="C921">
        <v>10</v>
      </c>
      <c r="D921">
        <v>2025</v>
      </c>
      <c r="E921">
        <v>1333966</v>
      </c>
    </row>
    <row r="922" spans="1:5" x14ac:dyDescent="0.25">
      <c r="A922">
        <v>0</v>
      </c>
      <c r="B922">
        <v>2</v>
      </c>
      <c r="C922">
        <v>10</v>
      </c>
      <c r="D922">
        <v>2026</v>
      </c>
      <c r="E922">
        <v>1360325</v>
      </c>
    </row>
    <row r="923" spans="1:5" x14ac:dyDescent="0.25">
      <c r="A923">
        <v>0</v>
      </c>
      <c r="B923">
        <v>2</v>
      </c>
      <c r="C923">
        <v>10</v>
      </c>
      <c r="D923">
        <v>2027</v>
      </c>
      <c r="E923">
        <v>1387003</v>
      </c>
    </row>
    <row r="924" spans="1:5" x14ac:dyDescent="0.25">
      <c r="A924">
        <v>0</v>
      </c>
      <c r="B924">
        <v>2</v>
      </c>
      <c r="C924">
        <v>10</v>
      </c>
      <c r="D924">
        <v>2028</v>
      </c>
      <c r="E924">
        <v>1414059</v>
      </c>
    </row>
    <row r="925" spans="1:5" x14ac:dyDescent="0.25">
      <c r="A925">
        <v>0</v>
      </c>
      <c r="B925">
        <v>2</v>
      </c>
      <c r="C925">
        <v>10</v>
      </c>
      <c r="D925">
        <v>2029</v>
      </c>
      <c r="E925">
        <v>1441500</v>
      </c>
    </row>
    <row r="926" spans="1:5" x14ac:dyDescent="0.25">
      <c r="A926">
        <v>0</v>
      </c>
      <c r="B926">
        <v>2</v>
      </c>
      <c r="C926">
        <v>10</v>
      </c>
      <c r="D926">
        <v>2030</v>
      </c>
      <c r="E926">
        <v>1469320</v>
      </c>
    </row>
    <row r="927" spans="1:5" x14ac:dyDescent="0.25">
      <c r="A927">
        <v>0</v>
      </c>
      <c r="B927">
        <v>2</v>
      </c>
      <c r="C927">
        <v>10</v>
      </c>
      <c r="D927">
        <v>2031</v>
      </c>
      <c r="E927">
        <v>1497562</v>
      </c>
    </row>
    <row r="928" spans="1:5" x14ac:dyDescent="0.25">
      <c r="A928">
        <v>0</v>
      </c>
      <c r="B928">
        <v>2</v>
      </c>
      <c r="C928">
        <v>10</v>
      </c>
      <c r="D928">
        <v>2032</v>
      </c>
      <c r="E928">
        <v>1526305</v>
      </c>
    </row>
    <row r="929" spans="1:5" x14ac:dyDescent="0.25">
      <c r="A929">
        <v>0</v>
      </c>
      <c r="B929">
        <v>2</v>
      </c>
      <c r="C929">
        <v>10</v>
      </c>
      <c r="D929">
        <v>2033</v>
      </c>
      <c r="E929">
        <v>1555591</v>
      </c>
    </row>
    <row r="930" spans="1:5" x14ac:dyDescent="0.25">
      <c r="A930">
        <v>0</v>
      </c>
      <c r="B930">
        <v>2</v>
      </c>
      <c r="C930">
        <v>10</v>
      </c>
      <c r="D930">
        <v>2034</v>
      </c>
      <c r="E930">
        <v>1585374</v>
      </c>
    </row>
    <row r="931" spans="1:5" x14ac:dyDescent="0.25">
      <c r="A931">
        <v>0</v>
      </c>
      <c r="B931">
        <v>2</v>
      </c>
      <c r="C931">
        <v>10</v>
      </c>
      <c r="D931">
        <v>2035</v>
      </c>
      <c r="E931">
        <v>1615685</v>
      </c>
    </row>
    <row r="932" spans="1:5" x14ac:dyDescent="0.25">
      <c r="A932">
        <v>0</v>
      </c>
      <c r="B932">
        <v>2</v>
      </c>
      <c r="C932">
        <v>10</v>
      </c>
      <c r="D932">
        <v>2036</v>
      </c>
      <c r="E932">
        <v>1646494</v>
      </c>
    </row>
    <row r="933" spans="1:5" x14ac:dyDescent="0.25">
      <c r="A933">
        <v>0</v>
      </c>
      <c r="B933">
        <v>2</v>
      </c>
      <c r="C933">
        <v>10</v>
      </c>
      <c r="D933">
        <v>2037</v>
      </c>
      <c r="E933">
        <v>1677837</v>
      </c>
    </row>
    <row r="934" spans="1:5" x14ac:dyDescent="0.25">
      <c r="A934">
        <v>0</v>
      </c>
      <c r="B934">
        <v>2</v>
      </c>
      <c r="C934">
        <v>10</v>
      </c>
      <c r="D934">
        <v>2038</v>
      </c>
      <c r="E934">
        <v>1709679</v>
      </c>
    </row>
    <row r="935" spans="1:5" x14ac:dyDescent="0.25">
      <c r="A935">
        <v>0</v>
      </c>
      <c r="B935">
        <v>2</v>
      </c>
      <c r="C935">
        <v>10</v>
      </c>
      <c r="D935">
        <v>2039</v>
      </c>
      <c r="E935">
        <v>1742059</v>
      </c>
    </row>
    <row r="936" spans="1:5" x14ac:dyDescent="0.25">
      <c r="A936">
        <v>0</v>
      </c>
      <c r="B936">
        <v>2</v>
      </c>
      <c r="C936">
        <v>10</v>
      </c>
      <c r="D936">
        <v>2040</v>
      </c>
      <c r="E936">
        <v>1774908</v>
      </c>
    </row>
    <row r="937" spans="1:5" x14ac:dyDescent="0.25">
      <c r="A937">
        <v>0</v>
      </c>
      <c r="B937">
        <v>2</v>
      </c>
      <c r="C937">
        <v>10</v>
      </c>
      <c r="D937">
        <v>2041</v>
      </c>
      <c r="E937">
        <v>1808206</v>
      </c>
    </row>
    <row r="938" spans="1:5" x14ac:dyDescent="0.25">
      <c r="A938">
        <v>0</v>
      </c>
      <c r="B938">
        <v>2</v>
      </c>
      <c r="C938">
        <v>10</v>
      </c>
      <c r="D938">
        <v>2042</v>
      </c>
      <c r="E938">
        <v>1841956</v>
      </c>
    </row>
    <row r="939" spans="1:5" x14ac:dyDescent="0.25">
      <c r="A939">
        <v>0</v>
      </c>
      <c r="B939">
        <v>2</v>
      </c>
      <c r="C939">
        <v>10</v>
      </c>
      <c r="D939">
        <v>2043</v>
      </c>
      <c r="E939">
        <v>1876076</v>
      </c>
    </row>
    <row r="940" spans="1:5" x14ac:dyDescent="0.25">
      <c r="A940">
        <v>0</v>
      </c>
      <c r="B940">
        <v>2</v>
      </c>
      <c r="C940">
        <v>10</v>
      </c>
      <c r="D940">
        <v>2044</v>
      </c>
      <c r="E940">
        <v>1910536</v>
      </c>
    </row>
    <row r="941" spans="1:5" x14ac:dyDescent="0.25">
      <c r="A941">
        <v>0</v>
      </c>
      <c r="B941">
        <v>2</v>
      </c>
      <c r="C941">
        <v>10</v>
      </c>
      <c r="D941">
        <v>2045</v>
      </c>
      <c r="E941">
        <v>1945352</v>
      </c>
    </row>
    <row r="942" spans="1:5" x14ac:dyDescent="0.25">
      <c r="A942">
        <v>0</v>
      </c>
      <c r="B942">
        <v>2</v>
      </c>
      <c r="C942">
        <v>10</v>
      </c>
      <c r="D942">
        <v>2046</v>
      </c>
      <c r="E942">
        <v>1980492</v>
      </c>
    </row>
    <row r="943" spans="1:5" x14ac:dyDescent="0.25">
      <c r="A943">
        <v>0</v>
      </c>
      <c r="B943">
        <v>2</v>
      </c>
      <c r="C943">
        <v>10</v>
      </c>
      <c r="D943">
        <v>2047</v>
      </c>
      <c r="E943">
        <v>2015888</v>
      </c>
    </row>
    <row r="944" spans="1:5" x14ac:dyDescent="0.25">
      <c r="A944">
        <v>0</v>
      </c>
      <c r="B944">
        <v>2</v>
      </c>
      <c r="C944">
        <v>10</v>
      </c>
      <c r="D944">
        <v>2048</v>
      </c>
      <c r="E944">
        <v>2051514</v>
      </c>
    </row>
    <row r="945" spans="1:5" x14ac:dyDescent="0.25">
      <c r="A945">
        <v>0</v>
      </c>
      <c r="B945">
        <v>2</v>
      </c>
      <c r="C945">
        <v>10</v>
      </c>
      <c r="D945">
        <v>2049</v>
      </c>
      <c r="E945">
        <v>2087339</v>
      </c>
    </row>
    <row r="946" spans="1:5" x14ac:dyDescent="0.25">
      <c r="A946">
        <v>0</v>
      </c>
      <c r="B946">
        <v>2</v>
      </c>
      <c r="C946">
        <v>10</v>
      </c>
      <c r="D946">
        <v>2050</v>
      </c>
      <c r="E946">
        <v>2123370</v>
      </c>
    </row>
    <row r="947" spans="1:5" x14ac:dyDescent="0.25">
      <c r="A947">
        <v>0</v>
      </c>
      <c r="B947">
        <v>2</v>
      </c>
      <c r="C947">
        <v>11</v>
      </c>
      <c r="D947">
        <v>2024</v>
      </c>
      <c r="E947">
        <v>455705</v>
      </c>
    </row>
    <row r="948" spans="1:5" x14ac:dyDescent="0.25">
      <c r="A948">
        <v>0</v>
      </c>
      <c r="B948">
        <v>2</v>
      </c>
      <c r="C948">
        <v>11</v>
      </c>
      <c r="D948">
        <v>2025</v>
      </c>
      <c r="E948">
        <v>462982</v>
      </c>
    </row>
    <row r="949" spans="1:5" x14ac:dyDescent="0.25">
      <c r="A949">
        <v>0</v>
      </c>
      <c r="B949">
        <v>2</v>
      </c>
      <c r="C949">
        <v>11</v>
      </c>
      <c r="D949">
        <v>2026</v>
      </c>
      <c r="E949">
        <v>470292</v>
      </c>
    </row>
    <row r="950" spans="1:5" x14ac:dyDescent="0.25">
      <c r="A950">
        <v>0</v>
      </c>
      <c r="B950">
        <v>2</v>
      </c>
      <c r="C950">
        <v>11</v>
      </c>
      <c r="D950">
        <v>2027</v>
      </c>
      <c r="E950">
        <v>477608</v>
      </c>
    </row>
    <row r="951" spans="1:5" x14ac:dyDescent="0.25">
      <c r="A951">
        <v>0</v>
      </c>
      <c r="B951">
        <v>2</v>
      </c>
      <c r="C951">
        <v>11</v>
      </c>
      <c r="D951">
        <v>2028</v>
      </c>
      <c r="E951">
        <v>484956</v>
      </c>
    </row>
    <row r="952" spans="1:5" x14ac:dyDescent="0.25">
      <c r="A952">
        <v>0</v>
      </c>
      <c r="B952">
        <v>2</v>
      </c>
      <c r="C952">
        <v>11</v>
      </c>
      <c r="D952">
        <v>2029</v>
      </c>
      <c r="E952">
        <v>492318</v>
      </c>
    </row>
    <row r="953" spans="1:5" x14ac:dyDescent="0.25">
      <c r="A953">
        <v>0</v>
      </c>
      <c r="B953">
        <v>2</v>
      </c>
      <c r="C953">
        <v>11</v>
      </c>
      <c r="D953">
        <v>2030</v>
      </c>
      <c r="E953">
        <v>499716</v>
      </c>
    </row>
    <row r="954" spans="1:5" x14ac:dyDescent="0.25">
      <c r="A954">
        <v>0</v>
      </c>
      <c r="B954">
        <v>2</v>
      </c>
      <c r="C954">
        <v>11</v>
      </c>
      <c r="D954">
        <v>2031</v>
      </c>
      <c r="E954">
        <v>507163</v>
      </c>
    </row>
    <row r="955" spans="1:5" x14ac:dyDescent="0.25">
      <c r="A955">
        <v>0</v>
      </c>
      <c r="B955">
        <v>2</v>
      </c>
      <c r="C955">
        <v>11</v>
      </c>
      <c r="D955">
        <v>2032</v>
      </c>
      <c r="E955">
        <v>514706</v>
      </c>
    </row>
    <row r="956" spans="1:5" x14ac:dyDescent="0.25">
      <c r="A956">
        <v>0</v>
      </c>
      <c r="B956">
        <v>2</v>
      </c>
      <c r="C956">
        <v>11</v>
      </c>
      <c r="D956">
        <v>2033</v>
      </c>
      <c r="E956">
        <v>522355</v>
      </c>
    </row>
    <row r="957" spans="1:5" x14ac:dyDescent="0.25">
      <c r="A957">
        <v>0</v>
      </c>
      <c r="B957">
        <v>2</v>
      </c>
      <c r="C957">
        <v>11</v>
      </c>
      <c r="D957">
        <v>2034</v>
      </c>
      <c r="E957">
        <v>530095</v>
      </c>
    </row>
    <row r="958" spans="1:5" x14ac:dyDescent="0.25">
      <c r="A958">
        <v>0</v>
      </c>
      <c r="B958">
        <v>2</v>
      </c>
      <c r="C958">
        <v>11</v>
      </c>
      <c r="D958">
        <v>2035</v>
      </c>
      <c r="E958">
        <v>537955</v>
      </c>
    </row>
    <row r="959" spans="1:5" x14ac:dyDescent="0.25">
      <c r="A959">
        <v>0</v>
      </c>
      <c r="B959">
        <v>2</v>
      </c>
      <c r="C959">
        <v>11</v>
      </c>
      <c r="D959">
        <v>2036</v>
      </c>
      <c r="E959">
        <v>545907</v>
      </c>
    </row>
    <row r="960" spans="1:5" x14ac:dyDescent="0.25">
      <c r="A960">
        <v>0</v>
      </c>
      <c r="B960">
        <v>2</v>
      </c>
      <c r="C960">
        <v>11</v>
      </c>
      <c r="D960">
        <v>2037</v>
      </c>
      <c r="E960">
        <v>553959</v>
      </c>
    </row>
    <row r="961" spans="1:5" x14ac:dyDescent="0.25">
      <c r="A961">
        <v>0</v>
      </c>
      <c r="B961">
        <v>2</v>
      </c>
      <c r="C961">
        <v>11</v>
      </c>
      <c r="D961">
        <v>2038</v>
      </c>
      <c r="E961">
        <v>562142</v>
      </c>
    </row>
    <row r="962" spans="1:5" x14ac:dyDescent="0.25">
      <c r="A962">
        <v>0</v>
      </c>
      <c r="B962">
        <v>2</v>
      </c>
      <c r="C962">
        <v>11</v>
      </c>
      <c r="D962">
        <v>2039</v>
      </c>
      <c r="E962">
        <v>570462</v>
      </c>
    </row>
    <row r="963" spans="1:5" x14ac:dyDescent="0.25">
      <c r="A963">
        <v>0</v>
      </c>
      <c r="B963">
        <v>2</v>
      </c>
      <c r="C963">
        <v>11</v>
      </c>
      <c r="D963">
        <v>2040</v>
      </c>
      <c r="E963">
        <v>578907</v>
      </c>
    </row>
    <row r="964" spans="1:5" x14ac:dyDescent="0.25">
      <c r="A964">
        <v>0</v>
      </c>
      <c r="B964">
        <v>2</v>
      </c>
      <c r="C964">
        <v>11</v>
      </c>
      <c r="D964">
        <v>2041</v>
      </c>
      <c r="E964">
        <v>587462</v>
      </c>
    </row>
    <row r="965" spans="1:5" x14ac:dyDescent="0.25">
      <c r="A965">
        <v>0</v>
      </c>
      <c r="B965">
        <v>2</v>
      </c>
      <c r="C965">
        <v>11</v>
      </c>
      <c r="D965">
        <v>2042</v>
      </c>
      <c r="E965">
        <v>596097</v>
      </c>
    </row>
    <row r="966" spans="1:5" x14ac:dyDescent="0.25">
      <c r="A966">
        <v>0</v>
      </c>
      <c r="B966">
        <v>2</v>
      </c>
      <c r="C966">
        <v>11</v>
      </c>
      <c r="D966">
        <v>2043</v>
      </c>
      <c r="E966">
        <v>604829</v>
      </c>
    </row>
    <row r="967" spans="1:5" x14ac:dyDescent="0.25">
      <c r="A967">
        <v>0</v>
      </c>
      <c r="B967">
        <v>2</v>
      </c>
      <c r="C967">
        <v>11</v>
      </c>
      <c r="D967">
        <v>2044</v>
      </c>
      <c r="E967">
        <v>613645</v>
      </c>
    </row>
    <row r="968" spans="1:5" x14ac:dyDescent="0.25">
      <c r="A968">
        <v>0</v>
      </c>
      <c r="B968">
        <v>2</v>
      </c>
      <c r="C968">
        <v>11</v>
      </c>
      <c r="D968">
        <v>2045</v>
      </c>
      <c r="E968">
        <v>622535</v>
      </c>
    </row>
    <row r="969" spans="1:5" x14ac:dyDescent="0.25">
      <c r="A969">
        <v>0</v>
      </c>
      <c r="B969">
        <v>2</v>
      </c>
      <c r="C969">
        <v>11</v>
      </c>
      <c r="D969">
        <v>2046</v>
      </c>
      <c r="E969">
        <v>631462</v>
      </c>
    </row>
    <row r="970" spans="1:5" x14ac:dyDescent="0.25">
      <c r="A970">
        <v>0</v>
      </c>
      <c r="B970">
        <v>2</v>
      </c>
      <c r="C970">
        <v>11</v>
      </c>
      <c r="D970">
        <v>2047</v>
      </c>
      <c r="E970">
        <v>640422</v>
      </c>
    </row>
    <row r="971" spans="1:5" x14ac:dyDescent="0.25">
      <c r="A971">
        <v>0</v>
      </c>
      <c r="B971">
        <v>2</v>
      </c>
      <c r="C971">
        <v>11</v>
      </c>
      <c r="D971">
        <v>2048</v>
      </c>
      <c r="E971">
        <v>649411</v>
      </c>
    </row>
    <row r="972" spans="1:5" x14ac:dyDescent="0.25">
      <c r="A972">
        <v>0</v>
      </c>
      <c r="B972">
        <v>2</v>
      </c>
      <c r="C972">
        <v>11</v>
      </c>
      <c r="D972">
        <v>2049</v>
      </c>
      <c r="E972">
        <v>658413</v>
      </c>
    </row>
    <row r="973" spans="1:5" x14ac:dyDescent="0.25">
      <c r="A973">
        <v>0</v>
      </c>
      <c r="B973">
        <v>2</v>
      </c>
      <c r="C973">
        <v>11</v>
      </c>
      <c r="D973">
        <v>2050</v>
      </c>
      <c r="E973">
        <v>667426</v>
      </c>
    </row>
    <row r="974" spans="1:5" x14ac:dyDescent="0.25">
      <c r="A974">
        <v>1</v>
      </c>
      <c r="B974">
        <v>0</v>
      </c>
      <c r="C974">
        <v>0</v>
      </c>
      <c r="D974">
        <v>2024</v>
      </c>
      <c r="E974">
        <v>166813721</v>
      </c>
    </row>
    <row r="975" spans="1:5" x14ac:dyDescent="0.25">
      <c r="A975">
        <v>1</v>
      </c>
      <c r="B975">
        <v>0</v>
      </c>
      <c r="C975">
        <v>0</v>
      </c>
      <c r="D975">
        <v>2025</v>
      </c>
      <c r="E975">
        <v>167543554</v>
      </c>
    </row>
    <row r="976" spans="1:5" x14ac:dyDescent="0.25">
      <c r="A976">
        <v>1</v>
      </c>
      <c r="B976">
        <v>0</v>
      </c>
      <c r="C976">
        <v>0</v>
      </c>
      <c r="D976">
        <v>2026</v>
      </c>
      <c r="E976">
        <v>168252393</v>
      </c>
    </row>
    <row r="977" spans="1:5" x14ac:dyDescent="0.25">
      <c r="A977">
        <v>1</v>
      </c>
      <c r="B977">
        <v>0</v>
      </c>
      <c r="C977">
        <v>0</v>
      </c>
      <c r="D977">
        <v>2027</v>
      </c>
      <c r="E977">
        <v>168939434</v>
      </c>
    </row>
    <row r="978" spans="1:5" x14ac:dyDescent="0.25">
      <c r="A978">
        <v>1</v>
      </c>
      <c r="B978">
        <v>0</v>
      </c>
      <c r="C978">
        <v>0</v>
      </c>
      <c r="D978">
        <v>2028</v>
      </c>
      <c r="E978">
        <v>169603165</v>
      </c>
    </row>
    <row r="979" spans="1:5" x14ac:dyDescent="0.25">
      <c r="A979">
        <v>1</v>
      </c>
      <c r="B979">
        <v>0</v>
      </c>
      <c r="C979">
        <v>0</v>
      </c>
      <c r="D979">
        <v>2029</v>
      </c>
      <c r="E979">
        <v>170242992</v>
      </c>
    </row>
    <row r="980" spans="1:5" x14ac:dyDescent="0.25">
      <c r="A980">
        <v>1</v>
      </c>
      <c r="B980">
        <v>0</v>
      </c>
      <c r="C980">
        <v>0</v>
      </c>
      <c r="D980">
        <v>2030</v>
      </c>
      <c r="E980">
        <v>170857443</v>
      </c>
    </row>
    <row r="981" spans="1:5" x14ac:dyDescent="0.25">
      <c r="A981">
        <v>1</v>
      </c>
      <c r="B981">
        <v>0</v>
      </c>
      <c r="C981">
        <v>0</v>
      </c>
      <c r="D981">
        <v>2031</v>
      </c>
      <c r="E981">
        <v>171444642</v>
      </c>
    </row>
    <row r="982" spans="1:5" x14ac:dyDescent="0.25">
      <c r="A982">
        <v>1</v>
      </c>
      <c r="B982">
        <v>0</v>
      </c>
      <c r="C982">
        <v>0</v>
      </c>
      <c r="D982">
        <v>2032</v>
      </c>
      <c r="E982">
        <v>172002366</v>
      </c>
    </row>
    <row r="983" spans="1:5" x14ac:dyDescent="0.25">
      <c r="A983">
        <v>1</v>
      </c>
      <c r="B983">
        <v>0</v>
      </c>
      <c r="C983">
        <v>0</v>
      </c>
      <c r="D983">
        <v>2033</v>
      </c>
      <c r="E983">
        <v>172536576</v>
      </c>
    </row>
    <row r="984" spans="1:5" x14ac:dyDescent="0.25">
      <c r="A984">
        <v>1</v>
      </c>
      <c r="B984">
        <v>0</v>
      </c>
      <c r="C984">
        <v>0</v>
      </c>
      <c r="D984">
        <v>2034</v>
      </c>
      <c r="E984">
        <v>173046937</v>
      </c>
    </row>
    <row r="985" spans="1:5" x14ac:dyDescent="0.25">
      <c r="A985">
        <v>1</v>
      </c>
      <c r="B985">
        <v>0</v>
      </c>
      <c r="C985">
        <v>0</v>
      </c>
      <c r="D985">
        <v>2035</v>
      </c>
      <c r="E985">
        <v>173533158</v>
      </c>
    </row>
    <row r="986" spans="1:5" x14ac:dyDescent="0.25">
      <c r="A986">
        <v>1</v>
      </c>
      <c r="B986">
        <v>0</v>
      </c>
      <c r="C986">
        <v>0</v>
      </c>
      <c r="D986">
        <v>2036</v>
      </c>
      <c r="E986">
        <v>173995103</v>
      </c>
    </row>
    <row r="987" spans="1:5" x14ac:dyDescent="0.25">
      <c r="A987">
        <v>1</v>
      </c>
      <c r="B987">
        <v>0</v>
      </c>
      <c r="C987">
        <v>0</v>
      </c>
      <c r="D987">
        <v>2037</v>
      </c>
      <c r="E987">
        <v>174432478</v>
      </c>
    </row>
    <row r="988" spans="1:5" x14ac:dyDescent="0.25">
      <c r="A988">
        <v>1</v>
      </c>
      <c r="B988">
        <v>0</v>
      </c>
      <c r="C988">
        <v>0</v>
      </c>
      <c r="D988">
        <v>2038</v>
      </c>
      <c r="E988">
        <v>174845258</v>
      </c>
    </row>
    <row r="989" spans="1:5" x14ac:dyDescent="0.25">
      <c r="A989">
        <v>1</v>
      </c>
      <c r="B989">
        <v>0</v>
      </c>
      <c r="C989">
        <v>0</v>
      </c>
      <c r="D989">
        <v>2039</v>
      </c>
      <c r="E989">
        <v>175233660</v>
      </c>
    </row>
    <row r="990" spans="1:5" x14ac:dyDescent="0.25">
      <c r="A990">
        <v>1</v>
      </c>
      <c r="B990">
        <v>0</v>
      </c>
      <c r="C990">
        <v>0</v>
      </c>
      <c r="D990">
        <v>2040</v>
      </c>
      <c r="E990">
        <v>175598130</v>
      </c>
    </row>
    <row r="991" spans="1:5" x14ac:dyDescent="0.25">
      <c r="A991">
        <v>1</v>
      </c>
      <c r="B991">
        <v>0</v>
      </c>
      <c r="C991">
        <v>0</v>
      </c>
      <c r="D991">
        <v>2041</v>
      </c>
      <c r="E991">
        <v>175938871</v>
      </c>
    </row>
    <row r="992" spans="1:5" x14ac:dyDescent="0.25">
      <c r="A992">
        <v>1</v>
      </c>
      <c r="B992">
        <v>0</v>
      </c>
      <c r="C992">
        <v>0</v>
      </c>
      <c r="D992">
        <v>2042</v>
      </c>
      <c r="E992">
        <v>176256999</v>
      </c>
    </row>
    <row r="993" spans="1:5" x14ac:dyDescent="0.25">
      <c r="A993">
        <v>1</v>
      </c>
      <c r="B993">
        <v>0</v>
      </c>
      <c r="C993">
        <v>0</v>
      </c>
      <c r="D993">
        <v>2043</v>
      </c>
      <c r="E993">
        <v>176553803</v>
      </c>
    </row>
    <row r="994" spans="1:5" x14ac:dyDescent="0.25">
      <c r="A994">
        <v>1</v>
      </c>
      <c r="B994">
        <v>0</v>
      </c>
      <c r="C994">
        <v>0</v>
      </c>
      <c r="D994">
        <v>2044</v>
      </c>
      <c r="E994">
        <v>176831174</v>
      </c>
    </row>
    <row r="995" spans="1:5" x14ac:dyDescent="0.25">
      <c r="A995">
        <v>1</v>
      </c>
      <c r="B995">
        <v>0</v>
      </c>
      <c r="C995">
        <v>0</v>
      </c>
      <c r="D995">
        <v>2045</v>
      </c>
      <c r="E995">
        <v>177091148</v>
      </c>
    </row>
    <row r="996" spans="1:5" x14ac:dyDescent="0.25">
      <c r="A996">
        <v>1</v>
      </c>
      <c r="B996">
        <v>0</v>
      </c>
      <c r="C996">
        <v>0</v>
      </c>
      <c r="D996">
        <v>2046</v>
      </c>
      <c r="E996">
        <v>177335875</v>
      </c>
    </row>
    <row r="997" spans="1:5" x14ac:dyDescent="0.25">
      <c r="A997">
        <v>1</v>
      </c>
      <c r="B997">
        <v>0</v>
      </c>
      <c r="C997">
        <v>0</v>
      </c>
      <c r="D997">
        <v>2047</v>
      </c>
      <c r="E997">
        <v>177566780</v>
      </c>
    </row>
    <row r="998" spans="1:5" x14ac:dyDescent="0.25">
      <c r="A998">
        <v>1</v>
      </c>
      <c r="B998">
        <v>0</v>
      </c>
      <c r="C998">
        <v>0</v>
      </c>
      <c r="D998">
        <v>2048</v>
      </c>
      <c r="E998">
        <v>177785908</v>
      </c>
    </row>
    <row r="999" spans="1:5" x14ac:dyDescent="0.25">
      <c r="A999">
        <v>1</v>
      </c>
      <c r="B999">
        <v>0</v>
      </c>
      <c r="C999">
        <v>0</v>
      </c>
      <c r="D999">
        <v>2049</v>
      </c>
      <c r="E999">
        <v>177995255</v>
      </c>
    </row>
    <row r="1000" spans="1:5" x14ac:dyDescent="0.25">
      <c r="A1000">
        <v>1</v>
      </c>
      <c r="B1000">
        <v>0</v>
      </c>
      <c r="C1000">
        <v>0</v>
      </c>
      <c r="D1000">
        <v>2050</v>
      </c>
      <c r="E1000">
        <v>178196653</v>
      </c>
    </row>
    <row r="1001" spans="1:5" x14ac:dyDescent="0.25">
      <c r="A1001">
        <v>1</v>
      </c>
      <c r="B1001">
        <v>0</v>
      </c>
      <c r="C1001">
        <v>1</v>
      </c>
      <c r="D1001">
        <v>2024</v>
      </c>
      <c r="E1001">
        <v>126228662</v>
      </c>
    </row>
    <row r="1002" spans="1:5" x14ac:dyDescent="0.25">
      <c r="A1002">
        <v>1</v>
      </c>
      <c r="B1002">
        <v>0</v>
      </c>
      <c r="C1002">
        <v>1</v>
      </c>
      <c r="D1002">
        <v>2025</v>
      </c>
      <c r="E1002">
        <v>126492903</v>
      </c>
    </row>
    <row r="1003" spans="1:5" x14ac:dyDescent="0.25">
      <c r="A1003">
        <v>1</v>
      </c>
      <c r="B1003">
        <v>0</v>
      </c>
      <c r="C1003">
        <v>1</v>
      </c>
      <c r="D1003">
        <v>2026</v>
      </c>
      <c r="E1003">
        <v>126733766</v>
      </c>
    </row>
    <row r="1004" spans="1:5" x14ac:dyDescent="0.25">
      <c r="A1004">
        <v>1</v>
      </c>
      <c r="B1004">
        <v>0</v>
      </c>
      <c r="C1004">
        <v>1</v>
      </c>
      <c r="D1004">
        <v>2027</v>
      </c>
      <c r="E1004">
        <v>126951249</v>
      </c>
    </row>
    <row r="1005" spans="1:5" x14ac:dyDescent="0.25">
      <c r="A1005">
        <v>1</v>
      </c>
      <c r="B1005">
        <v>0</v>
      </c>
      <c r="C1005">
        <v>1</v>
      </c>
      <c r="D1005">
        <v>2028</v>
      </c>
      <c r="E1005">
        <v>127144868</v>
      </c>
    </row>
    <row r="1006" spans="1:5" x14ac:dyDescent="0.25">
      <c r="A1006">
        <v>1</v>
      </c>
      <c r="B1006">
        <v>0</v>
      </c>
      <c r="C1006">
        <v>1</v>
      </c>
      <c r="D1006">
        <v>2029</v>
      </c>
      <c r="E1006">
        <v>127314382</v>
      </c>
    </row>
    <row r="1007" spans="1:5" x14ac:dyDescent="0.25">
      <c r="A1007">
        <v>1</v>
      </c>
      <c r="B1007">
        <v>0</v>
      </c>
      <c r="C1007">
        <v>1</v>
      </c>
      <c r="D1007">
        <v>2030</v>
      </c>
      <c r="E1007">
        <v>127459737</v>
      </c>
    </row>
    <row r="1008" spans="1:5" x14ac:dyDescent="0.25">
      <c r="A1008">
        <v>1</v>
      </c>
      <c r="B1008">
        <v>0</v>
      </c>
      <c r="C1008">
        <v>1</v>
      </c>
      <c r="D1008">
        <v>2031</v>
      </c>
      <c r="E1008">
        <v>127580653</v>
      </c>
    </row>
    <row r="1009" spans="1:5" x14ac:dyDescent="0.25">
      <c r="A1009">
        <v>1</v>
      </c>
      <c r="B1009">
        <v>0</v>
      </c>
      <c r="C1009">
        <v>1</v>
      </c>
      <c r="D1009">
        <v>2032</v>
      </c>
      <c r="E1009">
        <v>127676316</v>
      </c>
    </row>
    <row r="1010" spans="1:5" x14ac:dyDescent="0.25">
      <c r="A1010">
        <v>1</v>
      </c>
      <c r="B1010">
        <v>0</v>
      </c>
      <c r="C1010">
        <v>1</v>
      </c>
      <c r="D1010">
        <v>2033</v>
      </c>
      <c r="E1010">
        <v>127748844</v>
      </c>
    </row>
    <row r="1011" spans="1:5" x14ac:dyDescent="0.25">
      <c r="A1011">
        <v>1</v>
      </c>
      <c r="B1011">
        <v>0</v>
      </c>
      <c r="C1011">
        <v>1</v>
      </c>
      <c r="D1011">
        <v>2034</v>
      </c>
      <c r="E1011">
        <v>127798037</v>
      </c>
    </row>
    <row r="1012" spans="1:5" x14ac:dyDescent="0.25">
      <c r="A1012">
        <v>1</v>
      </c>
      <c r="B1012">
        <v>0</v>
      </c>
      <c r="C1012">
        <v>1</v>
      </c>
      <c r="D1012">
        <v>2035</v>
      </c>
      <c r="E1012">
        <v>127823758</v>
      </c>
    </row>
    <row r="1013" spans="1:5" x14ac:dyDescent="0.25">
      <c r="A1013">
        <v>1</v>
      </c>
      <c r="B1013">
        <v>0</v>
      </c>
      <c r="C1013">
        <v>1</v>
      </c>
      <c r="D1013">
        <v>2036</v>
      </c>
      <c r="E1013">
        <v>127826018</v>
      </c>
    </row>
    <row r="1014" spans="1:5" x14ac:dyDescent="0.25">
      <c r="A1014">
        <v>1</v>
      </c>
      <c r="B1014">
        <v>0</v>
      </c>
      <c r="C1014">
        <v>1</v>
      </c>
      <c r="D1014">
        <v>2037</v>
      </c>
      <c r="E1014">
        <v>127804765</v>
      </c>
    </row>
    <row r="1015" spans="1:5" x14ac:dyDescent="0.25">
      <c r="A1015">
        <v>1</v>
      </c>
      <c r="B1015">
        <v>0</v>
      </c>
      <c r="C1015">
        <v>1</v>
      </c>
      <c r="D1015">
        <v>2038</v>
      </c>
      <c r="E1015">
        <v>127760110</v>
      </c>
    </row>
    <row r="1016" spans="1:5" x14ac:dyDescent="0.25">
      <c r="A1016">
        <v>1</v>
      </c>
      <c r="B1016">
        <v>0</v>
      </c>
      <c r="C1016">
        <v>1</v>
      </c>
      <c r="D1016">
        <v>2039</v>
      </c>
      <c r="E1016">
        <v>127692513</v>
      </c>
    </row>
    <row r="1017" spans="1:5" x14ac:dyDescent="0.25">
      <c r="A1017">
        <v>1</v>
      </c>
      <c r="B1017">
        <v>0</v>
      </c>
      <c r="C1017">
        <v>1</v>
      </c>
      <c r="D1017">
        <v>2040</v>
      </c>
      <c r="E1017">
        <v>127602525</v>
      </c>
    </row>
    <row r="1018" spans="1:5" x14ac:dyDescent="0.25">
      <c r="A1018">
        <v>1</v>
      </c>
      <c r="B1018">
        <v>0</v>
      </c>
      <c r="C1018">
        <v>1</v>
      </c>
      <c r="D1018">
        <v>2041</v>
      </c>
      <c r="E1018">
        <v>127490575</v>
      </c>
    </row>
    <row r="1019" spans="1:5" x14ac:dyDescent="0.25">
      <c r="A1019">
        <v>1</v>
      </c>
      <c r="B1019">
        <v>0</v>
      </c>
      <c r="C1019">
        <v>1</v>
      </c>
      <c r="D1019">
        <v>2042</v>
      </c>
      <c r="E1019">
        <v>127357904</v>
      </c>
    </row>
    <row r="1020" spans="1:5" x14ac:dyDescent="0.25">
      <c r="A1020">
        <v>1</v>
      </c>
      <c r="B1020">
        <v>0</v>
      </c>
      <c r="C1020">
        <v>1</v>
      </c>
      <c r="D1020">
        <v>2043</v>
      </c>
      <c r="E1020">
        <v>127205881</v>
      </c>
    </row>
    <row r="1021" spans="1:5" x14ac:dyDescent="0.25">
      <c r="A1021">
        <v>1</v>
      </c>
      <c r="B1021">
        <v>0</v>
      </c>
      <c r="C1021">
        <v>1</v>
      </c>
      <c r="D1021">
        <v>2044</v>
      </c>
      <c r="E1021">
        <v>127036324</v>
      </c>
    </row>
    <row r="1022" spans="1:5" x14ac:dyDescent="0.25">
      <c r="A1022">
        <v>1</v>
      </c>
      <c r="B1022">
        <v>0</v>
      </c>
      <c r="C1022">
        <v>1</v>
      </c>
      <c r="D1022">
        <v>2045</v>
      </c>
      <c r="E1022">
        <v>126851246</v>
      </c>
    </row>
    <row r="1023" spans="1:5" x14ac:dyDescent="0.25">
      <c r="A1023">
        <v>1</v>
      </c>
      <c r="B1023">
        <v>0</v>
      </c>
      <c r="C1023">
        <v>1</v>
      </c>
      <c r="D1023">
        <v>2046</v>
      </c>
      <c r="E1023">
        <v>126652708</v>
      </c>
    </row>
    <row r="1024" spans="1:5" x14ac:dyDescent="0.25">
      <c r="A1024">
        <v>1</v>
      </c>
      <c r="B1024">
        <v>0</v>
      </c>
      <c r="C1024">
        <v>1</v>
      </c>
      <c r="D1024">
        <v>2047</v>
      </c>
      <c r="E1024">
        <v>126442081</v>
      </c>
    </row>
    <row r="1025" spans="1:5" x14ac:dyDescent="0.25">
      <c r="A1025">
        <v>1</v>
      </c>
      <c r="B1025">
        <v>0</v>
      </c>
      <c r="C1025">
        <v>1</v>
      </c>
      <c r="D1025">
        <v>2048</v>
      </c>
      <c r="E1025">
        <v>126221282</v>
      </c>
    </row>
    <row r="1026" spans="1:5" x14ac:dyDescent="0.25">
      <c r="A1026">
        <v>1</v>
      </c>
      <c r="B1026">
        <v>0</v>
      </c>
      <c r="C1026">
        <v>1</v>
      </c>
      <c r="D1026">
        <v>2049</v>
      </c>
      <c r="E1026">
        <v>125992275</v>
      </c>
    </row>
    <row r="1027" spans="1:5" x14ac:dyDescent="0.25">
      <c r="A1027">
        <v>1</v>
      </c>
      <c r="B1027">
        <v>0</v>
      </c>
      <c r="C1027">
        <v>1</v>
      </c>
      <c r="D1027">
        <v>2050</v>
      </c>
      <c r="E1027">
        <v>125756852</v>
      </c>
    </row>
    <row r="1028" spans="1:5" x14ac:dyDescent="0.25">
      <c r="A1028">
        <v>1</v>
      </c>
      <c r="B1028">
        <v>0</v>
      </c>
      <c r="C1028">
        <v>2</v>
      </c>
      <c r="D1028">
        <v>2024</v>
      </c>
      <c r="E1028">
        <v>22143608</v>
      </c>
    </row>
    <row r="1029" spans="1:5" x14ac:dyDescent="0.25">
      <c r="A1029">
        <v>1</v>
      </c>
      <c r="B1029">
        <v>0</v>
      </c>
      <c r="C1029">
        <v>2</v>
      </c>
      <c r="D1029">
        <v>2025</v>
      </c>
      <c r="E1029">
        <v>22277870</v>
      </c>
    </row>
    <row r="1030" spans="1:5" x14ac:dyDescent="0.25">
      <c r="A1030">
        <v>1</v>
      </c>
      <c r="B1030">
        <v>0</v>
      </c>
      <c r="C1030">
        <v>2</v>
      </c>
      <c r="D1030">
        <v>2026</v>
      </c>
      <c r="E1030">
        <v>22411684</v>
      </c>
    </row>
    <row r="1031" spans="1:5" x14ac:dyDescent="0.25">
      <c r="A1031">
        <v>1</v>
      </c>
      <c r="B1031">
        <v>0</v>
      </c>
      <c r="C1031">
        <v>2</v>
      </c>
      <c r="D1031">
        <v>2027</v>
      </c>
      <c r="E1031">
        <v>22544965</v>
      </c>
    </row>
    <row r="1032" spans="1:5" x14ac:dyDescent="0.25">
      <c r="A1032">
        <v>1</v>
      </c>
      <c r="B1032">
        <v>0</v>
      </c>
      <c r="C1032">
        <v>2</v>
      </c>
      <c r="D1032">
        <v>2028</v>
      </c>
      <c r="E1032">
        <v>22677155</v>
      </c>
    </row>
    <row r="1033" spans="1:5" x14ac:dyDescent="0.25">
      <c r="A1033">
        <v>1</v>
      </c>
      <c r="B1033">
        <v>0</v>
      </c>
      <c r="C1033">
        <v>2</v>
      </c>
      <c r="D1033">
        <v>2029</v>
      </c>
      <c r="E1033">
        <v>22807777</v>
      </c>
    </row>
    <row r="1034" spans="1:5" x14ac:dyDescent="0.25">
      <c r="A1034">
        <v>1</v>
      </c>
      <c r="B1034">
        <v>0</v>
      </c>
      <c r="C1034">
        <v>2</v>
      </c>
      <c r="D1034">
        <v>2030</v>
      </c>
      <c r="E1034">
        <v>22936226</v>
      </c>
    </row>
    <row r="1035" spans="1:5" x14ac:dyDescent="0.25">
      <c r="A1035">
        <v>1</v>
      </c>
      <c r="B1035">
        <v>0</v>
      </c>
      <c r="C1035">
        <v>2</v>
      </c>
      <c r="D1035">
        <v>2031</v>
      </c>
      <c r="E1035">
        <v>23062184</v>
      </c>
    </row>
    <row r="1036" spans="1:5" x14ac:dyDescent="0.25">
      <c r="A1036">
        <v>1</v>
      </c>
      <c r="B1036">
        <v>0</v>
      </c>
      <c r="C1036">
        <v>2</v>
      </c>
      <c r="D1036">
        <v>2032</v>
      </c>
      <c r="E1036">
        <v>23185350</v>
      </c>
    </row>
    <row r="1037" spans="1:5" x14ac:dyDescent="0.25">
      <c r="A1037">
        <v>1</v>
      </c>
      <c r="B1037">
        <v>0</v>
      </c>
      <c r="C1037">
        <v>2</v>
      </c>
      <c r="D1037">
        <v>2033</v>
      </c>
      <c r="E1037">
        <v>23306696</v>
      </c>
    </row>
    <row r="1038" spans="1:5" x14ac:dyDescent="0.25">
      <c r="A1038">
        <v>1</v>
      </c>
      <c r="B1038">
        <v>0</v>
      </c>
      <c r="C1038">
        <v>2</v>
      </c>
      <c r="D1038">
        <v>2034</v>
      </c>
      <c r="E1038">
        <v>23426299</v>
      </c>
    </row>
    <row r="1039" spans="1:5" x14ac:dyDescent="0.25">
      <c r="A1039">
        <v>1</v>
      </c>
      <c r="B1039">
        <v>0</v>
      </c>
      <c r="C1039">
        <v>2</v>
      </c>
      <c r="D1039">
        <v>2035</v>
      </c>
      <c r="E1039">
        <v>23544179</v>
      </c>
    </row>
    <row r="1040" spans="1:5" x14ac:dyDescent="0.25">
      <c r="A1040">
        <v>1</v>
      </c>
      <c r="B1040">
        <v>0</v>
      </c>
      <c r="C1040">
        <v>2</v>
      </c>
      <c r="D1040">
        <v>2036</v>
      </c>
      <c r="E1040">
        <v>23660408</v>
      </c>
    </row>
    <row r="1041" spans="1:5" x14ac:dyDescent="0.25">
      <c r="A1041">
        <v>1</v>
      </c>
      <c r="B1041">
        <v>0</v>
      </c>
      <c r="C1041">
        <v>2</v>
      </c>
      <c r="D1041">
        <v>2037</v>
      </c>
      <c r="E1041">
        <v>23775021</v>
      </c>
    </row>
    <row r="1042" spans="1:5" x14ac:dyDescent="0.25">
      <c r="A1042">
        <v>1</v>
      </c>
      <c r="B1042">
        <v>0</v>
      </c>
      <c r="C1042">
        <v>2</v>
      </c>
      <c r="D1042">
        <v>2038</v>
      </c>
      <c r="E1042">
        <v>23888095</v>
      </c>
    </row>
    <row r="1043" spans="1:5" x14ac:dyDescent="0.25">
      <c r="A1043">
        <v>1</v>
      </c>
      <c r="B1043">
        <v>0</v>
      </c>
      <c r="C1043">
        <v>2</v>
      </c>
      <c r="D1043">
        <v>2039</v>
      </c>
      <c r="E1043">
        <v>23999691</v>
      </c>
    </row>
    <row r="1044" spans="1:5" x14ac:dyDescent="0.25">
      <c r="A1044">
        <v>1</v>
      </c>
      <c r="B1044">
        <v>0</v>
      </c>
      <c r="C1044">
        <v>2</v>
      </c>
      <c r="D1044">
        <v>2040</v>
      </c>
      <c r="E1044">
        <v>24109834</v>
      </c>
    </row>
    <row r="1045" spans="1:5" x14ac:dyDescent="0.25">
      <c r="A1045">
        <v>1</v>
      </c>
      <c r="B1045">
        <v>0</v>
      </c>
      <c r="C1045">
        <v>2</v>
      </c>
      <c r="D1045">
        <v>2041</v>
      </c>
      <c r="E1045">
        <v>24218571</v>
      </c>
    </row>
    <row r="1046" spans="1:5" x14ac:dyDescent="0.25">
      <c r="A1046">
        <v>1</v>
      </c>
      <c r="B1046">
        <v>0</v>
      </c>
      <c r="C1046">
        <v>2</v>
      </c>
      <c r="D1046">
        <v>2042</v>
      </c>
      <c r="E1046">
        <v>24325897</v>
      </c>
    </row>
    <row r="1047" spans="1:5" x14ac:dyDescent="0.25">
      <c r="A1047">
        <v>1</v>
      </c>
      <c r="B1047">
        <v>0</v>
      </c>
      <c r="C1047">
        <v>2</v>
      </c>
      <c r="D1047">
        <v>2043</v>
      </c>
      <c r="E1047">
        <v>24431823</v>
      </c>
    </row>
    <row r="1048" spans="1:5" x14ac:dyDescent="0.25">
      <c r="A1048">
        <v>1</v>
      </c>
      <c r="B1048">
        <v>0</v>
      </c>
      <c r="C1048">
        <v>2</v>
      </c>
      <c r="D1048">
        <v>2044</v>
      </c>
      <c r="E1048">
        <v>24536396</v>
      </c>
    </row>
    <row r="1049" spans="1:5" x14ac:dyDescent="0.25">
      <c r="A1049">
        <v>1</v>
      </c>
      <c r="B1049">
        <v>0</v>
      </c>
      <c r="C1049">
        <v>2</v>
      </c>
      <c r="D1049">
        <v>2045</v>
      </c>
      <c r="E1049">
        <v>24639719</v>
      </c>
    </row>
    <row r="1050" spans="1:5" x14ac:dyDescent="0.25">
      <c r="A1050">
        <v>1</v>
      </c>
      <c r="B1050">
        <v>0</v>
      </c>
      <c r="C1050">
        <v>2</v>
      </c>
      <c r="D1050">
        <v>2046</v>
      </c>
      <c r="E1050">
        <v>24741994</v>
      </c>
    </row>
    <row r="1051" spans="1:5" x14ac:dyDescent="0.25">
      <c r="A1051">
        <v>1</v>
      </c>
      <c r="B1051">
        <v>0</v>
      </c>
      <c r="C1051">
        <v>2</v>
      </c>
      <c r="D1051">
        <v>2047</v>
      </c>
      <c r="E1051">
        <v>24843317</v>
      </c>
    </row>
    <row r="1052" spans="1:5" x14ac:dyDescent="0.25">
      <c r="A1052">
        <v>1</v>
      </c>
      <c r="B1052">
        <v>0</v>
      </c>
      <c r="C1052">
        <v>2</v>
      </c>
      <c r="D1052">
        <v>2048</v>
      </c>
      <c r="E1052">
        <v>24943846</v>
      </c>
    </row>
    <row r="1053" spans="1:5" x14ac:dyDescent="0.25">
      <c r="A1053">
        <v>1</v>
      </c>
      <c r="B1053">
        <v>0</v>
      </c>
      <c r="C1053">
        <v>2</v>
      </c>
      <c r="D1053">
        <v>2049</v>
      </c>
      <c r="E1053">
        <v>25043731</v>
      </c>
    </row>
    <row r="1054" spans="1:5" x14ac:dyDescent="0.25">
      <c r="A1054">
        <v>1</v>
      </c>
      <c r="B1054">
        <v>0</v>
      </c>
      <c r="C1054">
        <v>2</v>
      </c>
      <c r="D1054">
        <v>2050</v>
      </c>
      <c r="E1054">
        <v>25143138</v>
      </c>
    </row>
    <row r="1055" spans="1:5" x14ac:dyDescent="0.25">
      <c r="A1055">
        <v>1</v>
      </c>
      <c r="B1055">
        <v>0</v>
      </c>
      <c r="C1055">
        <v>3</v>
      </c>
      <c r="D1055">
        <v>2024</v>
      </c>
      <c r="E1055">
        <v>2241207</v>
      </c>
    </row>
    <row r="1056" spans="1:5" x14ac:dyDescent="0.25">
      <c r="A1056">
        <v>1</v>
      </c>
      <c r="B1056">
        <v>0</v>
      </c>
      <c r="C1056">
        <v>3</v>
      </c>
      <c r="D1056">
        <v>2025</v>
      </c>
      <c r="E1056">
        <v>2252968</v>
      </c>
    </row>
    <row r="1057" spans="1:5" x14ac:dyDescent="0.25">
      <c r="A1057">
        <v>1</v>
      </c>
      <c r="B1057">
        <v>0</v>
      </c>
      <c r="C1057">
        <v>3</v>
      </c>
      <c r="D1057">
        <v>2026</v>
      </c>
      <c r="E1057">
        <v>2264644</v>
      </c>
    </row>
    <row r="1058" spans="1:5" x14ac:dyDescent="0.25">
      <c r="A1058">
        <v>1</v>
      </c>
      <c r="B1058">
        <v>0</v>
      </c>
      <c r="C1058">
        <v>3</v>
      </c>
      <c r="D1058">
        <v>2027</v>
      </c>
      <c r="E1058">
        <v>2276212</v>
      </c>
    </row>
    <row r="1059" spans="1:5" x14ac:dyDescent="0.25">
      <c r="A1059">
        <v>1</v>
      </c>
      <c r="B1059">
        <v>0</v>
      </c>
      <c r="C1059">
        <v>3</v>
      </c>
      <c r="D1059">
        <v>2028</v>
      </c>
      <c r="E1059">
        <v>2287669</v>
      </c>
    </row>
    <row r="1060" spans="1:5" x14ac:dyDescent="0.25">
      <c r="A1060">
        <v>1</v>
      </c>
      <c r="B1060">
        <v>0</v>
      </c>
      <c r="C1060">
        <v>3</v>
      </c>
      <c r="D1060">
        <v>2029</v>
      </c>
      <c r="E1060">
        <v>2298962</v>
      </c>
    </row>
    <row r="1061" spans="1:5" x14ac:dyDescent="0.25">
      <c r="A1061">
        <v>1</v>
      </c>
      <c r="B1061">
        <v>0</v>
      </c>
      <c r="C1061">
        <v>3</v>
      </c>
      <c r="D1061">
        <v>2030</v>
      </c>
      <c r="E1061">
        <v>2310097</v>
      </c>
    </row>
    <row r="1062" spans="1:5" x14ac:dyDescent="0.25">
      <c r="A1062">
        <v>1</v>
      </c>
      <c r="B1062">
        <v>0</v>
      </c>
      <c r="C1062">
        <v>3</v>
      </c>
      <c r="D1062">
        <v>2031</v>
      </c>
      <c r="E1062">
        <v>2321076</v>
      </c>
    </row>
    <row r="1063" spans="1:5" x14ac:dyDescent="0.25">
      <c r="A1063">
        <v>1</v>
      </c>
      <c r="B1063">
        <v>0</v>
      </c>
      <c r="C1063">
        <v>3</v>
      </c>
      <c r="D1063">
        <v>2032</v>
      </c>
      <c r="E1063">
        <v>2331919</v>
      </c>
    </row>
    <row r="1064" spans="1:5" x14ac:dyDescent="0.25">
      <c r="A1064">
        <v>1</v>
      </c>
      <c r="B1064">
        <v>0</v>
      </c>
      <c r="C1064">
        <v>3</v>
      </c>
      <c r="D1064">
        <v>2033</v>
      </c>
      <c r="E1064">
        <v>2342594</v>
      </c>
    </row>
    <row r="1065" spans="1:5" x14ac:dyDescent="0.25">
      <c r="A1065">
        <v>1</v>
      </c>
      <c r="B1065">
        <v>0</v>
      </c>
      <c r="C1065">
        <v>3</v>
      </c>
      <c r="D1065">
        <v>2034</v>
      </c>
      <c r="E1065">
        <v>2353135</v>
      </c>
    </row>
    <row r="1066" spans="1:5" x14ac:dyDescent="0.25">
      <c r="A1066">
        <v>1</v>
      </c>
      <c r="B1066">
        <v>0</v>
      </c>
      <c r="C1066">
        <v>3</v>
      </c>
      <c r="D1066">
        <v>2035</v>
      </c>
      <c r="E1066">
        <v>2363504</v>
      </c>
    </row>
    <row r="1067" spans="1:5" x14ac:dyDescent="0.25">
      <c r="A1067">
        <v>1</v>
      </c>
      <c r="B1067">
        <v>0</v>
      </c>
      <c r="C1067">
        <v>3</v>
      </c>
      <c r="D1067">
        <v>2036</v>
      </c>
      <c r="E1067">
        <v>2373691</v>
      </c>
    </row>
    <row r="1068" spans="1:5" x14ac:dyDescent="0.25">
      <c r="A1068">
        <v>1</v>
      </c>
      <c r="B1068">
        <v>0</v>
      </c>
      <c r="C1068">
        <v>3</v>
      </c>
      <c r="D1068">
        <v>2037</v>
      </c>
      <c r="E1068">
        <v>2383709</v>
      </c>
    </row>
    <row r="1069" spans="1:5" x14ac:dyDescent="0.25">
      <c r="A1069">
        <v>1</v>
      </c>
      <c r="B1069">
        <v>0</v>
      </c>
      <c r="C1069">
        <v>3</v>
      </c>
      <c r="D1069">
        <v>2038</v>
      </c>
      <c r="E1069">
        <v>2393554</v>
      </c>
    </row>
    <row r="1070" spans="1:5" x14ac:dyDescent="0.25">
      <c r="A1070">
        <v>1</v>
      </c>
      <c r="B1070">
        <v>0</v>
      </c>
      <c r="C1070">
        <v>3</v>
      </c>
      <c r="D1070">
        <v>2039</v>
      </c>
      <c r="E1070">
        <v>2403174</v>
      </c>
    </row>
    <row r="1071" spans="1:5" x14ac:dyDescent="0.25">
      <c r="A1071">
        <v>1</v>
      </c>
      <c r="B1071">
        <v>0</v>
      </c>
      <c r="C1071">
        <v>3</v>
      </c>
      <c r="D1071">
        <v>2040</v>
      </c>
      <c r="E1071">
        <v>2412571</v>
      </c>
    </row>
    <row r="1072" spans="1:5" x14ac:dyDescent="0.25">
      <c r="A1072">
        <v>1</v>
      </c>
      <c r="B1072">
        <v>0</v>
      </c>
      <c r="C1072">
        <v>3</v>
      </c>
      <c r="D1072">
        <v>2041</v>
      </c>
      <c r="E1072">
        <v>2421711</v>
      </c>
    </row>
    <row r="1073" spans="1:5" x14ac:dyDescent="0.25">
      <c r="A1073">
        <v>1</v>
      </c>
      <c r="B1073">
        <v>0</v>
      </c>
      <c r="C1073">
        <v>3</v>
      </c>
      <c r="D1073">
        <v>2042</v>
      </c>
      <c r="E1073">
        <v>2430546</v>
      </c>
    </row>
    <row r="1074" spans="1:5" x14ac:dyDescent="0.25">
      <c r="A1074">
        <v>1</v>
      </c>
      <c r="B1074">
        <v>0</v>
      </c>
      <c r="C1074">
        <v>3</v>
      </c>
      <c r="D1074">
        <v>2043</v>
      </c>
      <c r="E1074">
        <v>2439031</v>
      </c>
    </row>
    <row r="1075" spans="1:5" x14ac:dyDescent="0.25">
      <c r="A1075">
        <v>1</v>
      </c>
      <c r="B1075">
        <v>0</v>
      </c>
      <c r="C1075">
        <v>3</v>
      </c>
      <c r="D1075">
        <v>2044</v>
      </c>
      <c r="E1075">
        <v>2447148</v>
      </c>
    </row>
    <row r="1076" spans="1:5" x14ac:dyDescent="0.25">
      <c r="A1076">
        <v>1</v>
      </c>
      <c r="B1076">
        <v>0</v>
      </c>
      <c r="C1076">
        <v>3</v>
      </c>
      <c r="D1076">
        <v>2045</v>
      </c>
      <c r="E1076">
        <v>2454868</v>
      </c>
    </row>
    <row r="1077" spans="1:5" x14ac:dyDescent="0.25">
      <c r="A1077">
        <v>1</v>
      </c>
      <c r="B1077">
        <v>0</v>
      </c>
      <c r="C1077">
        <v>3</v>
      </c>
      <c r="D1077">
        <v>2046</v>
      </c>
      <c r="E1077">
        <v>2462196</v>
      </c>
    </row>
    <row r="1078" spans="1:5" x14ac:dyDescent="0.25">
      <c r="A1078">
        <v>1</v>
      </c>
      <c r="B1078">
        <v>0</v>
      </c>
      <c r="C1078">
        <v>3</v>
      </c>
      <c r="D1078">
        <v>2047</v>
      </c>
      <c r="E1078">
        <v>2469116</v>
      </c>
    </row>
    <row r="1079" spans="1:5" x14ac:dyDescent="0.25">
      <c r="A1079">
        <v>1</v>
      </c>
      <c r="B1079">
        <v>0</v>
      </c>
      <c r="C1079">
        <v>3</v>
      </c>
      <c r="D1079">
        <v>2048</v>
      </c>
      <c r="E1079">
        <v>2475619</v>
      </c>
    </row>
    <row r="1080" spans="1:5" x14ac:dyDescent="0.25">
      <c r="A1080">
        <v>1</v>
      </c>
      <c r="B1080">
        <v>0</v>
      </c>
      <c r="C1080">
        <v>3</v>
      </c>
      <c r="D1080">
        <v>2049</v>
      </c>
      <c r="E1080">
        <v>2481690</v>
      </c>
    </row>
    <row r="1081" spans="1:5" x14ac:dyDescent="0.25">
      <c r="A1081">
        <v>1</v>
      </c>
      <c r="B1081">
        <v>0</v>
      </c>
      <c r="C1081">
        <v>3</v>
      </c>
      <c r="D1081">
        <v>2050</v>
      </c>
      <c r="E1081">
        <v>2487325</v>
      </c>
    </row>
    <row r="1082" spans="1:5" x14ac:dyDescent="0.25">
      <c r="A1082">
        <v>1</v>
      </c>
      <c r="B1082">
        <v>0</v>
      </c>
      <c r="C1082">
        <v>4</v>
      </c>
      <c r="D1082">
        <v>2024</v>
      </c>
      <c r="E1082">
        <v>10465512</v>
      </c>
    </row>
    <row r="1083" spans="1:5" x14ac:dyDescent="0.25">
      <c r="A1083">
        <v>1</v>
      </c>
      <c r="B1083">
        <v>0</v>
      </c>
      <c r="C1083">
        <v>4</v>
      </c>
      <c r="D1083">
        <v>2025</v>
      </c>
      <c r="E1083">
        <v>10644057</v>
      </c>
    </row>
    <row r="1084" spans="1:5" x14ac:dyDescent="0.25">
      <c r="A1084">
        <v>1</v>
      </c>
      <c r="B1084">
        <v>0</v>
      </c>
      <c r="C1084">
        <v>4</v>
      </c>
      <c r="D1084">
        <v>2026</v>
      </c>
      <c r="E1084">
        <v>10823122</v>
      </c>
    </row>
    <row r="1085" spans="1:5" x14ac:dyDescent="0.25">
      <c r="A1085">
        <v>1</v>
      </c>
      <c r="B1085">
        <v>0</v>
      </c>
      <c r="C1085">
        <v>4</v>
      </c>
      <c r="D1085">
        <v>2027</v>
      </c>
      <c r="E1085">
        <v>11002081</v>
      </c>
    </row>
    <row r="1086" spans="1:5" x14ac:dyDescent="0.25">
      <c r="A1086">
        <v>1</v>
      </c>
      <c r="B1086">
        <v>0</v>
      </c>
      <c r="C1086">
        <v>4</v>
      </c>
      <c r="D1086">
        <v>2028</v>
      </c>
      <c r="E1086">
        <v>11180406</v>
      </c>
    </row>
    <row r="1087" spans="1:5" x14ac:dyDescent="0.25">
      <c r="A1087">
        <v>1</v>
      </c>
      <c r="B1087">
        <v>0</v>
      </c>
      <c r="C1087">
        <v>4</v>
      </c>
      <c r="D1087">
        <v>2029</v>
      </c>
      <c r="E1087">
        <v>11358424</v>
      </c>
    </row>
    <row r="1088" spans="1:5" x14ac:dyDescent="0.25">
      <c r="A1088">
        <v>1</v>
      </c>
      <c r="B1088">
        <v>0</v>
      </c>
      <c r="C1088">
        <v>4</v>
      </c>
      <c r="D1088">
        <v>2030</v>
      </c>
      <c r="E1088">
        <v>11535300</v>
      </c>
    </row>
    <row r="1089" spans="1:5" x14ac:dyDescent="0.25">
      <c r="A1089">
        <v>1</v>
      </c>
      <c r="B1089">
        <v>0</v>
      </c>
      <c r="C1089">
        <v>4</v>
      </c>
      <c r="D1089">
        <v>2031</v>
      </c>
      <c r="E1089">
        <v>11709965</v>
      </c>
    </row>
    <row r="1090" spans="1:5" x14ac:dyDescent="0.25">
      <c r="A1090">
        <v>1</v>
      </c>
      <c r="B1090">
        <v>0</v>
      </c>
      <c r="C1090">
        <v>4</v>
      </c>
      <c r="D1090">
        <v>2032</v>
      </c>
      <c r="E1090">
        <v>11881323</v>
      </c>
    </row>
    <row r="1091" spans="1:5" x14ac:dyDescent="0.25">
      <c r="A1091">
        <v>1</v>
      </c>
      <c r="B1091">
        <v>0</v>
      </c>
      <c r="C1091">
        <v>4</v>
      </c>
      <c r="D1091">
        <v>2033</v>
      </c>
      <c r="E1091">
        <v>12052206</v>
      </c>
    </row>
    <row r="1092" spans="1:5" x14ac:dyDescent="0.25">
      <c r="A1092">
        <v>1</v>
      </c>
      <c r="B1092">
        <v>0</v>
      </c>
      <c r="C1092">
        <v>4</v>
      </c>
      <c r="D1092">
        <v>2034</v>
      </c>
      <c r="E1092">
        <v>12222479</v>
      </c>
    </row>
    <row r="1093" spans="1:5" x14ac:dyDescent="0.25">
      <c r="A1093">
        <v>1</v>
      </c>
      <c r="B1093">
        <v>0</v>
      </c>
      <c r="C1093">
        <v>4</v>
      </c>
      <c r="D1093">
        <v>2035</v>
      </c>
      <c r="E1093">
        <v>12392120</v>
      </c>
    </row>
    <row r="1094" spans="1:5" x14ac:dyDescent="0.25">
      <c r="A1094">
        <v>1</v>
      </c>
      <c r="B1094">
        <v>0</v>
      </c>
      <c r="C1094">
        <v>4</v>
      </c>
      <c r="D1094">
        <v>2036</v>
      </c>
      <c r="E1094">
        <v>12561020</v>
      </c>
    </row>
    <row r="1095" spans="1:5" x14ac:dyDescent="0.25">
      <c r="A1095">
        <v>1</v>
      </c>
      <c r="B1095">
        <v>0</v>
      </c>
      <c r="C1095">
        <v>4</v>
      </c>
      <c r="D1095">
        <v>2037</v>
      </c>
      <c r="E1095">
        <v>12729128</v>
      </c>
    </row>
    <row r="1096" spans="1:5" x14ac:dyDescent="0.25">
      <c r="A1096">
        <v>1</v>
      </c>
      <c r="B1096">
        <v>0</v>
      </c>
      <c r="C1096">
        <v>4</v>
      </c>
      <c r="D1096">
        <v>2038</v>
      </c>
      <c r="E1096">
        <v>12896318</v>
      </c>
    </row>
    <row r="1097" spans="1:5" x14ac:dyDescent="0.25">
      <c r="A1097">
        <v>1</v>
      </c>
      <c r="B1097">
        <v>0</v>
      </c>
      <c r="C1097">
        <v>4</v>
      </c>
      <c r="D1097">
        <v>2039</v>
      </c>
      <c r="E1097">
        <v>13062605</v>
      </c>
    </row>
    <row r="1098" spans="1:5" x14ac:dyDescent="0.25">
      <c r="A1098">
        <v>1</v>
      </c>
      <c r="B1098">
        <v>0</v>
      </c>
      <c r="C1098">
        <v>4</v>
      </c>
      <c r="D1098">
        <v>2040</v>
      </c>
      <c r="E1098">
        <v>13227980</v>
      </c>
    </row>
    <row r="1099" spans="1:5" x14ac:dyDescent="0.25">
      <c r="A1099">
        <v>1</v>
      </c>
      <c r="B1099">
        <v>0</v>
      </c>
      <c r="C1099">
        <v>4</v>
      </c>
      <c r="D1099">
        <v>2041</v>
      </c>
      <c r="E1099">
        <v>13392412</v>
      </c>
    </row>
    <row r="1100" spans="1:5" x14ac:dyDescent="0.25">
      <c r="A1100">
        <v>1</v>
      </c>
      <c r="B1100">
        <v>0</v>
      </c>
      <c r="C1100">
        <v>4</v>
      </c>
      <c r="D1100">
        <v>2042</v>
      </c>
      <c r="E1100">
        <v>13555928</v>
      </c>
    </row>
    <row r="1101" spans="1:5" x14ac:dyDescent="0.25">
      <c r="A1101">
        <v>1</v>
      </c>
      <c r="B1101">
        <v>0</v>
      </c>
      <c r="C1101">
        <v>4</v>
      </c>
      <c r="D1101">
        <v>2043</v>
      </c>
      <c r="E1101">
        <v>13718568</v>
      </c>
    </row>
    <row r="1102" spans="1:5" x14ac:dyDescent="0.25">
      <c r="A1102">
        <v>1</v>
      </c>
      <c r="B1102">
        <v>0</v>
      </c>
      <c r="C1102">
        <v>4</v>
      </c>
      <c r="D1102">
        <v>2044</v>
      </c>
      <c r="E1102">
        <v>13880364</v>
      </c>
    </row>
    <row r="1103" spans="1:5" x14ac:dyDescent="0.25">
      <c r="A1103">
        <v>1</v>
      </c>
      <c r="B1103">
        <v>0</v>
      </c>
      <c r="C1103">
        <v>4</v>
      </c>
      <c r="D1103">
        <v>2045</v>
      </c>
      <c r="E1103">
        <v>14041275</v>
      </c>
    </row>
    <row r="1104" spans="1:5" x14ac:dyDescent="0.25">
      <c r="A1104">
        <v>1</v>
      </c>
      <c r="B1104">
        <v>0</v>
      </c>
      <c r="C1104">
        <v>4</v>
      </c>
      <c r="D1104">
        <v>2046</v>
      </c>
      <c r="E1104">
        <v>14201306</v>
      </c>
    </row>
    <row r="1105" spans="1:5" x14ac:dyDescent="0.25">
      <c r="A1105">
        <v>1</v>
      </c>
      <c r="B1105">
        <v>0</v>
      </c>
      <c r="C1105">
        <v>4</v>
      </c>
      <c r="D1105">
        <v>2047</v>
      </c>
      <c r="E1105">
        <v>14360382</v>
      </c>
    </row>
    <row r="1106" spans="1:5" x14ac:dyDescent="0.25">
      <c r="A1106">
        <v>1</v>
      </c>
      <c r="B1106">
        <v>0</v>
      </c>
      <c r="C1106">
        <v>4</v>
      </c>
      <c r="D1106">
        <v>2048</v>
      </c>
      <c r="E1106">
        <v>14518458</v>
      </c>
    </row>
    <row r="1107" spans="1:5" x14ac:dyDescent="0.25">
      <c r="A1107">
        <v>1</v>
      </c>
      <c r="B1107">
        <v>0</v>
      </c>
      <c r="C1107">
        <v>4</v>
      </c>
      <c r="D1107">
        <v>2049</v>
      </c>
      <c r="E1107">
        <v>14675447</v>
      </c>
    </row>
    <row r="1108" spans="1:5" x14ac:dyDescent="0.25">
      <c r="A1108">
        <v>1</v>
      </c>
      <c r="B1108">
        <v>0</v>
      </c>
      <c r="C1108">
        <v>4</v>
      </c>
      <c r="D1108">
        <v>2050</v>
      </c>
      <c r="E1108">
        <v>14831266</v>
      </c>
    </row>
    <row r="1109" spans="1:5" x14ac:dyDescent="0.25">
      <c r="A1109">
        <v>1</v>
      </c>
      <c r="B1109">
        <v>0</v>
      </c>
      <c r="C1109">
        <v>5</v>
      </c>
      <c r="D1109">
        <v>2024</v>
      </c>
      <c r="E1109">
        <v>458096</v>
      </c>
    </row>
    <row r="1110" spans="1:5" x14ac:dyDescent="0.25">
      <c r="A1110">
        <v>1</v>
      </c>
      <c r="B1110">
        <v>0</v>
      </c>
      <c r="C1110">
        <v>5</v>
      </c>
      <c r="D1110">
        <v>2025</v>
      </c>
      <c r="E1110">
        <v>463508</v>
      </c>
    </row>
    <row r="1111" spans="1:5" x14ac:dyDescent="0.25">
      <c r="A1111">
        <v>1</v>
      </c>
      <c r="B1111">
        <v>0</v>
      </c>
      <c r="C1111">
        <v>5</v>
      </c>
      <c r="D1111">
        <v>2026</v>
      </c>
      <c r="E1111">
        <v>468883</v>
      </c>
    </row>
    <row r="1112" spans="1:5" x14ac:dyDescent="0.25">
      <c r="A1112">
        <v>1</v>
      </c>
      <c r="B1112">
        <v>0</v>
      </c>
      <c r="C1112">
        <v>5</v>
      </c>
      <c r="D1112">
        <v>2027</v>
      </c>
      <c r="E1112">
        <v>474203</v>
      </c>
    </row>
    <row r="1113" spans="1:5" x14ac:dyDescent="0.25">
      <c r="A1113">
        <v>1</v>
      </c>
      <c r="B1113">
        <v>0</v>
      </c>
      <c r="C1113">
        <v>5</v>
      </c>
      <c r="D1113">
        <v>2028</v>
      </c>
      <c r="E1113">
        <v>479488</v>
      </c>
    </row>
    <row r="1114" spans="1:5" x14ac:dyDescent="0.25">
      <c r="A1114">
        <v>1</v>
      </c>
      <c r="B1114">
        <v>0</v>
      </c>
      <c r="C1114">
        <v>5</v>
      </c>
      <c r="D1114">
        <v>2029</v>
      </c>
      <c r="E1114">
        <v>484710</v>
      </c>
    </row>
    <row r="1115" spans="1:5" x14ac:dyDescent="0.25">
      <c r="A1115">
        <v>1</v>
      </c>
      <c r="B1115">
        <v>0</v>
      </c>
      <c r="C1115">
        <v>5</v>
      </c>
      <c r="D1115">
        <v>2030</v>
      </c>
      <c r="E1115">
        <v>489890</v>
      </c>
    </row>
    <row r="1116" spans="1:5" x14ac:dyDescent="0.25">
      <c r="A1116">
        <v>1</v>
      </c>
      <c r="B1116">
        <v>0</v>
      </c>
      <c r="C1116">
        <v>5</v>
      </c>
      <c r="D1116">
        <v>2031</v>
      </c>
      <c r="E1116">
        <v>494991</v>
      </c>
    </row>
    <row r="1117" spans="1:5" x14ac:dyDescent="0.25">
      <c r="A1117">
        <v>1</v>
      </c>
      <c r="B1117">
        <v>0</v>
      </c>
      <c r="C1117">
        <v>5</v>
      </c>
      <c r="D1117">
        <v>2032</v>
      </c>
      <c r="E1117">
        <v>499985</v>
      </c>
    </row>
    <row r="1118" spans="1:5" x14ac:dyDescent="0.25">
      <c r="A1118">
        <v>1</v>
      </c>
      <c r="B1118">
        <v>0</v>
      </c>
      <c r="C1118">
        <v>5</v>
      </c>
      <c r="D1118">
        <v>2033</v>
      </c>
      <c r="E1118">
        <v>504947</v>
      </c>
    </row>
    <row r="1119" spans="1:5" x14ac:dyDescent="0.25">
      <c r="A1119">
        <v>1</v>
      </c>
      <c r="B1119">
        <v>0</v>
      </c>
      <c r="C1119">
        <v>5</v>
      </c>
      <c r="D1119">
        <v>2034</v>
      </c>
      <c r="E1119">
        <v>509894</v>
      </c>
    </row>
    <row r="1120" spans="1:5" x14ac:dyDescent="0.25">
      <c r="A1120">
        <v>1</v>
      </c>
      <c r="B1120">
        <v>0</v>
      </c>
      <c r="C1120">
        <v>5</v>
      </c>
      <c r="D1120">
        <v>2035</v>
      </c>
      <c r="E1120">
        <v>514811</v>
      </c>
    </row>
    <row r="1121" spans="1:5" x14ac:dyDescent="0.25">
      <c r="A1121">
        <v>1</v>
      </c>
      <c r="B1121">
        <v>0</v>
      </c>
      <c r="C1121">
        <v>5</v>
      </c>
      <c r="D1121">
        <v>2036</v>
      </c>
      <c r="E1121">
        <v>519714</v>
      </c>
    </row>
    <row r="1122" spans="1:5" x14ac:dyDescent="0.25">
      <c r="A1122">
        <v>1</v>
      </c>
      <c r="B1122">
        <v>0</v>
      </c>
      <c r="C1122">
        <v>5</v>
      </c>
      <c r="D1122">
        <v>2037</v>
      </c>
      <c r="E1122">
        <v>524593</v>
      </c>
    </row>
    <row r="1123" spans="1:5" x14ac:dyDescent="0.25">
      <c r="A1123">
        <v>1</v>
      </c>
      <c r="B1123">
        <v>0</v>
      </c>
      <c r="C1123">
        <v>5</v>
      </c>
      <c r="D1123">
        <v>2038</v>
      </c>
      <c r="E1123">
        <v>529449</v>
      </c>
    </row>
    <row r="1124" spans="1:5" x14ac:dyDescent="0.25">
      <c r="A1124">
        <v>1</v>
      </c>
      <c r="B1124">
        <v>0</v>
      </c>
      <c r="C1124">
        <v>5</v>
      </c>
      <c r="D1124">
        <v>2039</v>
      </c>
      <c r="E1124">
        <v>534291</v>
      </c>
    </row>
    <row r="1125" spans="1:5" x14ac:dyDescent="0.25">
      <c r="A1125">
        <v>1</v>
      </c>
      <c r="B1125">
        <v>0</v>
      </c>
      <c r="C1125">
        <v>5</v>
      </c>
      <c r="D1125">
        <v>2040</v>
      </c>
      <c r="E1125">
        <v>539121</v>
      </c>
    </row>
    <row r="1126" spans="1:5" x14ac:dyDescent="0.25">
      <c r="A1126">
        <v>1</v>
      </c>
      <c r="B1126">
        <v>0</v>
      </c>
      <c r="C1126">
        <v>5</v>
      </c>
      <c r="D1126">
        <v>2041</v>
      </c>
      <c r="E1126">
        <v>543937</v>
      </c>
    </row>
    <row r="1127" spans="1:5" x14ac:dyDescent="0.25">
      <c r="A1127">
        <v>1</v>
      </c>
      <c r="B1127">
        <v>0</v>
      </c>
      <c r="C1127">
        <v>5</v>
      </c>
      <c r="D1127">
        <v>2042</v>
      </c>
      <c r="E1127">
        <v>548720</v>
      </c>
    </row>
    <row r="1128" spans="1:5" x14ac:dyDescent="0.25">
      <c r="A1128">
        <v>1</v>
      </c>
      <c r="B1128">
        <v>0</v>
      </c>
      <c r="C1128">
        <v>5</v>
      </c>
      <c r="D1128">
        <v>2043</v>
      </c>
      <c r="E1128">
        <v>553458</v>
      </c>
    </row>
    <row r="1129" spans="1:5" x14ac:dyDescent="0.25">
      <c r="A1129">
        <v>1</v>
      </c>
      <c r="B1129">
        <v>0</v>
      </c>
      <c r="C1129">
        <v>5</v>
      </c>
      <c r="D1129">
        <v>2044</v>
      </c>
      <c r="E1129">
        <v>558180</v>
      </c>
    </row>
    <row r="1130" spans="1:5" x14ac:dyDescent="0.25">
      <c r="A1130">
        <v>1</v>
      </c>
      <c r="B1130">
        <v>0</v>
      </c>
      <c r="C1130">
        <v>5</v>
      </c>
      <c r="D1130">
        <v>2045</v>
      </c>
      <c r="E1130">
        <v>562852</v>
      </c>
    </row>
    <row r="1131" spans="1:5" x14ac:dyDescent="0.25">
      <c r="A1131">
        <v>1</v>
      </c>
      <c r="B1131">
        <v>0</v>
      </c>
      <c r="C1131">
        <v>5</v>
      </c>
      <c r="D1131">
        <v>2046</v>
      </c>
      <c r="E1131">
        <v>567476</v>
      </c>
    </row>
    <row r="1132" spans="1:5" x14ac:dyDescent="0.25">
      <c r="A1132">
        <v>1</v>
      </c>
      <c r="B1132">
        <v>0</v>
      </c>
      <c r="C1132">
        <v>5</v>
      </c>
      <c r="D1132">
        <v>2047</v>
      </c>
      <c r="E1132">
        <v>572076</v>
      </c>
    </row>
    <row r="1133" spans="1:5" x14ac:dyDescent="0.25">
      <c r="A1133">
        <v>1</v>
      </c>
      <c r="B1133">
        <v>0</v>
      </c>
      <c r="C1133">
        <v>5</v>
      </c>
      <c r="D1133">
        <v>2048</v>
      </c>
      <c r="E1133">
        <v>576593</v>
      </c>
    </row>
    <row r="1134" spans="1:5" x14ac:dyDescent="0.25">
      <c r="A1134">
        <v>1</v>
      </c>
      <c r="B1134">
        <v>0</v>
      </c>
      <c r="C1134">
        <v>5</v>
      </c>
      <c r="D1134">
        <v>2049</v>
      </c>
      <c r="E1134">
        <v>581069</v>
      </c>
    </row>
    <row r="1135" spans="1:5" x14ac:dyDescent="0.25">
      <c r="A1135">
        <v>1</v>
      </c>
      <c r="B1135">
        <v>0</v>
      </c>
      <c r="C1135">
        <v>5</v>
      </c>
      <c r="D1135">
        <v>2050</v>
      </c>
      <c r="E1135">
        <v>585460</v>
      </c>
    </row>
    <row r="1136" spans="1:5" x14ac:dyDescent="0.25">
      <c r="A1136">
        <v>1</v>
      </c>
      <c r="B1136">
        <v>0</v>
      </c>
      <c r="C1136">
        <v>6</v>
      </c>
      <c r="D1136">
        <v>2024</v>
      </c>
      <c r="E1136">
        <v>5276636</v>
      </c>
    </row>
    <row r="1137" spans="1:5" x14ac:dyDescent="0.25">
      <c r="A1137">
        <v>1</v>
      </c>
      <c r="B1137">
        <v>0</v>
      </c>
      <c r="C1137">
        <v>6</v>
      </c>
      <c r="D1137">
        <v>2025</v>
      </c>
      <c r="E1137">
        <v>5412248</v>
      </c>
    </row>
    <row r="1138" spans="1:5" x14ac:dyDescent="0.25">
      <c r="A1138">
        <v>1</v>
      </c>
      <c r="B1138">
        <v>0</v>
      </c>
      <c r="C1138">
        <v>6</v>
      </c>
      <c r="D1138">
        <v>2026</v>
      </c>
      <c r="E1138">
        <v>5550294</v>
      </c>
    </row>
    <row r="1139" spans="1:5" x14ac:dyDescent="0.25">
      <c r="A1139">
        <v>1</v>
      </c>
      <c r="B1139">
        <v>0</v>
      </c>
      <c r="C1139">
        <v>6</v>
      </c>
      <c r="D1139">
        <v>2027</v>
      </c>
      <c r="E1139">
        <v>5690724</v>
      </c>
    </row>
    <row r="1140" spans="1:5" x14ac:dyDescent="0.25">
      <c r="A1140">
        <v>1</v>
      </c>
      <c r="B1140">
        <v>0</v>
      </c>
      <c r="C1140">
        <v>6</v>
      </c>
      <c r="D1140">
        <v>2028</v>
      </c>
      <c r="E1140">
        <v>5833579</v>
      </c>
    </row>
    <row r="1141" spans="1:5" x14ac:dyDescent="0.25">
      <c r="A1141">
        <v>1</v>
      </c>
      <c r="B1141">
        <v>0</v>
      </c>
      <c r="C1141">
        <v>6</v>
      </c>
      <c r="D1141">
        <v>2029</v>
      </c>
      <c r="E1141">
        <v>5978737</v>
      </c>
    </row>
    <row r="1142" spans="1:5" x14ac:dyDescent="0.25">
      <c r="A1142">
        <v>1</v>
      </c>
      <c r="B1142">
        <v>0</v>
      </c>
      <c r="C1142">
        <v>6</v>
      </c>
      <c r="D1142">
        <v>2030</v>
      </c>
      <c r="E1142">
        <v>6126193</v>
      </c>
    </row>
    <row r="1143" spans="1:5" x14ac:dyDescent="0.25">
      <c r="A1143">
        <v>1</v>
      </c>
      <c r="B1143">
        <v>0</v>
      </c>
      <c r="C1143">
        <v>6</v>
      </c>
      <c r="D1143">
        <v>2031</v>
      </c>
      <c r="E1143">
        <v>6275773</v>
      </c>
    </row>
    <row r="1144" spans="1:5" x14ac:dyDescent="0.25">
      <c r="A1144">
        <v>1</v>
      </c>
      <c r="B1144">
        <v>0</v>
      </c>
      <c r="C1144">
        <v>6</v>
      </c>
      <c r="D1144">
        <v>2032</v>
      </c>
      <c r="E1144">
        <v>6427473</v>
      </c>
    </row>
    <row r="1145" spans="1:5" x14ac:dyDescent="0.25">
      <c r="A1145">
        <v>1</v>
      </c>
      <c r="B1145">
        <v>0</v>
      </c>
      <c r="C1145">
        <v>6</v>
      </c>
      <c r="D1145">
        <v>2033</v>
      </c>
      <c r="E1145">
        <v>6581289</v>
      </c>
    </row>
    <row r="1146" spans="1:5" x14ac:dyDescent="0.25">
      <c r="A1146">
        <v>1</v>
      </c>
      <c r="B1146">
        <v>0</v>
      </c>
      <c r="C1146">
        <v>6</v>
      </c>
      <c r="D1146">
        <v>2034</v>
      </c>
      <c r="E1146">
        <v>6737093</v>
      </c>
    </row>
    <row r="1147" spans="1:5" x14ac:dyDescent="0.25">
      <c r="A1147">
        <v>1</v>
      </c>
      <c r="B1147">
        <v>0</v>
      </c>
      <c r="C1147">
        <v>6</v>
      </c>
      <c r="D1147">
        <v>2035</v>
      </c>
      <c r="E1147">
        <v>6894786</v>
      </c>
    </row>
    <row r="1148" spans="1:5" x14ac:dyDescent="0.25">
      <c r="A1148">
        <v>1</v>
      </c>
      <c r="B1148">
        <v>0</v>
      </c>
      <c r="C1148">
        <v>6</v>
      </c>
      <c r="D1148">
        <v>2036</v>
      </c>
      <c r="E1148">
        <v>7054252</v>
      </c>
    </row>
    <row r="1149" spans="1:5" x14ac:dyDescent="0.25">
      <c r="A1149">
        <v>1</v>
      </c>
      <c r="B1149">
        <v>0</v>
      </c>
      <c r="C1149">
        <v>6</v>
      </c>
      <c r="D1149">
        <v>2037</v>
      </c>
      <c r="E1149">
        <v>7215262</v>
      </c>
    </row>
    <row r="1150" spans="1:5" x14ac:dyDescent="0.25">
      <c r="A1150">
        <v>1</v>
      </c>
      <c r="B1150">
        <v>0</v>
      </c>
      <c r="C1150">
        <v>6</v>
      </c>
      <c r="D1150">
        <v>2038</v>
      </c>
      <c r="E1150">
        <v>7377732</v>
      </c>
    </row>
    <row r="1151" spans="1:5" x14ac:dyDescent="0.25">
      <c r="A1151">
        <v>1</v>
      </c>
      <c r="B1151">
        <v>0</v>
      </c>
      <c r="C1151">
        <v>6</v>
      </c>
      <c r="D1151">
        <v>2039</v>
      </c>
      <c r="E1151">
        <v>7541386</v>
      </c>
    </row>
    <row r="1152" spans="1:5" x14ac:dyDescent="0.25">
      <c r="A1152">
        <v>1</v>
      </c>
      <c r="B1152">
        <v>0</v>
      </c>
      <c r="C1152">
        <v>6</v>
      </c>
      <c r="D1152">
        <v>2040</v>
      </c>
      <c r="E1152">
        <v>7706099</v>
      </c>
    </row>
    <row r="1153" spans="1:5" x14ac:dyDescent="0.25">
      <c r="A1153">
        <v>1</v>
      </c>
      <c r="B1153">
        <v>0</v>
      </c>
      <c r="C1153">
        <v>6</v>
      </c>
      <c r="D1153">
        <v>2041</v>
      </c>
      <c r="E1153">
        <v>7871665</v>
      </c>
    </row>
    <row r="1154" spans="1:5" x14ac:dyDescent="0.25">
      <c r="A1154">
        <v>1</v>
      </c>
      <c r="B1154">
        <v>0</v>
      </c>
      <c r="C1154">
        <v>6</v>
      </c>
      <c r="D1154">
        <v>2042</v>
      </c>
      <c r="E1154">
        <v>8038004</v>
      </c>
    </row>
    <row r="1155" spans="1:5" x14ac:dyDescent="0.25">
      <c r="A1155">
        <v>1</v>
      </c>
      <c r="B1155">
        <v>0</v>
      </c>
      <c r="C1155">
        <v>6</v>
      </c>
      <c r="D1155">
        <v>2043</v>
      </c>
      <c r="E1155">
        <v>8205042</v>
      </c>
    </row>
    <row r="1156" spans="1:5" x14ac:dyDescent="0.25">
      <c r="A1156">
        <v>1</v>
      </c>
      <c r="B1156">
        <v>0</v>
      </c>
      <c r="C1156">
        <v>6</v>
      </c>
      <c r="D1156">
        <v>2044</v>
      </c>
      <c r="E1156">
        <v>8372762</v>
      </c>
    </row>
    <row r="1157" spans="1:5" x14ac:dyDescent="0.25">
      <c r="A1157">
        <v>1</v>
      </c>
      <c r="B1157">
        <v>0</v>
      </c>
      <c r="C1157">
        <v>6</v>
      </c>
      <c r="D1157">
        <v>2045</v>
      </c>
      <c r="E1157">
        <v>8541188</v>
      </c>
    </row>
    <row r="1158" spans="1:5" x14ac:dyDescent="0.25">
      <c r="A1158">
        <v>1</v>
      </c>
      <c r="B1158">
        <v>0</v>
      </c>
      <c r="C1158">
        <v>6</v>
      </c>
      <c r="D1158">
        <v>2046</v>
      </c>
      <c r="E1158">
        <v>8710195</v>
      </c>
    </row>
    <row r="1159" spans="1:5" x14ac:dyDescent="0.25">
      <c r="A1159">
        <v>1</v>
      </c>
      <c r="B1159">
        <v>0</v>
      </c>
      <c r="C1159">
        <v>6</v>
      </c>
      <c r="D1159">
        <v>2047</v>
      </c>
      <c r="E1159">
        <v>8879808</v>
      </c>
    </row>
    <row r="1160" spans="1:5" x14ac:dyDescent="0.25">
      <c r="A1160">
        <v>1</v>
      </c>
      <c r="B1160">
        <v>0</v>
      </c>
      <c r="C1160">
        <v>6</v>
      </c>
      <c r="D1160">
        <v>2048</v>
      </c>
      <c r="E1160">
        <v>9050110</v>
      </c>
    </row>
    <row r="1161" spans="1:5" x14ac:dyDescent="0.25">
      <c r="A1161">
        <v>1</v>
      </c>
      <c r="B1161">
        <v>0</v>
      </c>
      <c r="C1161">
        <v>6</v>
      </c>
      <c r="D1161">
        <v>2049</v>
      </c>
      <c r="E1161">
        <v>9221043</v>
      </c>
    </row>
    <row r="1162" spans="1:5" x14ac:dyDescent="0.25">
      <c r="A1162">
        <v>1</v>
      </c>
      <c r="B1162">
        <v>0</v>
      </c>
      <c r="C1162">
        <v>6</v>
      </c>
      <c r="D1162">
        <v>2050</v>
      </c>
      <c r="E1162">
        <v>9392612</v>
      </c>
    </row>
    <row r="1163" spans="1:5" x14ac:dyDescent="0.25">
      <c r="A1163">
        <v>1</v>
      </c>
      <c r="B1163">
        <v>0</v>
      </c>
      <c r="C1163">
        <v>7</v>
      </c>
      <c r="D1163">
        <v>2024</v>
      </c>
      <c r="E1163">
        <v>130953673</v>
      </c>
    </row>
    <row r="1164" spans="1:5" x14ac:dyDescent="0.25">
      <c r="A1164">
        <v>1</v>
      </c>
      <c r="B1164">
        <v>0</v>
      </c>
      <c r="C1164">
        <v>7</v>
      </c>
      <c r="D1164">
        <v>2025</v>
      </c>
      <c r="E1164">
        <v>131346162</v>
      </c>
    </row>
    <row r="1165" spans="1:5" x14ac:dyDescent="0.25">
      <c r="A1165">
        <v>1</v>
      </c>
      <c r="B1165">
        <v>0</v>
      </c>
      <c r="C1165">
        <v>7</v>
      </c>
      <c r="D1165">
        <v>2026</v>
      </c>
      <c r="E1165">
        <v>131717682</v>
      </c>
    </row>
    <row r="1166" spans="1:5" x14ac:dyDescent="0.25">
      <c r="A1166">
        <v>1</v>
      </c>
      <c r="B1166">
        <v>0</v>
      </c>
      <c r="C1166">
        <v>7</v>
      </c>
      <c r="D1166">
        <v>2027</v>
      </c>
      <c r="E1166">
        <v>132068204</v>
      </c>
    </row>
    <row r="1167" spans="1:5" x14ac:dyDescent="0.25">
      <c r="A1167">
        <v>1</v>
      </c>
      <c r="B1167">
        <v>0</v>
      </c>
      <c r="C1167">
        <v>7</v>
      </c>
      <c r="D1167">
        <v>2028</v>
      </c>
      <c r="E1167">
        <v>132397256</v>
      </c>
    </row>
    <row r="1168" spans="1:5" x14ac:dyDescent="0.25">
      <c r="A1168">
        <v>1</v>
      </c>
      <c r="B1168">
        <v>0</v>
      </c>
      <c r="C1168">
        <v>7</v>
      </c>
      <c r="D1168">
        <v>2029</v>
      </c>
      <c r="E1168">
        <v>132704506</v>
      </c>
    </row>
    <row r="1169" spans="1:5" x14ac:dyDescent="0.25">
      <c r="A1169">
        <v>1</v>
      </c>
      <c r="B1169">
        <v>0</v>
      </c>
      <c r="C1169">
        <v>7</v>
      </c>
      <c r="D1169">
        <v>2030</v>
      </c>
      <c r="E1169">
        <v>132989859</v>
      </c>
    </row>
    <row r="1170" spans="1:5" x14ac:dyDescent="0.25">
      <c r="A1170">
        <v>1</v>
      </c>
      <c r="B1170">
        <v>0</v>
      </c>
      <c r="C1170">
        <v>7</v>
      </c>
      <c r="D1170">
        <v>2031</v>
      </c>
      <c r="E1170">
        <v>133252912</v>
      </c>
    </row>
    <row r="1171" spans="1:5" x14ac:dyDescent="0.25">
      <c r="A1171">
        <v>1</v>
      </c>
      <c r="B1171">
        <v>0</v>
      </c>
      <c r="C1171">
        <v>7</v>
      </c>
      <c r="D1171">
        <v>2032</v>
      </c>
      <c r="E1171">
        <v>133492774</v>
      </c>
    </row>
    <row r="1172" spans="1:5" x14ac:dyDescent="0.25">
      <c r="A1172">
        <v>1</v>
      </c>
      <c r="B1172">
        <v>0</v>
      </c>
      <c r="C1172">
        <v>7</v>
      </c>
      <c r="D1172">
        <v>2033</v>
      </c>
      <c r="E1172">
        <v>133711612</v>
      </c>
    </row>
    <row r="1173" spans="1:5" x14ac:dyDescent="0.25">
      <c r="A1173">
        <v>1</v>
      </c>
      <c r="B1173">
        <v>0</v>
      </c>
      <c r="C1173">
        <v>7</v>
      </c>
      <c r="D1173">
        <v>2034</v>
      </c>
      <c r="E1173">
        <v>133909072</v>
      </c>
    </row>
    <row r="1174" spans="1:5" x14ac:dyDescent="0.25">
      <c r="A1174">
        <v>1</v>
      </c>
      <c r="B1174">
        <v>0</v>
      </c>
      <c r="C1174">
        <v>7</v>
      </c>
      <c r="D1174">
        <v>2035</v>
      </c>
      <c r="E1174">
        <v>134084924</v>
      </c>
    </row>
    <row r="1175" spans="1:5" x14ac:dyDescent="0.25">
      <c r="A1175">
        <v>1</v>
      </c>
      <c r="B1175">
        <v>0</v>
      </c>
      <c r="C1175">
        <v>7</v>
      </c>
      <c r="D1175">
        <v>2036</v>
      </c>
      <c r="E1175">
        <v>134239059</v>
      </c>
    </row>
    <row r="1176" spans="1:5" x14ac:dyDescent="0.25">
      <c r="A1176">
        <v>1</v>
      </c>
      <c r="B1176">
        <v>0</v>
      </c>
      <c r="C1176">
        <v>7</v>
      </c>
      <c r="D1176">
        <v>2037</v>
      </c>
      <c r="E1176">
        <v>134371220</v>
      </c>
    </row>
    <row r="1177" spans="1:5" x14ac:dyDescent="0.25">
      <c r="A1177">
        <v>1</v>
      </c>
      <c r="B1177">
        <v>0</v>
      </c>
      <c r="C1177">
        <v>7</v>
      </c>
      <c r="D1177">
        <v>2038</v>
      </c>
      <c r="E1177">
        <v>134481428</v>
      </c>
    </row>
    <row r="1178" spans="1:5" x14ac:dyDescent="0.25">
      <c r="A1178">
        <v>1</v>
      </c>
      <c r="B1178">
        <v>0</v>
      </c>
      <c r="C1178">
        <v>7</v>
      </c>
      <c r="D1178">
        <v>2039</v>
      </c>
      <c r="E1178">
        <v>134569963</v>
      </c>
    </row>
    <row r="1179" spans="1:5" x14ac:dyDescent="0.25">
      <c r="A1179">
        <v>1</v>
      </c>
      <c r="B1179">
        <v>0</v>
      </c>
      <c r="C1179">
        <v>7</v>
      </c>
      <c r="D1179">
        <v>2040</v>
      </c>
      <c r="E1179">
        <v>134637167</v>
      </c>
    </row>
    <row r="1180" spans="1:5" x14ac:dyDescent="0.25">
      <c r="A1180">
        <v>1</v>
      </c>
      <c r="B1180">
        <v>0</v>
      </c>
      <c r="C1180">
        <v>7</v>
      </c>
      <c r="D1180">
        <v>2041</v>
      </c>
      <c r="E1180">
        <v>134683315</v>
      </c>
    </row>
    <row r="1181" spans="1:5" x14ac:dyDescent="0.25">
      <c r="A1181">
        <v>1</v>
      </c>
      <c r="B1181">
        <v>0</v>
      </c>
      <c r="C1181">
        <v>7</v>
      </c>
      <c r="D1181">
        <v>2042</v>
      </c>
      <c r="E1181">
        <v>134709573</v>
      </c>
    </row>
    <row r="1182" spans="1:5" x14ac:dyDescent="0.25">
      <c r="A1182">
        <v>1</v>
      </c>
      <c r="B1182">
        <v>0</v>
      </c>
      <c r="C1182">
        <v>7</v>
      </c>
      <c r="D1182">
        <v>2043</v>
      </c>
      <c r="E1182">
        <v>134717217</v>
      </c>
    </row>
    <row r="1183" spans="1:5" x14ac:dyDescent="0.25">
      <c r="A1183">
        <v>1</v>
      </c>
      <c r="B1183">
        <v>0</v>
      </c>
      <c r="C1183">
        <v>7</v>
      </c>
      <c r="D1183">
        <v>2044</v>
      </c>
      <c r="E1183">
        <v>134708069</v>
      </c>
    </row>
    <row r="1184" spans="1:5" x14ac:dyDescent="0.25">
      <c r="A1184">
        <v>1</v>
      </c>
      <c r="B1184">
        <v>0</v>
      </c>
      <c r="C1184">
        <v>7</v>
      </c>
      <c r="D1184">
        <v>2045</v>
      </c>
      <c r="E1184">
        <v>134684175</v>
      </c>
    </row>
    <row r="1185" spans="1:5" x14ac:dyDescent="0.25">
      <c r="A1185">
        <v>1</v>
      </c>
      <c r="B1185">
        <v>0</v>
      </c>
      <c r="C1185">
        <v>7</v>
      </c>
      <c r="D1185">
        <v>2046</v>
      </c>
      <c r="E1185">
        <v>134647477</v>
      </c>
    </row>
    <row r="1186" spans="1:5" x14ac:dyDescent="0.25">
      <c r="A1186">
        <v>1</v>
      </c>
      <c r="B1186">
        <v>0</v>
      </c>
      <c r="C1186">
        <v>7</v>
      </c>
      <c r="D1186">
        <v>2047</v>
      </c>
      <c r="E1186">
        <v>134599355</v>
      </c>
    </row>
    <row r="1187" spans="1:5" x14ac:dyDescent="0.25">
      <c r="A1187">
        <v>1</v>
      </c>
      <c r="B1187">
        <v>0</v>
      </c>
      <c r="C1187">
        <v>7</v>
      </c>
      <c r="D1187">
        <v>2048</v>
      </c>
      <c r="E1187">
        <v>134541820</v>
      </c>
    </row>
    <row r="1188" spans="1:5" x14ac:dyDescent="0.25">
      <c r="A1188">
        <v>1</v>
      </c>
      <c r="B1188">
        <v>0</v>
      </c>
      <c r="C1188">
        <v>7</v>
      </c>
      <c r="D1188">
        <v>2049</v>
      </c>
      <c r="E1188">
        <v>134476775</v>
      </c>
    </row>
    <row r="1189" spans="1:5" x14ac:dyDescent="0.25">
      <c r="A1189">
        <v>1</v>
      </c>
      <c r="B1189">
        <v>0</v>
      </c>
      <c r="C1189">
        <v>7</v>
      </c>
      <c r="D1189">
        <v>2050</v>
      </c>
      <c r="E1189">
        <v>134406020</v>
      </c>
    </row>
    <row r="1190" spans="1:5" x14ac:dyDescent="0.25">
      <c r="A1190">
        <v>1</v>
      </c>
      <c r="B1190">
        <v>0</v>
      </c>
      <c r="C1190">
        <v>8</v>
      </c>
      <c r="D1190">
        <v>2024</v>
      </c>
      <c r="E1190">
        <v>24604033</v>
      </c>
    </row>
    <row r="1191" spans="1:5" x14ac:dyDescent="0.25">
      <c r="A1191">
        <v>1</v>
      </c>
      <c r="B1191">
        <v>0</v>
      </c>
      <c r="C1191">
        <v>8</v>
      </c>
      <c r="D1191">
        <v>2025</v>
      </c>
      <c r="E1191">
        <v>24815553</v>
      </c>
    </row>
    <row r="1192" spans="1:5" x14ac:dyDescent="0.25">
      <c r="A1192">
        <v>1</v>
      </c>
      <c r="B1192">
        <v>0</v>
      </c>
      <c r="C1192">
        <v>8</v>
      </c>
      <c r="D1192">
        <v>2026</v>
      </c>
      <c r="E1192">
        <v>25028539</v>
      </c>
    </row>
    <row r="1193" spans="1:5" x14ac:dyDescent="0.25">
      <c r="A1193">
        <v>1</v>
      </c>
      <c r="B1193">
        <v>0</v>
      </c>
      <c r="C1193">
        <v>8</v>
      </c>
      <c r="D1193">
        <v>2027</v>
      </c>
      <c r="E1193">
        <v>25242856</v>
      </c>
    </row>
    <row r="1194" spans="1:5" x14ac:dyDescent="0.25">
      <c r="A1194">
        <v>1</v>
      </c>
      <c r="B1194">
        <v>0</v>
      </c>
      <c r="C1194">
        <v>8</v>
      </c>
      <c r="D1194">
        <v>2028</v>
      </c>
      <c r="E1194">
        <v>25457977</v>
      </c>
    </row>
    <row r="1195" spans="1:5" x14ac:dyDescent="0.25">
      <c r="A1195">
        <v>1</v>
      </c>
      <c r="B1195">
        <v>0</v>
      </c>
      <c r="C1195">
        <v>8</v>
      </c>
      <c r="D1195">
        <v>2029</v>
      </c>
      <c r="E1195">
        <v>25673351</v>
      </c>
    </row>
    <row r="1196" spans="1:5" x14ac:dyDescent="0.25">
      <c r="A1196">
        <v>1</v>
      </c>
      <c r="B1196">
        <v>0</v>
      </c>
      <c r="C1196">
        <v>8</v>
      </c>
      <c r="D1196">
        <v>2030</v>
      </c>
      <c r="E1196">
        <v>25888312</v>
      </c>
    </row>
    <row r="1197" spans="1:5" x14ac:dyDescent="0.25">
      <c r="A1197">
        <v>1</v>
      </c>
      <c r="B1197">
        <v>0</v>
      </c>
      <c r="C1197">
        <v>8</v>
      </c>
      <c r="D1197">
        <v>2031</v>
      </c>
      <c r="E1197">
        <v>26102469</v>
      </c>
    </row>
    <row r="1198" spans="1:5" x14ac:dyDescent="0.25">
      <c r="A1198">
        <v>1</v>
      </c>
      <c r="B1198">
        <v>0</v>
      </c>
      <c r="C1198">
        <v>8</v>
      </c>
      <c r="D1198">
        <v>2032</v>
      </c>
      <c r="E1198">
        <v>26315421</v>
      </c>
    </row>
    <row r="1199" spans="1:5" x14ac:dyDescent="0.25">
      <c r="A1199">
        <v>1</v>
      </c>
      <c r="B1199">
        <v>0</v>
      </c>
      <c r="C1199">
        <v>8</v>
      </c>
      <c r="D1199">
        <v>2033</v>
      </c>
      <c r="E1199">
        <v>26528095</v>
      </c>
    </row>
    <row r="1200" spans="1:5" x14ac:dyDescent="0.25">
      <c r="A1200">
        <v>1</v>
      </c>
      <c r="B1200">
        <v>0</v>
      </c>
      <c r="C1200">
        <v>8</v>
      </c>
      <c r="D1200">
        <v>2034</v>
      </c>
      <c r="E1200">
        <v>26740465</v>
      </c>
    </row>
    <row r="1201" spans="1:5" x14ac:dyDescent="0.25">
      <c r="A1201">
        <v>1</v>
      </c>
      <c r="B1201">
        <v>0</v>
      </c>
      <c r="C1201">
        <v>8</v>
      </c>
      <c r="D1201">
        <v>2035</v>
      </c>
      <c r="E1201">
        <v>26952491</v>
      </c>
    </row>
    <row r="1202" spans="1:5" x14ac:dyDescent="0.25">
      <c r="A1202">
        <v>1</v>
      </c>
      <c r="B1202">
        <v>0</v>
      </c>
      <c r="C1202">
        <v>8</v>
      </c>
      <c r="D1202">
        <v>2036</v>
      </c>
      <c r="E1202">
        <v>27164131</v>
      </c>
    </row>
    <row r="1203" spans="1:5" x14ac:dyDescent="0.25">
      <c r="A1203">
        <v>1</v>
      </c>
      <c r="B1203">
        <v>0</v>
      </c>
      <c r="C1203">
        <v>8</v>
      </c>
      <c r="D1203">
        <v>2037</v>
      </c>
      <c r="E1203">
        <v>27375314</v>
      </c>
    </row>
    <row r="1204" spans="1:5" x14ac:dyDescent="0.25">
      <c r="A1204">
        <v>1</v>
      </c>
      <c r="B1204">
        <v>0</v>
      </c>
      <c r="C1204">
        <v>8</v>
      </c>
      <c r="D1204">
        <v>2038</v>
      </c>
      <c r="E1204">
        <v>27586077</v>
      </c>
    </row>
    <row r="1205" spans="1:5" x14ac:dyDescent="0.25">
      <c r="A1205">
        <v>1</v>
      </c>
      <c r="B1205">
        <v>0</v>
      </c>
      <c r="C1205">
        <v>8</v>
      </c>
      <c r="D1205">
        <v>2039</v>
      </c>
      <c r="E1205">
        <v>27796339</v>
      </c>
    </row>
    <row r="1206" spans="1:5" x14ac:dyDescent="0.25">
      <c r="A1206">
        <v>1</v>
      </c>
      <c r="B1206">
        <v>0</v>
      </c>
      <c r="C1206">
        <v>8</v>
      </c>
      <c r="D1206">
        <v>2040</v>
      </c>
      <c r="E1206">
        <v>28006079</v>
      </c>
    </row>
    <row r="1207" spans="1:5" x14ac:dyDescent="0.25">
      <c r="A1207">
        <v>1</v>
      </c>
      <c r="B1207">
        <v>0</v>
      </c>
      <c r="C1207">
        <v>8</v>
      </c>
      <c r="D1207">
        <v>2041</v>
      </c>
      <c r="E1207">
        <v>28215175</v>
      </c>
    </row>
    <row r="1208" spans="1:5" x14ac:dyDescent="0.25">
      <c r="A1208">
        <v>1</v>
      </c>
      <c r="B1208">
        <v>0</v>
      </c>
      <c r="C1208">
        <v>8</v>
      </c>
      <c r="D1208">
        <v>2042</v>
      </c>
      <c r="E1208">
        <v>28423546</v>
      </c>
    </row>
    <row r="1209" spans="1:5" x14ac:dyDescent="0.25">
      <c r="A1209">
        <v>1</v>
      </c>
      <c r="B1209">
        <v>0</v>
      </c>
      <c r="C1209">
        <v>8</v>
      </c>
      <c r="D1209">
        <v>2043</v>
      </c>
      <c r="E1209">
        <v>28631235</v>
      </c>
    </row>
    <row r="1210" spans="1:5" x14ac:dyDescent="0.25">
      <c r="A1210">
        <v>1</v>
      </c>
      <c r="B1210">
        <v>0</v>
      </c>
      <c r="C1210">
        <v>8</v>
      </c>
      <c r="D1210">
        <v>2044</v>
      </c>
      <c r="E1210">
        <v>28838256</v>
      </c>
    </row>
    <row r="1211" spans="1:5" x14ac:dyDescent="0.25">
      <c r="A1211">
        <v>1</v>
      </c>
      <c r="B1211">
        <v>0</v>
      </c>
      <c r="C1211">
        <v>8</v>
      </c>
      <c r="D1211">
        <v>2045</v>
      </c>
      <c r="E1211">
        <v>29044701</v>
      </c>
    </row>
    <row r="1212" spans="1:5" x14ac:dyDescent="0.25">
      <c r="A1212">
        <v>1</v>
      </c>
      <c r="B1212">
        <v>0</v>
      </c>
      <c r="C1212">
        <v>8</v>
      </c>
      <c r="D1212">
        <v>2046</v>
      </c>
      <c r="E1212">
        <v>29250765</v>
      </c>
    </row>
    <row r="1213" spans="1:5" x14ac:dyDescent="0.25">
      <c r="A1213">
        <v>1</v>
      </c>
      <c r="B1213">
        <v>0</v>
      </c>
      <c r="C1213">
        <v>8</v>
      </c>
      <c r="D1213">
        <v>2047</v>
      </c>
      <c r="E1213">
        <v>29456558</v>
      </c>
    </row>
    <row r="1214" spans="1:5" x14ac:dyDescent="0.25">
      <c r="A1214">
        <v>1</v>
      </c>
      <c r="B1214">
        <v>0</v>
      </c>
      <c r="C1214">
        <v>8</v>
      </c>
      <c r="D1214">
        <v>2048</v>
      </c>
      <c r="E1214">
        <v>29662238</v>
      </c>
    </row>
    <row r="1215" spans="1:5" x14ac:dyDescent="0.25">
      <c r="A1215">
        <v>1</v>
      </c>
      <c r="B1215">
        <v>0</v>
      </c>
      <c r="C1215">
        <v>8</v>
      </c>
      <c r="D1215">
        <v>2049</v>
      </c>
      <c r="E1215">
        <v>29867975</v>
      </c>
    </row>
    <row r="1216" spans="1:5" x14ac:dyDescent="0.25">
      <c r="A1216">
        <v>1</v>
      </c>
      <c r="B1216">
        <v>0</v>
      </c>
      <c r="C1216">
        <v>8</v>
      </c>
      <c r="D1216">
        <v>2050</v>
      </c>
      <c r="E1216">
        <v>30073915</v>
      </c>
    </row>
    <row r="1217" spans="1:5" x14ac:dyDescent="0.25">
      <c r="A1217">
        <v>1</v>
      </c>
      <c r="B1217">
        <v>0</v>
      </c>
      <c r="C1217">
        <v>9</v>
      </c>
      <c r="D1217">
        <v>2024</v>
      </c>
      <c r="E1217">
        <v>3693686</v>
      </c>
    </row>
    <row r="1218" spans="1:5" x14ac:dyDescent="0.25">
      <c r="A1218">
        <v>1</v>
      </c>
      <c r="B1218">
        <v>0</v>
      </c>
      <c r="C1218">
        <v>9</v>
      </c>
      <c r="D1218">
        <v>2025</v>
      </c>
      <c r="E1218">
        <v>3722167</v>
      </c>
    </row>
    <row r="1219" spans="1:5" x14ac:dyDescent="0.25">
      <c r="A1219">
        <v>1</v>
      </c>
      <c r="B1219">
        <v>0</v>
      </c>
      <c r="C1219">
        <v>9</v>
      </c>
      <c r="D1219">
        <v>2026</v>
      </c>
      <c r="E1219">
        <v>3750596</v>
      </c>
    </row>
    <row r="1220" spans="1:5" x14ac:dyDescent="0.25">
      <c r="A1220">
        <v>1</v>
      </c>
      <c r="B1220">
        <v>0</v>
      </c>
      <c r="C1220">
        <v>9</v>
      </c>
      <c r="D1220">
        <v>2027</v>
      </c>
      <c r="E1220">
        <v>3778904</v>
      </c>
    </row>
    <row r="1221" spans="1:5" x14ac:dyDescent="0.25">
      <c r="A1221">
        <v>1</v>
      </c>
      <c r="B1221">
        <v>0</v>
      </c>
      <c r="C1221">
        <v>9</v>
      </c>
      <c r="D1221">
        <v>2028</v>
      </c>
      <c r="E1221">
        <v>3807087</v>
      </c>
    </row>
    <row r="1222" spans="1:5" x14ac:dyDescent="0.25">
      <c r="A1222">
        <v>1</v>
      </c>
      <c r="B1222">
        <v>0</v>
      </c>
      <c r="C1222">
        <v>9</v>
      </c>
      <c r="D1222">
        <v>2029</v>
      </c>
      <c r="E1222">
        <v>3835020</v>
      </c>
    </row>
    <row r="1223" spans="1:5" x14ac:dyDescent="0.25">
      <c r="A1223">
        <v>1</v>
      </c>
      <c r="B1223">
        <v>0</v>
      </c>
      <c r="C1223">
        <v>9</v>
      </c>
      <c r="D1223">
        <v>2030</v>
      </c>
      <c r="E1223">
        <v>3862768</v>
      </c>
    </row>
    <row r="1224" spans="1:5" x14ac:dyDescent="0.25">
      <c r="A1224">
        <v>1</v>
      </c>
      <c r="B1224">
        <v>0</v>
      </c>
      <c r="C1224">
        <v>9</v>
      </c>
      <c r="D1224">
        <v>2031</v>
      </c>
      <c r="E1224">
        <v>3890275</v>
      </c>
    </row>
    <row r="1225" spans="1:5" x14ac:dyDescent="0.25">
      <c r="A1225">
        <v>1</v>
      </c>
      <c r="B1225">
        <v>0</v>
      </c>
      <c r="C1225">
        <v>9</v>
      </c>
      <c r="D1225">
        <v>2032</v>
      </c>
      <c r="E1225">
        <v>3917580</v>
      </c>
    </row>
    <row r="1226" spans="1:5" x14ac:dyDescent="0.25">
      <c r="A1226">
        <v>1</v>
      </c>
      <c r="B1226">
        <v>0</v>
      </c>
      <c r="C1226">
        <v>9</v>
      </c>
      <c r="D1226">
        <v>2033</v>
      </c>
      <c r="E1226">
        <v>3944605</v>
      </c>
    </row>
    <row r="1227" spans="1:5" x14ac:dyDescent="0.25">
      <c r="A1227">
        <v>1</v>
      </c>
      <c r="B1227">
        <v>0</v>
      </c>
      <c r="C1227">
        <v>9</v>
      </c>
      <c r="D1227">
        <v>2034</v>
      </c>
      <c r="E1227">
        <v>3971375</v>
      </c>
    </row>
    <row r="1228" spans="1:5" x14ac:dyDescent="0.25">
      <c r="A1228">
        <v>1</v>
      </c>
      <c r="B1228">
        <v>0</v>
      </c>
      <c r="C1228">
        <v>9</v>
      </c>
      <c r="D1228">
        <v>2035</v>
      </c>
      <c r="E1228">
        <v>3997827</v>
      </c>
    </row>
    <row r="1229" spans="1:5" x14ac:dyDescent="0.25">
      <c r="A1229">
        <v>1</v>
      </c>
      <c r="B1229">
        <v>0</v>
      </c>
      <c r="C1229">
        <v>9</v>
      </c>
      <c r="D1229">
        <v>2036</v>
      </c>
      <c r="E1229">
        <v>4023999</v>
      </c>
    </row>
    <row r="1230" spans="1:5" x14ac:dyDescent="0.25">
      <c r="A1230">
        <v>1</v>
      </c>
      <c r="B1230">
        <v>0</v>
      </c>
      <c r="C1230">
        <v>9</v>
      </c>
      <c r="D1230">
        <v>2037</v>
      </c>
      <c r="E1230">
        <v>4049800</v>
      </c>
    </row>
    <row r="1231" spans="1:5" x14ac:dyDescent="0.25">
      <c r="A1231">
        <v>1</v>
      </c>
      <c r="B1231">
        <v>0</v>
      </c>
      <c r="C1231">
        <v>9</v>
      </c>
      <c r="D1231">
        <v>2038</v>
      </c>
      <c r="E1231">
        <v>4075220</v>
      </c>
    </row>
    <row r="1232" spans="1:5" x14ac:dyDescent="0.25">
      <c r="A1232">
        <v>1</v>
      </c>
      <c r="B1232">
        <v>0</v>
      </c>
      <c r="C1232">
        <v>9</v>
      </c>
      <c r="D1232">
        <v>2039</v>
      </c>
      <c r="E1232">
        <v>4100183</v>
      </c>
    </row>
    <row r="1233" spans="1:5" x14ac:dyDescent="0.25">
      <c r="A1233">
        <v>1</v>
      </c>
      <c r="B1233">
        <v>0</v>
      </c>
      <c r="C1233">
        <v>9</v>
      </c>
      <c r="D1233">
        <v>2040</v>
      </c>
      <c r="E1233">
        <v>4124678</v>
      </c>
    </row>
    <row r="1234" spans="1:5" x14ac:dyDescent="0.25">
      <c r="A1234">
        <v>1</v>
      </c>
      <c r="B1234">
        <v>0</v>
      </c>
      <c r="C1234">
        <v>9</v>
      </c>
      <c r="D1234">
        <v>2041</v>
      </c>
      <c r="E1234">
        <v>4148645</v>
      </c>
    </row>
    <row r="1235" spans="1:5" x14ac:dyDescent="0.25">
      <c r="A1235">
        <v>1</v>
      </c>
      <c r="B1235">
        <v>0</v>
      </c>
      <c r="C1235">
        <v>9</v>
      </c>
      <c r="D1235">
        <v>2042</v>
      </c>
      <c r="E1235">
        <v>4172099</v>
      </c>
    </row>
    <row r="1236" spans="1:5" x14ac:dyDescent="0.25">
      <c r="A1236">
        <v>1</v>
      </c>
      <c r="B1236">
        <v>0</v>
      </c>
      <c r="C1236">
        <v>9</v>
      </c>
      <c r="D1236">
        <v>2043</v>
      </c>
      <c r="E1236">
        <v>4194915</v>
      </c>
    </row>
    <row r="1237" spans="1:5" x14ac:dyDescent="0.25">
      <c r="A1237">
        <v>1</v>
      </c>
      <c r="B1237">
        <v>0</v>
      </c>
      <c r="C1237">
        <v>9</v>
      </c>
      <c r="D1237">
        <v>2044</v>
      </c>
      <c r="E1237">
        <v>4217134</v>
      </c>
    </row>
    <row r="1238" spans="1:5" x14ac:dyDescent="0.25">
      <c r="A1238">
        <v>1</v>
      </c>
      <c r="B1238">
        <v>0</v>
      </c>
      <c r="C1238">
        <v>9</v>
      </c>
      <c r="D1238">
        <v>2045</v>
      </c>
      <c r="E1238">
        <v>4238791</v>
      </c>
    </row>
    <row r="1239" spans="1:5" x14ac:dyDescent="0.25">
      <c r="A1239">
        <v>1</v>
      </c>
      <c r="B1239">
        <v>0</v>
      </c>
      <c r="C1239">
        <v>9</v>
      </c>
      <c r="D1239">
        <v>2046</v>
      </c>
      <c r="E1239">
        <v>4259784</v>
      </c>
    </row>
    <row r="1240" spans="1:5" x14ac:dyDescent="0.25">
      <c r="A1240">
        <v>1</v>
      </c>
      <c r="B1240">
        <v>0</v>
      </c>
      <c r="C1240">
        <v>9</v>
      </c>
      <c r="D1240">
        <v>2047</v>
      </c>
      <c r="E1240">
        <v>4280134</v>
      </c>
    </row>
    <row r="1241" spans="1:5" x14ac:dyDescent="0.25">
      <c r="A1241">
        <v>1</v>
      </c>
      <c r="B1241">
        <v>0</v>
      </c>
      <c r="C1241">
        <v>9</v>
      </c>
      <c r="D1241">
        <v>2048</v>
      </c>
      <c r="E1241">
        <v>4299926</v>
      </c>
    </row>
    <row r="1242" spans="1:5" x14ac:dyDescent="0.25">
      <c r="A1242">
        <v>1</v>
      </c>
      <c r="B1242">
        <v>0</v>
      </c>
      <c r="C1242">
        <v>9</v>
      </c>
      <c r="D1242">
        <v>2049</v>
      </c>
      <c r="E1242">
        <v>4319117</v>
      </c>
    </row>
    <row r="1243" spans="1:5" x14ac:dyDescent="0.25">
      <c r="A1243">
        <v>1</v>
      </c>
      <c r="B1243">
        <v>0</v>
      </c>
      <c r="C1243">
        <v>9</v>
      </c>
      <c r="D1243">
        <v>2050</v>
      </c>
      <c r="E1243">
        <v>4337663</v>
      </c>
    </row>
    <row r="1244" spans="1:5" x14ac:dyDescent="0.25">
      <c r="A1244">
        <v>1</v>
      </c>
      <c r="B1244">
        <v>0</v>
      </c>
      <c r="C1244">
        <v>10</v>
      </c>
      <c r="D1244">
        <v>2024</v>
      </c>
      <c r="E1244">
        <v>12447898</v>
      </c>
    </row>
    <row r="1245" spans="1:5" x14ac:dyDescent="0.25">
      <c r="A1245">
        <v>1</v>
      </c>
      <c r="B1245">
        <v>0</v>
      </c>
      <c r="C1245">
        <v>10</v>
      </c>
      <c r="D1245">
        <v>2025</v>
      </c>
      <c r="E1245">
        <v>12681691</v>
      </c>
    </row>
    <row r="1246" spans="1:5" x14ac:dyDescent="0.25">
      <c r="A1246">
        <v>1</v>
      </c>
      <c r="B1246">
        <v>0</v>
      </c>
      <c r="C1246">
        <v>10</v>
      </c>
      <c r="D1246">
        <v>2026</v>
      </c>
      <c r="E1246">
        <v>12916806</v>
      </c>
    </row>
    <row r="1247" spans="1:5" x14ac:dyDescent="0.25">
      <c r="A1247">
        <v>1</v>
      </c>
      <c r="B1247">
        <v>0</v>
      </c>
      <c r="C1247">
        <v>10</v>
      </c>
      <c r="D1247">
        <v>2027</v>
      </c>
      <c r="E1247">
        <v>13152590</v>
      </c>
    </row>
    <row r="1248" spans="1:5" x14ac:dyDescent="0.25">
      <c r="A1248">
        <v>1</v>
      </c>
      <c r="B1248">
        <v>0</v>
      </c>
      <c r="C1248">
        <v>10</v>
      </c>
      <c r="D1248">
        <v>2028</v>
      </c>
      <c r="E1248">
        <v>13388591</v>
      </c>
    </row>
    <row r="1249" spans="1:5" x14ac:dyDescent="0.25">
      <c r="A1249">
        <v>1</v>
      </c>
      <c r="B1249">
        <v>0</v>
      </c>
      <c r="C1249">
        <v>10</v>
      </c>
      <c r="D1249">
        <v>2029</v>
      </c>
      <c r="E1249">
        <v>13625085</v>
      </c>
    </row>
    <row r="1250" spans="1:5" x14ac:dyDescent="0.25">
      <c r="A1250">
        <v>1</v>
      </c>
      <c r="B1250">
        <v>0</v>
      </c>
      <c r="C1250">
        <v>10</v>
      </c>
      <c r="D1250">
        <v>2030</v>
      </c>
      <c r="E1250">
        <v>13861313</v>
      </c>
    </row>
    <row r="1251" spans="1:5" x14ac:dyDescent="0.25">
      <c r="A1251">
        <v>1</v>
      </c>
      <c r="B1251">
        <v>0</v>
      </c>
      <c r="C1251">
        <v>10</v>
      </c>
      <c r="D1251">
        <v>2031</v>
      </c>
      <c r="E1251">
        <v>14096127</v>
      </c>
    </row>
    <row r="1252" spans="1:5" x14ac:dyDescent="0.25">
      <c r="A1252">
        <v>1</v>
      </c>
      <c r="B1252">
        <v>0</v>
      </c>
      <c r="C1252">
        <v>10</v>
      </c>
      <c r="D1252">
        <v>2032</v>
      </c>
      <c r="E1252">
        <v>14328509</v>
      </c>
    </row>
    <row r="1253" spans="1:5" x14ac:dyDescent="0.25">
      <c r="A1253">
        <v>1</v>
      </c>
      <c r="B1253">
        <v>0</v>
      </c>
      <c r="C1253">
        <v>10</v>
      </c>
      <c r="D1253">
        <v>2033</v>
      </c>
      <c r="E1253">
        <v>14561388</v>
      </c>
    </row>
    <row r="1254" spans="1:5" x14ac:dyDescent="0.25">
      <c r="A1254">
        <v>1</v>
      </c>
      <c r="B1254">
        <v>0</v>
      </c>
      <c r="C1254">
        <v>10</v>
      </c>
      <c r="D1254">
        <v>2034</v>
      </c>
      <c r="E1254">
        <v>14794566</v>
      </c>
    </row>
    <row r="1255" spans="1:5" x14ac:dyDescent="0.25">
      <c r="A1255">
        <v>1</v>
      </c>
      <c r="B1255">
        <v>0</v>
      </c>
      <c r="C1255">
        <v>10</v>
      </c>
      <c r="D1255">
        <v>2035</v>
      </c>
      <c r="E1255">
        <v>15028021</v>
      </c>
    </row>
    <row r="1256" spans="1:5" x14ac:dyDescent="0.25">
      <c r="A1256">
        <v>1</v>
      </c>
      <c r="B1256">
        <v>0</v>
      </c>
      <c r="C1256">
        <v>10</v>
      </c>
      <c r="D1256">
        <v>2036</v>
      </c>
      <c r="E1256">
        <v>15261604</v>
      </c>
    </row>
    <row r="1257" spans="1:5" x14ac:dyDescent="0.25">
      <c r="A1257">
        <v>1</v>
      </c>
      <c r="B1257">
        <v>0</v>
      </c>
      <c r="C1257">
        <v>10</v>
      </c>
      <c r="D1257">
        <v>2037</v>
      </c>
      <c r="E1257">
        <v>15495165</v>
      </c>
    </row>
    <row r="1258" spans="1:5" x14ac:dyDescent="0.25">
      <c r="A1258">
        <v>1</v>
      </c>
      <c r="B1258">
        <v>0</v>
      </c>
      <c r="C1258">
        <v>10</v>
      </c>
      <c r="D1258">
        <v>2038</v>
      </c>
      <c r="E1258">
        <v>15728569</v>
      </c>
    </row>
    <row r="1259" spans="1:5" x14ac:dyDescent="0.25">
      <c r="A1259">
        <v>1</v>
      </c>
      <c r="B1259">
        <v>0</v>
      </c>
      <c r="C1259">
        <v>10</v>
      </c>
      <c r="D1259">
        <v>2039</v>
      </c>
      <c r="E1259">
        <v>15961712</v>
      </c>
    </row>
    <row r="1260" spans="1:5" x14ac:dyDescent="0.25">
      <c r="A1260">
        <v>1</v>
      </c>
      <c r="B1260">
        <v>0</v>
      </c>
      <c r="C1260">
        <v>10</v>
      </c>
      <c r="D1260">
        <v>2040</v>
      </c>
      <c r="E1260">
        <v>16194512</v>
      </c>
    </row>
    <row r="1261" spans="1:5" x14ac:dyDescent="0.25">
      <c r="A1261">
        <v>1</v>
      </c>
      <c r="B1261">
        <v>0</v>
      </c>
      <c r="C1261">
        <v>10</v>
      </c>
      <c r="D1261">
        <v>2041</v>
      </c>
      <c r="E1261">
        <v>16426878</v>
      </c>
    </row>
    <row r="1262" spans="1:5" x14ac:dyDescent="0.25">
      <c r="A1262">
        <v>1</v>
      </c>
      <c r="B1262">
        <v>0</v>
      </c>
      <c r="C1262">
        <v>10</v>
      </c>
      <c r="D1262">
        <v>2042</v>
      </c>
      <c r="E1262">
        <v>16658830</v>
      </c>
    </row>
    <row r="1263" spans="1:5" x14ac:dyDescent="0.25">
      <c r="A1263">
        <v>1</v>
      </c>
      <c r="B1263">
        <v>0</v>
      </c>
      <c r="C1263">
        <v>10</v>
      </c>
      <c r="D1263">
        <v>2043</v>
      </c>
      <c r="E1263">
        <v>16890293</v>
      </c>
    </row>
    <row r="1264" spans="1:5" x14ac:dyDescent="0.25">
      <c r="A1264">
        <v>1</v>
      </c>
      <c r="B1264">
        <v>0</v>
      </c>
      <c r="C1264">
        <v>10</v>
      </c>
      <c r="D1264">
        <v>2044</v>
      </c>
      <c r="E1264">
        <v>17121334</v>
      </c>
    </row>
    <row r="1265" spans="1:5" x14ac:dyDescent="0.25">
      <c r="A1265">
        <v>1</v>
      </c>
      <c r="B1265">
        <v>0</v>
      </c>
      <c r="C1265">
        <v>10</v>
      </c>
      <c r="D1265">
        <v>2045</v>
      </c>
      <c r="E1265">
        <v>17351849</v>
      </c>
    </row>
    <row r="1266" spans="1:5" x14ac:dyDescent="0.25">
      <c r="A1266">
        <v>1</v>
      </c>
      <c r="B1266">
        <v>0</v>
      </c>
      <c r="C1266">
        <v>10</v>
      </c>
      <c r="D1266">
        <v>2046</v>
      </c>
      <c r="E1266">
        <v>17581803</v>
      </c>
    </row>
    <row r="1267" spans="1:5" x14ac:dyDescent="0.25">
      <c r="A1267">
        <v>1</v>
      </c>
      <c r="B1267">
        <v>0</v>
      </c>
      <c r="C1267">
        <v>10</v>
      </c>
      <c r="D1267">
        <v>2047</v>
      </c>
      <c r="E1267">
        <v>17811110</v>
      </c>
    </row>
    <row r="1268" spans="1:5" x14ac:dyDescent="0.25">
      <c r="A1268">
        <v>1</v>
      </c>
      <c r="B1268">
        <v>0</v>
      </c>
      <c r="C1268">
        <v>10</v>
      </c>
      <c r="D1268">
        <v>2048</v>
      </c>
      <c r="E1268">
        <v>18039742</v>
      </c>
    </row>
    <row r="1269" spans="1:5" x14ac:dyDescent="0.25">
      <c r="A1269">
        <v>1</v>
      </c>
      <c r="B1269">
        <v>0</v>
      </c>
      <c r="C1269">
        <v>10</v>
      </c>
      <c r="D1269">
        <v>2049</v>
      </c>
      <c r="E1269">
        <v>18267554</v>
      </c>
    </row>
    <row r="1270" spans="1:5" x14ac:dyDescent="0.25">
      <c r="A1270">
        <v>1</v>
      </c>
      <c r="B1270">
        <v>0</v>
      </c>
      <c r="C1270">
        <v>10</v>
      </c>
      <c r="D1270">
        <v>2050</v>
      </c>
      <c r="E1270">
        <v>18494500</v>
      </c>
    </row>
    <row r="1271" spans="1:5" x14ac:dyDescent="0.25">
      <c r="A1271">
        <v>1</v>
      </c>
      <c r="B1271">
        <v>0</v>
      </c>
      <c r="C1271">
        <v>11</v>
      </c>
      <c r="D1271">
        <v>2024</v>
      </c>
      <c r="E1271">
        <v>913977</v>
      </c>
    </row>
    <row r="1272" spans="1:5" x14ac:dyDescent="0.25">
      <c r="A1272">
        <v>1</v>
      </c>
      <c r="B1272">
        <v>0</v>
      </c>
      <c r="C1272">
        <v>11</v>
      </c>
      <c r="D1272">
        <v>2025</v>
      </c>
      <c r="E1272">
        <v>927594</v>
      </c>
    </row>
    <row r="1273" spans="1:5" x14ac:dyDescent="0.25">
      <c r="A1273">
        <v>1</v>
      </c>
      <c r="B1273">
        <v>0</v>
      </c>
      <c r="C1273">
        <v>11</v>
      </c>
      <c r="D1273">
        <v>2026</v>
      </c>
      <c r="E1273">
        <v>941295</v>
      </c>
    </row>
    <row r="1274" spans="1:5" x14ac:dyDescent="0.25">
      <c r="A1274">
        <v>1</v>
      </c>
      <c r="B1274">
        <v>0</v>
      </c>
      <c r="C1274">
        <v>11</v>
      </c>
      <c r="D1274">
        <v>2027</v>
      </c>
      <c r="E1274">
        <v>955044</v>
      </c>
    </row>
    <row r="1275" spans="1:5" x14ac:dyDescent="0.25">
      <c r="A1275">
        <v>1</v>
      </c>
      <c r="B1275">
        <v>0</v>
      </c>
      <c r="C1275">
        <v>11</v>
      </c>
      <c r="D1275">
        <v>2028</v>
      </c>
      <c r="E1275">
        <v>968880</v>
      </c>
    </row>
    <row r="1276" spans="1:5" x14ac:dyDescent="0.25">
      <c r="A1276">
        <v>1</v>
      </c>
      <c r="B1276">
        <v>0</v>
      </c>
      <c r="C1276">
        <v>11</v>
      </c>
      <c r="D1276">
        <v>2029</v>
      </c>
      <c r="E1276">
        <v>982735</v>
      </c>
    </row>
    <row r="1277" spans="1:5" x14ac:dyDescent="0.25">
      <c r="A1277">
        <v>1</v>
      </c>
      <c r="B1277">
        <v>0</v>
      </c>
      <c r="C1277">
        <v>11</v>
      </c>
      <c r="D1277">
        <v>2030</v>
      </c>
      <c r="E1277">
        <v>996643</v>
      </c>
    </row>
    <row r="1278" spans="1:5" x14ac:dyDescent="0.25">
      <c r="A1278">
        <v>1</v>
      </c>
      <c r="B1278">
        <v>0</v>
      </c>
      <c r="C1278">
        <v>11</v>
      </c>
      <c r="D1278">
        <v>2031</v>
      </c>
      <c r="E1278">
        <v>1010511</v>
      </c>
    </row>
    <row r="1279" spans="1:5" x14ac:dyDescent="0.25">
      <c r="A1279">
        <v>1</v>
      </c>
      <c r="B1279">
        <v>0</v>
      </c>
      <c r="C1279">
        <v>11</v>
      </c>
      <c r="D1279">
        <v>2032</v>
      </c>
      <c r="E1279">
        <v>1024407</v>
      </c>
    </row>
    <row r="1280" spans="1:5" x14ac:dyDescent="0.25">
      <c r="A1280">
        <v>1</v>
      </c>
      <c r="B1280">
        <v>0</v>
      </c>
      <c r="C1280">
        <v>11</v>
      </c>
      <c r="D1280">
        <v>2033</v>
      </c>
      <c r="E1280">
        <v>1038366</v>
      </c>
    </row>
    <row r="1281" spans="1:5" x14ac:dyDescent="0.25">
      <c r="A1281">
        <v>1</v>
      </c>
      <c r="B1281">
        <v>0</v>
      </c>
      <c r="C1281">
        <v>11</v>
      </c>
      <c r="D1281">
        <v>2034</v>
      </c>
      <c r="E1281">
        <v>1052389</v>
      </c>
    </row>
    <row r="1282" spans="1:5" x14ac:dyDescent="0.25">
      <c r="A1282">
        <v>1</v>
      </c>
      <c r="B1282">
        <v>0</v>
      </c>
      <c r="C1282">
        <v>11</v>
      </c>
      <c r="D1282">
        <v>2035</v>
      </c>
      <c r="E1282">
        <v>1066465</v>
      </c>
    </row>
    <row r="1283" spans="1:5" x14ac:dyDescent="0.25">
      <c r="A1283">
        <v>1</v>
      </c>
      <c r="B1283">
        <v>0</v>
      </c>
      <c r="C1283">
        <v>11</v>
      </c>
      <c r="D1283">
        <v>2036</v>
      </c>
      <c r="E1283">
        <v>1080629</v>
      </c>
    </row>
    <row r="1284" spans="1:5" x14ac:dyDescent="0.25">
      <c r="A1284">
        <v>1</v>
      </c>
      <c r="B1284">
        <v>0</v>
      </c>
      <c r="C1284">
        <v>11</v>
      </c>
      <c r="D1284">
        <v>2037</v>
      </c>
      <c r="E1284">
        <v>1094827</v>
      </c>
    </row>
    <row r="1285" spans="1:5" x14ac:dyDescent="0.25">
      <c r="A1285">
        <v>1</v>
      </c>
      <c r="B1285">
        <v>0</v>
      </c>
      <c r="C1285">
        <v>11</v>
      </c>
      <c r="D1285">
        <v>2038</v>
      </c>
      <c r="E1285">
        <v>1109105</v>
      </c>
    </row>
    <row r="1286" spans="1:5" x14ac:dyDescent="0.25">
      <c r="A1286">
        <v>1</v>
      </c>
      <c r="B1286">
        <v>0</v>
      </c>
      <c r="C1286">
        <v>11</v>
      </c>
      <c r="D1286">
        <v>2039</v>
      </c>
      <c r="E1286">
        <v>1123355</v>
      </c>
    </row>
    <row r="1287" spans="1:5" x14ac:dyDescent="0.25">
      <c r="A1287">
        <v>1</v>
      </c>
      <c r="B1287">
        <v>0</v>
      </c>
      <c r="C1287">
        <v>11</v>
      </c>
      <c r="D1287">
        <v>2040</v>
      </c>
      <c r="E1287">
        <v>1137641</v>
      </c>
    </row>
    <row r="1288" spans="1:5" x14ac:dyDescent="0.25">
      <c r="A1288">
        <v>1</v>
      </c>
      <c r="B1288">
        <v>0</v>
      </c>
      <c r="C1288">
        <v>11</v>
      </c>
      <c r="D1288">
        <v>2041</v>
      </c>
      <c r="E1288">
        <v>1151922</v>
      </c>
    </row>
    <row r="1289" spans="1:5" x14ac:dyDescent="0.25">
      <c r="A1289">
        <v>1</v>
      </c>
      <c r="B1289">
        <v>0</v>
      </c>
      <c r="C1289">
        <v>11</v>
      </c>
      <c r="D1289">
        <v>2042</v>
      </c>
      <c r="E1289">
        <v>1166208</v>
      </c>
    </row>
    <row r="1290" spans="1:5" x14ac:dyDescent="0.25">
      <c r="A1290">
        <v>1</v>
      </c>
      <c r="B1290">
        <v>0</v>
      </c>
      <c r="C1290">
        <v>11</v>
      </c>
      <c r="D1290">
        <v>2043</v>
      </c>
      <c r="E1290">
        <v>1180441</v>
      </c>
    </row>
    <row r="1291" spans="1:5" x14ac:dyDescent="0.25">
      <c r="A1291">
        <v>1</v>
      </c>
      <c r="B1291">
        <v>0</v>
      </c>
      <c r="C1291">
        <v>11</v>
      </c>
      <c r="D1291">
        <v>2044</v>
      </c>
      <c r="E1291">
        <v>1194684</v>
      </c>
    </row>
    <row r="1292" spans="1:5" x14ac:dyDescent="0.25">
      <c r="A1292">
        <v>1</v>
      </c>
      <c r="B1292">
        <v>0</v>
      </c>
      <c r="C1292">
        <v>11</v>
      </c>
      <c r="D1292">
        <v>2045</v>
      </c>
      <c r="E1292">
        <v>1208884</v>
      </c>
    </row>
    <row r="1293" spans="1:5" x14ac:dyDescent="0.25">
      <c r="A1293">
        <v>1</v>
      </c>
      <c r="B1293">
        <v>0</v>
      </c>
      <c r="C1293">
        <v>11</v>
      </c>
      <c r="D1293">
        <v>2046</v>
      </c>
      <c r="E1293">
        <v>1223060</v>
      </c>
    </row>
    <row r="1294" spans="1:5" x14ac:dyDescent="0.25">
      <c r="A1294">
        <v>1</v>
      </c>
      <c r="B1294">
        <v>0</v>
      </c>
      <c r="C1294">
        <v>11</v>
      </c>
      <c r="D1294">
        <v>2047</v>
      </c>
      <c r="E1294">
        <v>1237194</v>
      </c>
    </row>
    <row r="1295" spans="1:5" x14ac:dyDescent="0.25">
      <c r="A1295">
        <v>1</v>
      </c>
      <c r="B1295">
        <v>0</v>
      </c>
      <c r="C1295">
        <v>11</v>
      </c>
      <c r="D1295">
        <v>2048</v>
      </c>
      <c r="E1295">
        <v>1251288</v>
      </c>
    </row>
    <row r="1296" spans="1:5" x14ac:dyDescent="0.25">
      <c r="A1296">
        <v>1</v>
      </c>
      <c r="B1296">
        <v>0</v>
      </c>
      <c r="C1296">
        <v>11</v>
      </c>
      <c r="D1296">
        <v>2049</v>
      </c>
      <c r="E1296">
        <v>1265327</v>
      </c>
    </row>
    <row r="1297" spans="1:5" x14ac:dyDescent="0.25">
      <c r="A1297">
        <v>1</v>
      </c>
      <c r="B1297">
        <v>0</v>
      </c>
      <c r="C1297">
        <v>11</v>
      </c>
      <c r="D1297">
        <v>2050</v>
      </c>
      <c r="E1297">
        <v>1279278</v>
      </c>
    </row>
    <row r="1298" spans="1:5" x14ac:dyDescent="0.25">
      <c r="A1298">
        <v>1</v>
      </c>
      <c r="B1298">
        <v>1</v>
      </c>
      <c r="C1298">
        <v>0</v>
      </c>
      <c r="D1298">
        <v>2024</v>
      </c>
      <c r="E1298">
        <v>133558990</v>
      </c>
    </row>
    <row r="1299" spans="1:5" x14ac:dyDescent="0.25">
      <c r="A1299">
        <v>1</v>
      </c>
      <c r="B1299">
        <v>1</v>
      </c>
      <c r="C1299">
        <v>0</v>
      </c>
      <c r="D1299">
        <v>2025</v>
      </c>
      <c r="E1299">
        <v>133800433</v>
      </c>
    </row>
    <row r="1300" spans="1:5" x14ac:dyDescent="0.25">
      <c r="A1300">
        <v>1</v>
      </c>
      <c r="B1300">
        <v>1</v>
      </c>
      <c r="C1300">
        <v>0</v>
      </c>
      <c r="D1300">
        <v>2026</v>
      </c>
      <c r="E1300">
        <v>134019360</v>
      </c>
    </row>
    <row r="1301" spans="1:5" x14ac:dyDescent="0.25">
      <c r="A1301">
        <v>1</v>
      </c>
      <c r="B1301">
        <v>1</v>
      </c>
      <c r="C1301">
        <v>0</v>
      </c>
      <c r="D1301">
        <v>2027</v>
      </c>
      <c r="E1301">
        <v>134214865</v>
      </c>
    </row>
    <row r="1302" spans="1:5" x14ac:dyDescent="0.25">
      <c r="A1302">
        <v>1</v>
      </c>
      <c r="B1302">
        <v>1</v>
      </c>
      <c r="C1302">
        <v>0</v>
      </c>
      <c r="D1302">
        <v>2028</v>
      </c>
      <c r="E1302">
        <v>134385631</v>
      </c>
    </row>
    <row r="1303" spans="1:5" x14ac:dyDescent="0.25">
      <c r="A1303">
        <v>1</v>
      </c>
      <c r="B1303">
        <v>1</v>
      </c>
      <c r="C1303">
        <v>0</v>
      </c>
      <c r="D1303">
        <v>2029</v>
      </c>
      <c r="E1303">
        <v>134531526</v>
      </c>
    </row>
    <row r="1304" spans="1:5" x14ac:dyDescent="0.25">
      <c r="A1304">
        <v>1</v>
      </c>
      <c r="B1304">
        <v>1</v>
      </c>
      <c r="C1304">
        <v>0</v>
      </c>
      <c r="D1304">
        <v>2030</v>
      </c>
      <c r="E1304">
        <v>134651021</v>
      </c>
    </row>
    <row r="1305" spans="1:5" x14ac:dyDescent="0.25">
      <c r="A1305">
        <v>1</v>
      </c>
      <c r="B1305">
        <v>1</v>
      </c>
      <c r="C1305">
        <v>0</v>
      </c>
      <c r="D1305">
        <v>2031</v>
      </c>
      <c r="E1305">
        <v>134742517</v>
      </c>
    </row>
    <row r="1306" spans="1:5" x14ac:dyDescent="0.25">
      <c r="A1306">
        <v>1</v>
      </c>
      <c r="B1306">
        <v>1</v>
      </c>
      <c r="C1306">
        <v>0</v>
      </c>
      <c r="D1306">
        <v>2032</v>
      </c>
      <c r="E1306">
        <v>134804177</v>
      </c>
    </row>
    <row r="1307" spans="1:5" x14ac:dyDescent="0.25">
      <c r="A1307">
        <v>1</v>
      </c>
      <c r="B1307">
        <v>1</v>
      </c>
      <c r="C1307">
        <v>0</v>
      </c>
      <c r="D1307">
        <v>2033</v>
      </c>
      <c r="E1307">
        <v>134842477</v>
      </c>
    </row>
    <row r="1308" spans="1:5" x14ac:dyDescent="0.25">
      <c r="A1308">
        <v>1</v>
      </c>
      <c r="B1308">
        <v>1</v>
      </c>
      <c r="C1308">
        <v>0</v>
      </c>
      <c r="D1308">
        <v>2034</v>
      </c>
      <c r="E1308">
        <v>134857635</v>
      </c>
    </row>
    <row r="1309" spans="1:5" x14ac:dyDescent="0.25">
      <c r="A1309">
        <v>1</v>
      </c>
      <c r="B1309">
        <v>1</v>
      </c>
      <c r="C1309">
        <v>0</v>
      </c>
      <c r="D1309">
        <v>2035</v>
      </c>
      <c r="E1309">
        <v>134850028</v>
      </c>
    </row>
    <row r="1310" spans="1:5" x14ac:dyDescent="0.25">
      <c r="A1310">
        <v>1</v>
      </c>
      <c r="B1310">
        <v>1</v>
      </c>
      <c r="C1310">
        <v>0</v>
      </c>
      <c r="D1310">
        <v>2036</v>
      </c>
      <c r="E1310">
        <v>134820165</v>
      </c>
    </row>
    <row r="1311" spans="1:5" x14ac:dyDescent="0.25">
      <c r="A1311">
        <v>1</v>
      </c>
      <c r="B1311">
        <v>1</v>
      </c>
      <c r="C1311">
        <v>0</v>
      </c>
      <c r="D1311">
        <v>2037</v>
      </c>
      <c r="E1311">
        <v>134768552</v>
      </c>
    </row>
    <row r="1312" spans="1:5" x14ac:dyDescent="0.25">
      <c r="A1312">
        <v>1</v>
      </c>
      <c r="B1312">
        <v>1</v>
      </c>
      <c r="C1312">
        <v>0</v>
      </c>
      <c r="D1312">
        <v>2038</v>
      </c>
      <c r="E1312">
        <v>134695897</v>
      </c>
    </row>
    <row r="1313" spans="1:5" x14ac:dyDescent="0.25">
      <c r="A1313">
        <v>1</v>
      </c>
      <c r="B1313">
        <v>1</v>
      </c>
      <c r="C1313">
        <v>0</v>
      </c>
      <c r="D1313">
        <v>2039</v>
      </c>
      <c r="E1313">
        <v>134603211</v>
      </c>
    </row>
    <row r="1314" spans="1:5" x14ac:dyDescent="0.25">
      <c r="A1314">
        <v>1</v>
      </c>
      <c r="B1314">
        <v>1</v>
      </c>
      <c r="C1314">
        <v>0</v>
      </c>
      <c r="D1314">
        <v>2040</v>
      </c>
      <c r="E1314">
        <v>134491590</v>
      </c>
    </row>
    <row r="1315" spans="1:5" x14ac:dyDescent="0.25">
      <c r="A1315">
        <v>1</v>
      </c>
      <c r="B1315">
        <v>1</v>
      </c>
      <c r="C1315">
        <v>0</v>
      </c>
      <c r="D1315">
        <v>2041</v>
      </c>
      <c r="E1315">
        <v>134362417</v>
      </c>
    </row>
    <row r="1316" spans="1:5" x14ac:dyDescent="0.25">
      <c r="A1316">
        <v>1</v>
      </c>
      <c r="B1316">
        <v>1</v>
      </c>
      <c r="C1316">
        <v>0</v>
      </c>
      <c r="D1316">
        <v>2042</v>
      </c>
      <c r="E1316">
        <v>134217381</v>
      </c>
    </row>
    <row r="1317" spans="1:5" x14ac:dyDescent="0.25">
      <c r="A1317">
        <v>1</v>
      </c>
      <c r="B1317">
        <v>1</v>
      </c>
      <c r="C1317">
        <v>0</v>
      </c>
      <c r="D1317">
        <v>2043</v>
      </c>
      <c r="E1317">
        <v>134058307</v>
      </c>
    </row>
    <row r="1318" spans="1:5" x14ac:dyDescent="0.25">
      <c r="A1318">
        <v>1</v>
      </c>
      <c r="B1318">
        <v>1</v>
      </c>
      <c r="C1318">
        <v>0</v>
      </c>
      <c r="D1318">
        <v>2044</v>
      </c>
      <c r="E1318">
        <v>133887409</v>
      </c>
    </row>
    <row r="1319" spans="1:5" x14ac:dyDescent="0.25">
      <c r="A1319">
        <v>1</v>
      </c>
      <c r="B1319">
        <v>1</v>
      </c>
      <c r="C1319">
        <v>0</v>
      </c>
      <c r="D1319">
        <v>2045</v>
      </c>
      <c r="E1319">
        <v>133706822</v>
      </c>
    </row>
    <row r="1320" spans="1:5" x14ac:dyDescent="0.25">
      <c r="A1320">
        <v>1</v>
      </c>
      <c r="B1320">
        <v>1</v>
      </c>
      <c r="C1320">
        <v>0</v>
      </c>
      <c r="D1320">
        <v>2046</v>
      </c>
      <c r="E1320">
        <v>133518770</v>
      </c>
    </row>
    <row r="1321" spans="1:5" x14ac:dyDescent="0.25">
      <c r="A1321">
        <v>1</v>
      </c>
      <c r="B1321">
        <v>1</v>
      </c>
      <c r="C1321">
        <v>0</v>
      </c>
      <c r="D1321">
        <v>2047</v>
      </c>
      <c r="E1321">
        <v>133324754</v>
      </c>
    </row>
    <row r="1322" spans="1:5" x14ac:dyDescent="0.25">
      <c r="A1322">
        <v>1</v>
      </c>
      <c r="B1322">
        <v>1</v>
      </c>
      <c r="C1322">
        <v>0</v>
      </c>
      <c r="D1322">
        <v>2048</v>
      </c>
      <c r="E1322">
        <v>133126618</v>
      </c>
    </row>
    <row r="1323" spans="1:5" x14ac:dyDescent="0.25">
      <c r="A1323">
        <v>1</v>
      </c>
      <c r="B1323">
        <v>1</v>
      </c>
      <c r="C1323">
        <v>0</v>
      </c>
      <c r="D1323">
        <v>2049</v>
      </c>
      <c r="E1323">
        <v>132926253</v>
      </c>
    </row>
    <row r="1324" spans="1:5" x14ac:dyDescent="0.25">
      <c r="A1324">
        <v>1</v>
      </c>
      <c r="B1324">
        <v>1</v>
      </c>
      <c r="C1324">
        <v>0</v>
      </c>
      <c r="D1324">
        <v>2050</v>
      </c>
      <c r="E1324">
        <v>132725281</v>
      </c>
    </row>
    <row r="1325" spans="1:5" x14ac:dyDescent="0.25">
      <c r="A1325">
        <v>1</v>
      </c>
      <c r="B1325">
        <v>1</v>
      </c>
      <c r="C1325">
        <v>1</v>
      </c>
      <c r="D1325">
        <v>2024</v>
      </c>
      <c r="E1325">
        <v>97287609</v>
      </c>
    </row>
    <row r="1326" spans="1:5" x14ac:dyDescent="0.25">
      <c r="A1326">
        <v>1</v>
      </c>
      <c r="B1326">
        <v>1</v>
      </c>
      <c r="C1326">
        <v>1</v>
      </c>
      <c r="D1326">
        <v>2025</v>
      </c>
      <c r="E1326">
        <v>97133764</v>
      </c>
    </row>
    <row r="1327" spans="1:5" x14ac:dyDescent="0.25">
      <c r="A1327">
        <v>1</v>
      </c>
      <c r="B1327">
        <v>1</v>
      </c>
      <c r="C1327">
        <v>1</v>
      </c>
      <c r="D1327">
        <v>2026</v>
      </c>
      <c r="E1327">
        <v>96955590</v>
      </c>
    </row>
    <row r="1328" spans="1:5" x14ac:dyDescent="0.25">
      <c r="A1328">
        <v>1</v>
      </c>
      <c r="B1328">
        <v>1</v>
      </c>
      <c r="C1328">
        <v>1</v>
      </c>
      <c r="D1328">
        <v>2027</v>
      </c>
      <c r="E1328">
        <v>96752940</v>
      </c>
    </row>
    <row r="1329" spans="1:5" x14ac:dyDescent="0.25">
      <c r="A1329">
        <v>1</v>
      </c>
      <c r="B1329">
        <v>1</v>
      </c>
      <c r="C1329">
        <v>1</v>
      </c>
      <c r="D1329">
        <v>2028</v>
      </c>
      <c r="E1329">
        <v>96525557</v>
      </c>
    </row>
    <row r="1330" spans="1:5" x14ac:dyDescent="0.25">
      <c r="A1330">
        <v>1</v>
      </c>
      <c r="B1330">
        <v>1</v>
      </c>
      <c r="C1330">
        <v>1</v>
      </c>
      <c r="D1330">
        <v>2029</v>
      </c>
      <c r="E1330">
        <v>96273650</v>
      </c>
    </row>
    <row r="1331" spans="1:5" x14ac:dyDescent="0.25">
      <c r="A1331">
        <v>1</v>
      </c>
      <c r="B1331">
        <v>1</v>
      </c>
      <c r="C1331">
        <v>1</v>
      </c>
      <c r="D1331">
        <v>2030</v>
      </c>
      <c r="E1331">
        <v>95997168</v>
      </c>
    </row>
    <row r="1332" spans="1:5" x14ac:dyDescent="0.25">
      <c r="A1332">
        <v>1</v>
      </c>
      <c r="B1332">
        <v>1</v>
      </c>
      <c r="C1332">
        <v>1</v>
      </c>
      <c r="D1332">
        <v>2031</v>
      </c>
      <c r="E1332">
        <v>95696129</v>
      </c>
    </row>
    <row r="1333" spans="1:5" x14ac:dyDescent="0.25">
      <c r="A1333">
        <v>1</v>
      </c>
      <c r="B1333">
        <v>1</v>
      </c>
      <c r="C1333">
        <v>1</v>
      </c>
      <c r="D1333">
        <v>2032</v>
      </c>
      <c r="E1333">
        <v>95370286</v>
      </c>
    </row>
    <row r="1334" spans="1:5" x14ac:dyDescent="0.25">
      <c r="A1334">
        <v>1</v>
      </c>
      <c r="B1334">
        <v>1</v>
      </c>
      <c r="C1334">
        <v>1</v>
      </c>
      <c r="D1334">
        <v>2033</v>
      </c>
      <c r="E1334">
        <v>95022177</v>
      </c>
    </row>
    <row r="1335" spans="1:5" x14ac:dyDescent="0.25">
      <c r="A1335">
        <v>1</v>
      </c>
      <c r="B1335">
        <v>1</v>
      </c>
      <c r="C1335">
        <v>1</v>
      </c>
      <c r="D1335">
        <v>2034</v>
      </c>
      <c r="E1335">
        <v>94652271</v>
      </c>
    </row>
    <row r="1336" spans="1:5" x14ac:dyDescent="0.25">
      <c r="A1336">
        <v>1</v>
      </c>
      <c r="B1336">
        <v>1</v>
      </c>
      <c r="C1336">
        <v>1</v>
      </c>
      <c r="D1336">
        <v>2035</v>
      </c>
      <c r="E1336">
        <v>94261042</v>
      </c>
    </row>
    <row r="1337" spans="1:5" x14ac:dyDescent="0.25">
      <c r="A1337">
        <v>1</v>
      </c>
      <c r="B1337">
        <v>1</v>
      </c>
      <c r="C1337">
        <v>1</v>
      </c>
      <c r="D1337">
        <v>2036</v>
      </c>
      <c r="E1337">
        <v>93849167</v>
      </c>
    </row>
    <row r="1338" spans="1:5" x14ac:dyDescent="0.25">
      <c r="A1338">
        <v>1</v>
      </c>
      <c r="B1338">
        <v>1</v>
      </c>
      <c r="C1338">
        <v>1</v>
      </c>
      <c r="D1338">
        <v>2037</v>
      </c>
      <c r="E1338">
        <v>93417323</v>
      </c>
    </row>
    <row r="1339" spans="1:5" x14ac:dyDescent="0.25">
      <c r="A1339">
        <v>1</v>
      </c>
      <c r="B1339">
        <v>1</v>
      </c>
      <c r="C1339">
        <v>1</v>
      </c>
      <c r="D1339">
        <v>2038</v>
      </c>
      <c r="E1339">
        <v>92966422</v>
      </c>
    </row>
    <row r="1340" spans="1:5" x14ac:dyDescent="0.25">
      <c r="A1340">
        <v>1</v>
      </c>
      <c r="B1340">
        <v>1</v>
      </c>
      <c r="C1340">
        <v>1</v>
      </c>
      <c r="D1340">
        <v>2039</v>
      </c>
      <c r="E1340">
        <v>92497551</v>
      </c>
    </row>
    <row r="1341" spans="1:5" x14ac:dyDescent="0.25">
      <c r="A1341">
        <v>1</v>
      </c>
      <c r="B1341">
        <v>1</v>
      </c>
      <c r="C1341">
        <v>1</v>
      </c>
      <c r="D1341">
        <v>2040</v>
      </c>
      <c r="E1341">
        <v>92011894</v>
      </c>
    </row>
    <row r="1342" spans="1:5" x14ac:dyDescent="0.25">
      <c r="A1342">
        <v>1</v>
      </c>
      <c r="B1342">
        <v>1</v>
      </c>
      <c r="C1342">
        <v>1</v>
      </c>
      <c r="D1342">
        <v>2041</v>
      </c>
      <c r="E1342">
        <v>91510859</v>
      </c>
    </row>
    <row r="1343" spans="1:5" x14ac:dyDescent="0.25">
      <c r="A1343">
        <v>1</v>
      </c>
      <c r="B1343">
        <v>1</v>
      </c>
      <c r="C1343">
        <v>1</v>
      </c>
      <c r="D1343">
        <v>2042</v>
      </c>
      <c r="E1343">
        <v>90996136</v>
      </c>
    </row>
    <row r="1344" spans="1:5" x14ac:dyDescent="0.25">
      <c r="A1344">
        <v>1</v>
      </c>
      <c r="B1344">
        <v>1</v>
      </c>
      <c r="C1344">
        <v>1</v>
      </c>
      <c r="D1344">
        <v>2043</v>
      </c>
      <c r="E1344">
        <v>90469443</v>
      </c>
    </row>
    <row r="1345" spans="1:5" x14ac:dyDescent="0.25">
      <c r="A1345">
        <v>1</v>
      </c>
      <c r="B1345">
        <v>1</v>
      </c>
      <c r="C1345">
        <v>1</v>
      </c>
      <c r="D1345">
        <v>2044</v>
      </c>
      <c r="E1345">
        <v>89932831</v>
      </c>
    </row>
    <row r="1346" spans="1:5" x14ac:dyDescent="0.25">
      <c r="A1346">
        <v>1</v>
      </c>
      <c r="B1346">
        <v>1</v>
      </c>
      <c r="C1346">
        <v>1</v>
      </c>
      <c r="D1346">
        <v>2045</v>
      </c>
      <c r="E1346">
        <v>89388335</v>
      </c>
    </row>
    <row r="1347" spans="1:5" x14ac:dyDescent="0.25">
      <c r="A1347">
        <v>1</v>
      </c>
      <c r="B1347">
        <v>1</v>
      </c>
      <c r="C1347">
        <v>1</v>
      </c>
      <c r="D1347">
        <v>2046</v>
      </c>
      <c r="E1347">
        <v>88837997</v>
      </c>
    </row>
    <row r="1348" spans="1:5" x14ac:dyDescent="0.25">
      <c r="A1348">
        <v>1</v>
      </c>
      <c r="B1348">
        <v>1</v>
      </c>
      <c r="C1348">
        <v>1</v>
      </c>
      <c r="D1348">
        <v>2047</v>
      </c>
      <c r="E1348">
        <v>88283113</v>
      </c>
    </row>
    <row r="1349" spans="1:5" x14ac:dyDescent="0.25">
      <c r="A1349">
        <v>1</v>
      </c>
      <c r="B1349">
        <v>1</v>
      </c>
      <c r="C1349">
        <v>1</v>
      </c>
      <c r="D1349">
        <v>2048</v>
      </c>
      <c r="E1349">
        <v>87725465</v>
      </c>
    </row>
    <row r="1350" spans="1:5" x14ac:dyDescent="0.25">
      <c r="A1350">
        <v>1</v>
      </c>
      <c r="B1350">
        <v>1</v>
      </c>
      <c r="C1350">
        <v>1</v>
      </c>
      <c r="D1350">
        <v>2049</v>
      </c>
      <c r="E1350">
        <v>87166764</v>
      </c>
    </row>
    <row r="1351" spans="1:5" x14ac:dyDescent="0.25">
      <c r="A1351">
        <v>1</v>
      </c>
      <c r="B1351">
        <v>1</v>
      </c>
      <c r="C1351">
        <v>1</v>
      </c>
      <c r="D1351">
        <v>2050</v>
      </c>
      <c r="E1351">
        <v>86608543</v>
      </c>
    </row>
    <row r="1352" spans="1:5" x14ac:dyDescent="0.25">
      <c r="A1352">
        <v>1</v>
      </c>
      <c r="B1352">
        <v>1</v>
      </c>
      <c r="C1352">
        <v>2</v>
      </c>
      <c r="D1352">
        <v>2024</v>
      </c>
      <c r="E1352">
        <v>20446768</v>
      </c>
    </row>
    <row r="1353" spans="1:5" x14ac:dyDescent="0.25">
      <c r="A1353">
        <v>1</v>
      </c>
      <c r="B1353">
        <v>1</v>
      </c>
      <c r="C1353">
        <v>2</v>
      </c>
      <c r="D1353">
        <v>2025</v>
      </c>
      <c r="E1353">
        <v>20556071</v>
      </c>
    </row>
    <row r="1354" spans="1:5" x14ac:dyDescent="0.25">
      <c r="A1354">
        <v>1</v>
      </c>
      <c r="B1354">
        <v>1</v>
      </c>
      <c r="C1354">
        <v>2</v>
      </c>
      <c r="D1354">
        <v>2026</v>
      </c>
      <c r="E1354">
        <v>20664881</v>
      </c>
    </row>
    <row r="1355" spans="1:5" x14ac:dyDescent="0.25">
      <c r="A1355">
        <v>1</v>
      </c>
      <c r="B1355">
        <v>1</v>
      </c>
      <c r="C1355">
        <v>2</v>
      </c>
      <c r="D1355">
        <v>2027</v>
      </c>
      <c r="E1355">
        <v>20773089</v>
      </c>
    </row>
    <row r="1356" spans="1:5" x14ac:dyDescent="0.25">
      <c r="A1356">
        <v>1</v>
      </c>
      <c r="B1356">
        <v>1</v>
      </c>
      <c r="C1356">
        <v>2</v>
      </c>
      <c r="D1356">
        <v>2028</v>
      </c>
      <c r="E1356">
        <v>20880141</v>
      </c>
    </row>
    <row r="1357" spans="1:5" x14ac:dyDescent="0.25">
      <c r="A1357">
        <v>1</v>
      </c>
      <c r="B1357">
        <v>1</v>
      </c>
      <c r="C1357">
        <v>2</v>
      </c>
      <c r="D1357">
        <v>2029</v>
      </c>
      <c r="E1357">
        <v>20985545</v>
      </c>
    </row>
    <row r="1358" spans="1:5" x14ac:dyDescent="0.25">
      <c r="A1358">
        <v>1</v>
      </c>
      <c r="B1358">
        <v>1</v>
      </c>
      <c r="C1358">
        <v>2</v>
      </c>
      <c r="D1358">
        <v>2030</v>
      </c>
      <c r="E1358">
        <v>21088682</v>
      </c>
    </row>
    <row r="1359" spans="1:5" x14ac:dyDescent="0.25">
      <c r="A1359">
        <v>1</v>
      </c>
      <c r="B1359">
        <v>1</v>
      </c>
      <c r="C1359">
        <v>2</v>
      </c>
      <c r="D1359">
        <v>2031</v>
      </c>
      <c r="E1359">
        <v>21189228</v>
      </c>
    </row>
    <row r="1360" spans="1:5" x14ac:dyDescent="0.25">
      <c r="A1360">
        <v>1</v>
      </c>
      <c r="B1360">
        <v>1</v>
      </c>
      <c r="C1360">
        <v>2</v>
      </c>
      <c r="D1360">
        <v>2032</v>
      </c>
      <c r="E1360">
        <v>21286832</v>
      </c>
    </row>
    <row r="1361" spans="1:5" x14ac:dyDescent="0.25">
      <c r="A1361">
        <v>1</v>
      </c>
      <c r="B1361">
        <v>1</v>
      </c>
      <c r="C1361">
        <v>2</v>
      </c>
      <c r="D1361">
        <v>2033</v>
      </c>
      <c r="E1361">
        <v>21382483</v>
      </c>
    </row>
    <row r="1362" spans="1:5" x14ac:dyDescent="0.25">
      <c r="A1362">
        <v>1</v>
      </c>
      <c r="B1362">
        <v>1</v>
      </c>
      <c r="C1362">
        <v>2</v>
      </c>
      <c r="D1362">
        <v>2034</v>
      </c>
      <c r="E1362">
        <v>21476187</v>
      </c>
    </row>
    <row r="1363" spans="1:5" x14ac:dyDescent="0.25">
      <c r="A1363">
        <v>1</v>
      </c>
      <c r="B1363">
        <v>1</v>
      </c>
      <c r="C1363">
        <v>2</v>
      </c>
      <c r="D1363">
        <v>2035</v>
      </c>
      <c r="E1363">
        <v>21568007</v>
      </c>
    </row>
    <row r="1364" spans="1:5" x14ac:dyDescent="0.25">
      <c r="A1364">
        <v>1</v>
      </c>
      <c r="B1364">
        <v>1</v>
      </c>
      <c r="C1364">
        <v>2</v>
      </c>
      <c r="D1364">
        <v>2036</v>
      </c>
      <c r="E1364">
        <v>21657990</v>
      </c>
    </row>
    <row r="1365" spans="1:5" x14ac:dyDescent="0.25">
      <c r="A1365">
        <v>1</v>
      </c>
      <c r="B1365">
        <v>1</v>
      </c>
      <c r="C1365">
        <v>2</v>
      </c>
      <c r="D1365">
        <v>2037</v>
      </c>
      <c r="E1365">
        <v>21746206</v>
      </c>
    </row>
    <row r="1366" spans="1:5" x14ac:dyDescent="0.25">
      <c r="A1366">
        <v>1</v>
      </c>
      <c r="B1366">
        <v>1</v>
      </c>
      <c r="C1366">
        <v>2</v>
      </c>
      <c r="D1366">
        <v>2038</v>
      </c>
      <c r="E1366">
        <v>21832680</v>
      </c>
    </row>
    <row r="1367" spans="1:5" x14ac:dyDescent="0.25">
      <c r="A1367">
        <v>1</v>
      </c>
      <c r="B1367">
        <v>1</v>
      </c>
      <c r="C1367">
        <v>2</v>
      </c>
      <c r="D1367">
        <v>2039</v>
      </c>
      <c r="E1367">
        <v>21917539</v>
      </c>
    </row>
    <row r="1368" spans="1:5" x14ac:dyDescent="0.25">
      <c r="A1368">
        <v>1</v>
      </c>
      <c r="B1368">
        <v>1</v>
      </c>
      <c r="C1368">
        <v>2</v>
      </c>
      <c r="D1368">
        <v>2040</v>
      </c>
      <c r="E1368">
        <v>22000795</v>
      </c>
    </row>
    <row r="1369" spans="1:5" x14ac:dyDescent="0.25">
      <c r="A1369">
        <v>1</v>
      </c>
      <c r="B1369">
        <v>1</v>
      </c>
      <c r="C1369">
        <v>2</v>
      </c>
      <c r="D1369">
        <v>2041</v>
      </c>
      <c r="E1369">
        <v>22082568</v>
      </c>
    </row>
    <row r="1370" spans="1:5" x14ac:dyDescent="0.25">
      <c r="A1370">
        <v>1</v>
      </c>
      <c r="B1370">
        <v>1</v>
      </c>
      <c r="C1370">
        <v>2</v>
      </c>
      <c r="D1370">
        <v>2042</v>
      </c>
      <c r="E1370">
        <v>22162933</v>
      </c>
    </row>
    <row r="1371" spans="1:5" x14ac:dyDescent="0.25">
      <c r="A1371">
        <v>1</v>
      </c>
      <c r="B1371">
        <v>1</v>
      </c>
      <c r="C1371">
        <v>2</v>
      </c>
      <c r="D1371">
        <v>2043</v>
      </c>
      <c r="E1371">
        <v>22241933</v>
      </c>
    </row>
    <row r="1372" spans="1:5" x14ac:dyDescent="0.25">
      <c r="A1372">
        <v>1</v>
      </c>
      <c r="B1372">
        <v>1</v>
      </c>
      <c r="C1372">
        <v>2</v>
      </c>
      <c r="D1372">
        <v>2044</v>
      </c>
      <c r="E1372">
        <v>22319705</v>
      </c>
    </row>
    <row r="1373" spans="1:5" x14ac:dyDescent="0.25">
      <c r="A1373">
        <v>1</v>
      </c>
      <c r="B1373">
        <v>1</v>
      </c>
      <c r="C1373">
        <v>2</v>
      </c>
      <c r="D1373">
        <v>2045</v>
      </c>
      <c r="E1373">
        <v>22396397</v>
      </c>
    </row>
    <row r="1374" spans="1:5" x14ac:dyDescent="0.25">
      <c r="A1374">
        <v>1</v>
      </c>
      <c r="B1374">
        <v>1</v>
      </c>
      <c r="C1374">
        <v>2</v>
      </c>
      <c r="D1374">
        <v>2046</v>
      </c>
      <c r="E1374">
        <v>22472212</v>
      </c>
    </row>
    <row r="1375" spans="1:5" x14ac:dyDescent="0.25">
      <c r="A1375">
        <v>1</v>
      </c>
      <c r="B1375">
        <v>1</v>
      </c>
      <c r="C1375">
        <v>2</v>
      </c>
      <c r="D1375">
        <v>2047</v>
      </c>
      <c r="E1375">
        <v>22547315</v>
      </c>
    </row>
    <row r="1376" spans="1:5" x14ac:dyDescent="0.25">
      <c r="A1376">
        <v>1</v>
      </c>
      <c r="B1376">
        <v>1</v>
      </c>
      <c r="C1376">
        <v>2</v>
      </c>
      <c r="D1376">
        <v>2048</v>
      </c>
      <c r="E1376">
        <v>22621870</v>
      </c>
    </row>
    <row r="1377" spans="1:5" x14ac:dyDescent="0.25">
      <c r="A1377">
        <v>1</v>
      </c>
      <c r="B1377">
        <v>1</v>
      </c>
      <c r="C1377">
        <v>2</v>
      </c>
      <c r="D1377">
        <v>2049</v>
      </c>
      <c r="E1377">
        <v>22696066</v>
      </c>
    </row>
    <row r="1378" spans="1:5" x14ac:dyDescent="0.25">
      <c r="A1378">
        <v>1</v>
      </c>
      <c r="B1378">
        <v>1</v>
      </c>
      <c r="C1378">
        <v>2</v>
      </c>
      <c r="D1378">
        <v>2050</v>
      </c>
      <c r="E1378">
        <v>22770074</v>
      </c>
    </row>
    <row r="1379" spans="1:5" x14ac:dyDescent="0.25">
      <c r="A1379">
        <v>1</v>
      </c>
      <c r="B1379">
        <v>1</v>
      </c>
      <c r="C1379">
        <v>3</v>
      </c>
      <c r="D1379">
        <v>2024</v>
      </c>
      <c r="E1379">
        <v>1200018</v>
      </c>
    </row>
    <row r="1380" spans="1:5" x14ac:dyDescent="0.25">
      <c r="A1380">
        <v>1</v>
      </c>
      <c r="B1380">
        <v>1</v>
      </c>
      <c r="C1380">
        <v>3</v>
      </c>
      <c r="D1380">
        <v>2025</v>
      </c>
      <c r="E1380">
        <v>1201229</v>
      </c>
    </row>
    <row r="1381" spans="1:5" x14ac:dyDescent="0.25">
      <c r="A1381">
        <v>1</v>
      </c>
      <c r="B1381">
        <v>1</v>
      </c>
      <c r="C1381">
        <v>3</v>
      </c>
      <c r="D1381">
        <v>2026</v>
      </c>
      <c r="E1381">
        <v>1202394</v>
      </c>
    </row>
    <row r="1382" spans="1:5" x14ac:dyDescent="0.25">
      <c r="A1382">
        <v>1</v>
      </c>
      <c r="B1382">
        <v>1</v>
      </c>
      <c r="C1382">
        <v>3</v>
      </c>
      <c r="D1382">
        <v>2027</v>
      </c>
      <c r="E1382">
        <v>1203475</v>
      </c>
    </row>
    <row r="1383" spans="1:5" x14ac:dyDescent="0.25">
      <c r="A1383">
        <v>1</v>
      </c>
      <c r="B1383">
        <v>1</v>
      </c>
      <c r="C1383">
        <v>3</v>
      </c>
      <c r="D1383">
        <v>2028</v>
      </c>
      <c r="E1383">
        <v>1204487</v>
      </c>
    </row>
    <row r="1384" spans="1:5" x14ac:dyDescent="0.25">
      <c r="A1384">
        <v>1</v>
      </c>
      <c r="B1384">
        <v>1</v>
      </c>
      <c r="C1384">
        <v>3</v>
      </c>
      <c r="D1384">
        <v>2029</v>
      </c>
      <c r="E1384">
        <v>1205379</v>
      </c>
    </row>
    <row r="1385" spans="1:5" x14ac:dyDescent="0.25">
      <c r="A1385">
        <v>1</v>
      </c>
      <c r="B1385">
        <v>1</v>
      </c>
      <c r="C1385">
        <v>3</v>
      </c>
      <c r="D1385">
        <v>2030</v>
      </c>
      <c r="E1385">
        <v>1206150</v>
      </c>
    </row>
    <row r="1386" spans="1:5" x14ac:dyDescent="0.25">
      <c r="A1386">
        <v>1</v>
      </c>
      <c r="B1386">
        <v>1</v>
      </c>
      <c r="C1386">
        <v>3</v>
      </c>
      <c r="D1386">
        <v>2031</v>
      </c>
      <c r="E1386">
        <v>1206787</v>
      </c>
    </row>
    <row r="1387" spans="1:5" x14ac:dyDescent="0.25">
      <c r="A1387">
        <v>1</v>
      </c>
      <c r="B1387">
        <v>1</v>
      </c>
      <c r="C1387">
        <v>3</v>
      </c>
      <c r="D1387">
        <v>2032</v>
      </c>
      <c r="E1387">
        <v>1207262</v>
      </c>
    </row>
    <row r="1388" spans="1:5" x14ac:dyDescent="0.25">
      <c r="A1388">
        <v>1</v>
      </c>
      <c r="B1388">
        <v>1</v>
      </c>
      <c r="C1388">
        <v>3</v>
      </c>
      <c r="D1388">
        <v>2033</v>
      </c>
      <c r="E1388">
        <v>1207577</v>
      </c>
    </row>
    <row r="1389" spans="1:5" x14ac:dyDescent="0.25">
      <c r="A1389">
        <v>1</v>
      </c>
      <c r="B1389">
        <v>1</v>
      </c>
      <c r="C1389">
        <v>3</v>
      </c>
      <c r="D1389">
        <v>2034</v>
      </c>
      <c r="E1389">
        <v>1207724</v>
      </c>
    </row>
    <row r="1390" spans="1:5" x14ac:dyDescent="0.25">
      <c r="A1390">
        <v>1</v>
      </c>
      <c r="B1390">
        <v>1</v>
      </c>
      <c r="C1390">
        <v>3</v>
      </c>
      <c r="D1390">
        <v>2035</v>
      </c>
      <c r="E1390">
        <v>1207685</v>
      </c>
    </row>
    <row r="1391" spans="1:5" x14ac:dyDescent="0.25">
      <c r="A1391">
        <v>1</v>
      </c>
      <c r="B1391">
        <v>1</v>
      </c>
      <c r="C1391">
        <v>3</v>
      </c>
      <c r="D1391">
        <v>2036</v>
      </c>
      <c r="E1391">
        <v>1207439</v>
      </c>
    </row>
    <row r="1392" spans="1:5" x14ac:dyDescent="0.25">
      <c r="A1392">
        <v>1</v>
      </c>
      <c r="B1392">
        <v>1</v>
      </c>
      <c r="C1392">
        <v>3</v>
      </c>
      <c r="D1392">
        <v>2037</v>
      </c>
      <c r="E1392">
        <v>1206995</v>
      </c>
    </row>
    <row r="1393" spans="1:5" x14ac:dyDescent="0.25">
      <c r="A1393">
        <v>1</v>
      </c>
      <c r="B1393">
        <v>1</v>
      </c>
      <c r="C1393">
        <v>3</v>
      </c>
      <c r="D1393">
        <v>2038</v>
      </c>
      <c r="E1393">
        <v>1206319</v>
      </c>
    </row>
    <row r="1394" spans="1:5" x14ac:dyDescent="0.25">
      <c r="A1394">
        <v>1</v>
      </c>
      <c r="B1394">
        <v>1</v>
      </c>
      <c r="C1394">
        <v>3</v>
      </c>
      <c r="D1394">
        <v>2039</v>
      </c>
      <c r="E1394">
        <v>1205415</v>
      </c>
    </row>
    <row r="1395" spans="1:5" x14ac:dyDescent="0.25">
      <c r="A1395">
        <v>1</v>
      </c>
      <c r="B1395">
        <v>1</v>
      </c>
      <c r="C1395">
        <v>3</v>
      </c>
      <c r="D1395">
        <v>2040</v>
      </c>
      <c r="E1395">
        <v>1204288</v>
      </c>
    </row>
    <row r="1396" spans="1:5" x14ac:dyDescent="0.25">
      <c r="A1396">
        <v>1</v>
      </c>
      <c r="B1396">
        <v>1</v>
      </c>
      <c r="C1396">
        <v>3</v>
      </c>
      <c r="D1396">
        <v>2041</v>
      </c>
      <c r="E1396">
        <v>1202920</v>
      </c>
    </row>
    <row r="1397" spans="1:5" x14ac:dyDescent="0.25">
      <c r="A1397">
        <v>1</v>
      </c>
      <c r="B1397">
        <v>1</v>
      </c>
      <c r="C1397">
        <v>3</v>
      </c>
      <c r="D1397">
        <v>2042</v>
      </c>
      <c r="E1397">
        <v>1201318</v>
      </c>
    </row>
    <row r="1398" spans="1:5" x14ac:dyDescent="0.25">
      <c r="A1398">
        <v>1</v>
      </c>
      <c r="B1398">
        <v>1</v>
      </c>
      <c r="C1398">
        <v>3</v>
      </c>
      <c r="D1398">
        <v>2043</v>
      </c>
      <c r="E1398">
        <v>1199505</v>
      </c>
    </row>
    <row r="1399" spans="1:5" x14ac:dyDescent="0.25">
      <c r="A1399">
        <v>1</v>
      </c>
      <c r="B1399">
        <v>1</v>
      </c>
      <c r="C1399">
        <v>3</v>
      </c>
      <c r="D1399">
        <v>2044</v>
      </c>
      <c r="E1399">
        <v>1197471</v>
      </c>
    </row>
    <row r="1400" spans="1:5" x14ac:dyDescent="0.25">
      <c r="A1400">
        <v>1</v>
      </c>
      <c r="B1400">
        <v>1</v>
      </c>
      <c r="C1400">
        <v>3</v>
      </c>
      <c r="D1400">
        <v>2045</v>
      </c>
      <c r="E1400">
        <v>1195233</v>
      </c>
    </row>
    <row r="1401" spans="1:5" x14ac:dyDescent="0.25">
      <c r="A1401">
        <v>1</v>
      </c>
      <c r="B1401">
        <v>1</v>
      </c>
      <c r="C1401">
        <v>3</v>
      </c>
      <c r="D1401">
        <v>2046</v>
      </c>
      <c r="E1401">
        <v>1192805</v>
      </c>
    </row>
    <row r="1402" spans="1:5" x14ac:dyDescent="0.25">
      <c r="A1402">
        <v>1</v>
      </c>
      <c r="B1402">
        <v>1</v>
      </c>
      <c r="C1402">
        <v>3</v>
      </c>
      <c r="D1402">
        <v>2047</v>
      </c>
      <c r="E1402">
        <v>1190206</v>
      </c>
    </row>
    <row r="1403" spans="1:5" x14ac:dyDescent="0.25">
      <c r="A1403">
        <v>1</v>
      </c>
      <c r="B1403">
        <v>1</v>
      </c>
      <c r="C1403">
        <v>3</v>
      </c>
      <c r="D1403">
        <v>2048</v>
      </c>
      <c r="E1403">
        <v>1187437</v>
      </c>
    </row>
    <row r="1404" spans="1:5" x14ac:dyDescent="0.25">
      <c r="A1404">
        <v>1</v>
      </c>
      <c r="B1404">
        <v>1</v>
      </c>
      <c r="C1404">
        <v>3</v>
      </c>
      <c r="D1404">
        <v>2049</v>
      </c>
      <c r="E1404">
        <v>1184513</v>
      </c>
    </row>
    <row r="1405" spans="1:5" x14ac:dyDescent="0.25">
      <c r="A1405">
        <v>1</v>
      </c>
      <c r="B1405">
        <v>1</v>
      </c>
      <c r="C1405">
        <v>3</v>
      </c>
      <c r="D1405">
        <v>2050</v>
      </c>
      <c r="E1405">
        <v>1181456</v>
      </c>
    </row>
    <row r="1406" spans="1:5" x14ac:dyDescent="0.25">
      <c r="A1406">
        <v>1</v>
      </c>
      <c r="B1406">
        <v>1</v>
      </c>
      <c r="C1406">
        <v>4</v>
      </c>
      <c r="D1406">
        <v>2024</v>
      </c>
      <c r="E1406">
        <v>10116342</v>
      </c>
    </row>
    <row r="1407" spans="1:5" x14ac:dyDescent="0.25">
      <c r="A1407">
        <v>1</v>
      </c>
      <c r="B1407">
        <v>1</v>
      </c>
      <c r="C1407">
        <v>4</v>
      </c>
      <c r="D1407">
        <v>2025</v>
      </c>
      <c r="E1407">
        <v>10290465</v>
      </c>
    </row>
    <row r="1408" spans="1:5" x14ac:dyDescent="0.25">
      <c r="A1408">
        <v>1</v>
      </c>
      <c r="B1408">
        <v>1</v>
      </c>
      <c r="C1408">
        <v>4</v>
      </c>
      <c r="D1408">
        <v>2026</v>
      </c>
      <c r="E1408">
        <v>10465081</v>
      </c>
    </row>
    <row r="1409" spans="1:5" x14ac:dyDescent="0.25">
      <c r="A1409">
        <v>1</v>
      </c>
      <c r="B1409">
        <v>1</v>
      </c>
      <c r="C1409">
        <v>4</v>
      </c>
      <c r="D1409">
        <v>2027</v>
      </c>
      <c r="E1409">
        <v>10639584</v>
      </c>
    </row>
    <row r="1410" spans="1:5" x14ac:dyDescent="0.25">
      <c r="A1410">
        <v>1</v>
      </c>
      <c r="B1410">
        <v>1</v>
      </c>
      <c r="C1410">
        <v>4</v>
      </c>
      <c r="D1410">
        <v>2028</v>
      </c>
      <c r="E1410">
        <v>10813441</v>
      </c>
    </row>
    <row r="1411" spans="1:5" x14ac:dyDescent="0.25">
      <c r="A1411">
        <v>1</v>
      </c>
      <c r="B1411">
        <v>1</v>
      </c>
      <c r="C1411">
        <v>4</v>
      </c>
      <c r="D1411">
        <v>2029</v>
      </c>
      <c r="E1411">
        <v>10986961</v>
      </c>
    </row>
    <row r="1412" spans="1:5" x14ac:dyDescent="0.25">
      <c r="A1412">
        <v>1</v>
      </c>
      <c r="B1412">
        <v>1</v>
      </c>
      <c r="C1412">
        <v>4</v>
      </c>
      <c r="D1412">
        <v>2030</v>
      </c>
      <c r="E1412">
        <v>11159349</v>
      </c>
    </row>
    <row r="1413" spans="1:5" x14ac:dyDescent="0.25">
      <c r="A1413">
        <v>1</v>
      </c>
      <c r="B1413">
        <v>1</v>
      </c>
      <c r="C1413">
        <v>4</v>
      </c>
      <c r="D1413">
        <v>2031</v>
      </c>
      <c r="E1413">
        <v>11329494</v>
      </c>
    </row>
    <row r="1414" spans="1:5" x14ac:dyDescent="0.25">
      <c r="A1414">
        <v>1</v>
      </c>
      <c r="B1414">
        <v>1</v>
      </c>
      <c r="C1414">
        <v>4</v>
      </c>
      <c r="D1414">
        <v>2032</v>
      </c>
      <c r="E1414">
        <v>11496318</v>
      </c>
    </row>
    <row r="1415" spans="1:5" x14ac:dyDescent="0.25">
      <c r="A1415">
        <v>1</v>
      </c>
      <c r="B1415">
        <v>1</v>
      </c>
      <c r="C1415">
        <v>4</v>
      </c>
      <c r="D1415">
        <v>2033</v>
      </c>
      <c r="E1415">
        <v>11662609</v>
      </c>
    </row>
    <row r="1416" spans="1:5" x14ac:dyDescent="0.25">
      <c r="A1416">
        <v>1</v>
      </c>
      <c r="B1416">
        <v>1</v>
      </c>
      <c r="C1416">
        <v>4</v>
      </c>
      <c r="D1416">
        <v>2034</v>
      </c>
      <c r="E1416">
        <v>11828247</v>
      </c>
    </row>
    <row r="1417" spans="1:5" x14ac:dyDescent="0.25">
      <c r="A1417">
        <v>1</v>
      </c>
      <c r="B1417">
        <v>1</v>
      </c>
      <c r="C1417">
        <v>4</v>
      </c>
      <c r="D1417">
        <v>2035</v>
      </c>
      <c r="E1417">
        <v>11993196</v>
      </c>
    </row>
    <row r="1418" spans="1:5" x14ac:dyDescent="0.25">
      <c r="A1418">
        <v>1</v>
      </c>
      <c r="B1418">
        <v>1</v>
      </c>
      <c r="C1418">
        <v>4</v>
      </c>
      <c r="D1418">
        <v>2036</v>
      </c>
      <c r="E1418">
        <v>12157364</v>
      </c>
    </row>
    <row r="1419" spans="1:5" x14ac:dyDescent="0.25">
      <c r="A1419">
        <v>1</v>
      </c>
      <c r="B1419">
        <v>1</v>
      </c>
      <c r="C1419">
        <v>4</v>
      </c>
      <c r="D1419">
        <v>2037</v>
      </c>
      <c r="E1419">
        <v>12320670</v>
      </c>
    </row>
    <row r="1420" spans="1:5" x14ac:dyDescent="0.25">
      <c r="A1420">
        <v>1</v>
      </c>
      <c r="B1420">
        <v>1</v>
      </c>
      <c r="C1420">
        <v>4</v>
      </c>
      <c r="D1420">
        <v>2038</v>
      </c>
      <c r="E1420">
        <v>12482998</v>
      </c>
    </row>
    <row r="1421" spans="1:5" x14ac:dyDescent="0.25">
      <c r="A1421">
        <v>1</v>
      </c>
      <c r="B1421">
        <v>1</v>
      </c>
      <c r="C1421">
        <v>4</v>
      </c>
      <c r="D1421">
        <v>2039</v>
      </c>
      <c r="E1421">
        <v>12644369</v>
      </c>
    </row>
    <row r="1422" spans="1:5" x14ac:dyDescent="0.25">
      <c r="A1422">
        <v>1</v>
      </c>
      <c r="B1422">
        <v>1</v>
      </c>
      <c r="C1422">
        <v>4</v>
      </c>
      <c r="D1422">
        <v>2040</v>
      </c>
      <c r="E1422">
        <v>12804752</v>
      </c>
    </row>
    <row r="1423" spans="1:5" x14ac:dyDescent="0.25">
      <c r="A1423">
        <v>1</v>
      </c>
      <c r="B1423">
        <v>1</v>
      </c>
      <c r="C1423">
        <v>4</v>
      </c>
      <c r="D1423">
        <v>2041</v>
      </c>
      <c r="E1423">
        <v>12964136</v>
      </c>
    </row>
    <row r="1424" spans="1:5" x14ac:dyDescent="0.25">
      <c r="A1424">
        <v>1</v>
      </c>
      <c r="B1424">
        <v>1</v>
      </c>
      <c r="C1424">
        <v>4</v>
      </c>
      <c r="D1424">
        <v>2042</v>
      </c>
      <c r="E1424">
        <v>13122535</v>
      </c>
    </row>
    <row r="1425" spans="1:5" x14ac:dyDescent="0.25">
      <c r="A1425">
        <v>1</v>
      </c>
      <c r="B1425">
        <v>1</v>
      </c>
      <c r="C1425">
        <v>4</v>
      </c>
      <c r="D1425">
        <v>2043</v>
      </c>
      <c r="E1425">
        <v>13280019</v>
      </c>
    </row>
    <row r="1426" spans="1:5" x14ac:dyDescent="0.25">
      <c r="A1426">
        <v>1</v>
      </c>
      <c r="B1426">
        <v>1</v>
      </c>
      <c r="C1426">
        <v>4</v>
      </c>
      <c r="D1426">
        <v>2044</v>
      </c>
      <c r="E1426">
        <v>13436611</v>
      </c>
    </row>
    <row r="1427" spans="1:5" x14ac:dyDescent="0.25">
      <c r="A1427">
        <v>1</v>
      </c>
      <c r="B1427">
        <v>1</v>
      </c>
      <c r="C1427">
        <v>4</v>
      </c>
      <c r="D1427">
        <v>2045</v>
      </c>
      <c r="E1427">
        <v>13592280</v>
      </c>
    </row>
    <row r="1428" spans="1:5" x14ac:dyDescent="0.25">
      <c r="A1428">
        <v>1</v>
      </c>
      <c r="B1428">
        <v>1</v>
      </c>
      <c r="C1428">
        <v>4</v>
      </c>
      <c r="D1428">
        <v>2046</v>
      </c>
      <c r="E1428">
        <v>13747014</v>
      </c>
    </row>
    <row r="1429" spans="1:5" x14ac:dyDescent="0.25">
      <c r="A1429">
        <v>1</v>
      </c>
      <c r="B1429">
        <v>1</v>
      </c>
      <c r="C1429">
        <v>4</v>
      </c>
      <c r="D1429">
        <v>2047</v>
      </c>
      <c r="E1429">
        <v>13900789</v>
      </c>
    </row>
    <row r="1430" spans="1:5" x14ac:dyDescent="0.25">
      <c r="A1430">
        <v>1</v>
      </c>
      <c r="B1430">
        <v>1</v>
      </c>
      <c r="C1430">
        <v>4</v>
      </c>
      <c r="D1430">
        <v>2048</v>
      </c>
      <c r="E1430">
        <v>14053536</v>
      </c>
    </row>
    <row r="1431" spans="1:5" x14ac:dyDescent="0.25">
      <c r="A1431">
        <v>1</v>
      </c>
      <c r="B1431">
        <v>1</v>
      </c>
      <c r="C1431">
        <v>4</v>
      </c>
      <c r="D1431">
        <v>2049</v>
      </c>
      <c r="E1431">
        <v>14205214</v>
      </c>
    </row>
    <row r="1432" spans="1:5" x14ac:dyDescent="0.25">
      <c r="A1432">
        <v>1</v>
      </c>
      <c r="B1432">
        <v>1</v>
      </c>
      <c r="C1432">
        <v>4</v>
      </c>
      <c r="D1432">
        <v>2050</v>
      </c>
      <c r="E1432">
        <v>14355735</v>
      </c>
    </row>
    <row r="1433" spans="1:5" x14ac:dyDescent="0.25">
      <c r="A1433">
        <v>1</v>
      </c>
      <c r="B1433">
        <v>1</v>
      </c>
      <c r="C1433">
        <v>5</v>
      </c>
      <c r="D1433">
        <v>2024</v>
      </c>
      <c r="E1433">
        <v>330743</v>
      </c>
    </row>
    <row r="1434" spans="1:5" x14ac:dyDescent="0.25">
      <c r="A1434">
        <v>1</v>
      </c>
      <c r="B1434">
        <v>1</v>
      </c>
      <c r="C1434">
        <v>5</v>
      </c>
      <c r="D1434">
        <v>2025</v>
      </c>
      <c r="E1434">
        <v>335204</v>
      </c>
    </row>
    <row r="1435" spans="1:5" x14ac:dyDescent="0.25">
      <c r="A1435">
        <v>1</v>
      </c>
      <c r="B1435">
        <v>1</v>
      </c>
      <c r="C1435">
        <v>5</v>
      </c>
      <c r="D1435">
        <v>2026</v>
      </c>
      <c r="E1435">
        <v>339616</v>
      </c>
    </row>
    <row r="1436" spans="1:5" x14ac:dyDescent="0.25">
      <c r="A1436">
        <v>1</v>
      </c>
      <c r="B1436">
        <v>1</v>
      </c>
      <c r="C1436">
        <v>5</v>
      </c>
      <c r="D1436">
        <v>2027</v>
      </c>
      <c r="E1436">
        <v>343974</v>
      </c>
    </row>
    <row r="1437" spans="1:5" x14ac:dyDescent="0.25">
      <c r="A1437">
        <v>1</v>
      </c>
      <c r="B1437">
        <v>1</v>
      </c>
      <c r="C1437">
        <v>5</v>
      </c>
      <c r="D1437">
        <v>2028</v>
      </c>
      <c r="E1437">
        <v>348294</v>
      </c>
    </row>
    <row r="1438" spans="1:5" x14ac:dyDescent="0.25">
      <c r="A1438">
        <v>1</v>
      </c>
      <c r="B1438">
        <v>1</v>
      </c>
      <c r="C1438">
        <v>5</v>
      </c>
      <c r="D1438">
        <v>2029</v>
      </c>
      <c r="E1438">
        <v>352557</v>
      </c>
    </row>
    <row r="1439" spans="1:5" x14ac:dyDescent="0.25">
      <c r="A1439">
        <v>1</v>
      </c>
      <c r="B1439">
        <v>1</v>
      </c>
      <c r="C1439">
        <v>5</v>
      </c>
      <c r="D1439">
        <v>2030</v>
      </c>
      <c r="E1439">
        <v>356762</v>
      </c>
    </row>
    <row r="1440" spans="1:5" x14ac:dyDescent="0.25">
      <c r="A1440">
        <v>1</v>
      </c>
      <c r="B1440">
        <v>1</v>
      </c>
      <c r="C1440">
        <v>5</v>
      </c>
      <c r="D1440">
        <v>2031</v>
      </c>
      <c r="E1440">
        <v>360892</v>
      </c>
    </row>
    <row r="1441" spans="1:5" x14ac:dyDescent="0.25">
      <c r="A1441">
        <v>1</v>
      </c>
      <c r="B1441">
        <v>1</v>
      </c>
      <c r="C1441">
        <v>5</v>
      </c>
      <c r="D1441">
        <v>2032</v>
      </c>
      <c r="E1441">
        <v>364912</v>
      </c>
    </row>
    <row r="1442" spans="1:5" x14ac:dyDescent="0.25">
      <c r="A1442">
        <v>1</v>
      </c>
      <c r="B1442">
        <v>1</v>
      </c>
      <c r="C1442">
        <v>5</v>
      </c>
      <c r="D1442">
        <v>2033</v>
      </c>
      <c r="E1442">
        <v>368899</v>
      </c>
    </row>
    <row r="1443" spans="1:5" x14ac:dyDescent="0.25">
      <c r="A1443">
        <v>1</v>
      </c>
      <c r="B1443">
        <v>1</v>
      </c>
      <c r="C1443">
        <v>5</v>
      </c>
      <c r="D1443">
        <v>2034</v>
      </c>
      <c r="E1443">
        <v>372850</v>
      </c>
    </row>
    <row r="1444" spans="1:5" x14ac:dyDescent="0.25">
      <c r="A1444">
        <v>1</v>
      </c>
      <c r="B1444">
        <v>1</v>
      </c>
      <c r="C1444">
        <v>5</v>
      </c>
      <c r="D1444">
        <v>2035</v>
      </c>
      <c r="E1444">
        <v>376766</v>
      </c>
    </row>
    <row r="1445" spans="1:5" x14ac:dyDescent="0.25">
      <c r="A1445">
        <v>1</v>
      </c>
      <c r="B1445">
        <v>1</v>
      </c>
      <c r="C1445">
        <v>5</v>
      </c>
      <c r="D1445">
        <v>2036</v>
      </c>
      <c r="E1445">
        <v>380649</v>
      </c>
    </row>
    <row r="1446" spans="1:5" x14ac:dyDescent="0.25">
      <c r="A1446">
        <v>1</v>
      </c>
      <c r="B1446">
        <v>1</v>
      </c>
      <c r="C1446">
        <v>5</v>
      </c>
      <c r="D1446">
        <v>2037</v>
      </c>
      <c r="E1446">
        <v>384499</v>
      </c>
    </row>
    <row r="1447" spans="1:5" x14ac:dyDescent="0.25">
      <c r="A1447">
        <v>1</v>
      </c>
      <c r="B1447">
        <v>1</v>
      </c>
      <c r="C1447">
        <v>5</v>
      </c>
      <c r="D1447">
        <v>2038</v>
      </c>
      <c r="E1447">
        <v>388325</v>
      </c>
    </row>
    <row r="1448" spans="1:5" x14ac:dyDescent="0.25">
      <c r="A1448">
        <v>1</v>
      </c>
      <c r="B1448">
        <v>1</v>
      </c>
      <c r="C1448">
        <v>5</v>
      </c>
      <c r="D1448">
        <v>2039</v>
      </c>
      <c r="E1448">
        <v>392109</v>
      </c>
    </row>
    <row r="1449" spans="1:5" x14ac:dyDescent="0.25">
      <c r="A1449">
        <v>1</v>
      </c>
      <c r="B1449">
        <v>1</v>
      </c>
      <c r="C1449">
        <v>5</v>
      </c>
      <c r="D1449">
        <v>2040</v>
      </c>
      <c r="E1449">
        <v>395857</v>
      </c>
    </row>
    <row r="1450" spans="1:5" x14ac:dyDescent="0.25">
      <c r="A1450">
        <v>1</v>
      </c>
      <c r="B1450">
        <v>1</v>
      </c>
      <c r="C1450">
        <v>5</v>
      </c>
      <c r="D1450">
        <v>2041</v>
      </c>
      <c r="E1450">
        <v>399579</v>
      </c>
    </row>
    <row r="1451" spans="1:5" x14ac:dyDescent="0.25">
      <c r="A1451">
        <v>1</v>
      </c>
      <c r="B1451">
        <v>1</v>
      </c>
      <c r="C1451">
        <v>5</v>
      </c>
      <c r="D1451">
        <v>2042</v>
      </c>
      <c r="E1451">
        <v>403253</v>
      </c>
    </row>
    <row r="1452" spans="1:5" x14ac:dyDescent="0.25">
      <c r="A1452">
        <v>1</v>
      </c>
      <c r="B1452">
        <v>1</v>
      </c>
      <c r="C1452">
        <v>5</v>
      </c>
      <c r="D1452">
        <v>2043</v>
      </c>
      <c r="E1452">
        <v>406873</v>
      </c>
    </row>
    <row r="1453" spans="1:5" x14ac:dyDescent="0.25">
      <c r="A1453">
        <v>1</v>
      </c>
      <c r="B1453">
        <v>1</v>
      </c>
      <c r="C1453">
        <v>5</v>
      </c>
      <c r="D1453">
        <v>2044</v>
      </c>
      <c r="E1453">
        <v>410469</v>
      </c>
    </row>
    <row r="1454" spans="1:5" x14ac:dyDescent="0.25">
      <c r="A1454">
        <v>1</v>
      </c>
      <c r="B1454">
        <v>1</v>
      </c>
      <c r="C1454">
        <v>5</v>
      </c>
      <c r="D1454">
        <v>2045</v>
      </c>
      <c r="E1454">
        <v>414018</v>
      </c>
    </row>
    <row r="1455" spans="1:5" x14ac:dyDescent="0.25">
      <c r="A1455">
        <v>1</v>
      </c>
      <c r="B1455">
        <v>1</v>
      </c>
      <c r="C1455">
        <v>5</v>
      </c>
      <c r="D1455">
        <v>2046</v>
      </c>
      <c r="E1455">
        <v>417519</v>
      </c>
    </row>
    <row r="1456" spans="1:5" x14ac:dyDescent="0.25">
      <c r="A1456">
        <v>1</v>
      </c>
      <c r="B1456">
        <v>1</v>
      </c>
      <c r="C1456">
        <v>5</v>
      </c>
      <c r="D1456">
        <v>2047</v>
      </c>
      <c r="E1456">
        <v>421000</v>
      </c>
    </row>
    <row r="1457" spans="1:5" x14ac:dyDescent="0.25">
      <c r="A1457">
        <v>1</v>
      </c>
      <c r="B1457">
        <v>1</v>
      </c>
      <c r="C1457">
        <v>5</v>
      </c>
      <c r="D1457">
        <v>2048</v>
      </c>
      <c r="E1457">
        <v>424405</v>
      </c>
    </row>
    <row r="1458" spans="1:5" x14ac:dyDescent="0.25">
      <c r="A1458">
        <v>1</v>
      </c>
      <c r="B1458">
        <v>1</v>
      </c>
      <c r="C1458">
        <v>5</v>
      </c>
      <c r="D1458">
        <v>2049</v>
      </c>
      <c r="E1458">
        <v>427790</v>
      </c>
    </row>
    <row r="1459" spans="1:5" x14ac:dyDescent="0.25">
      <c r="A1459">
        <v>1</v>
      </c>
      <c r="B1459">
        <v>1</v>
      </c>
      <c r="C1459">
        <v>5</v>
      </c>
      <c r="D1459">
        <v>2050</v>
      </c>
      <c r="E1459">
        <v>431105</v>
      </c>
    </row>
    <row r="1460" spans="1:5" x14ac:dyDescent="0.25">
      <c r="A1460">
        <v>1</v>
      </c>
      <c r="B1460">
        <v>1</v>
      </c>
      <c r="C1460">
        <v>6</v>
      </c>
      <c r="D1460">
        <v>2024</v>
      </c>
      <c r="E1460">
        <v>4177510</v>
      </c>
    </row>
    <row r="1461" spans="1:5" x14ac:dyDescent="0.25">
      <c r="A1461">
        <v>1</v>
      </c>
      <c r="B1461">
        <v>1</v>
      </c>
      <c r="C1461">
        <v>6</v>
      </c>
      <c r="D1461">
        <v>2025</v>
      </c>
      <c r="E1461">
        <v>4283700</v>
      </c>
    </row>
    <row r="1462" spans="1:5" x14ac:dyDescent="0.25">
      <c r="A1462">
        <v>1</v>
      </c>
      <c r="B1462">
        <v>1</v>
      </c>
      <c r="C1462">
        <v>6</v>
      </c>
      <c r="D1462">
        <v>2026</v>
      </c>
      <c r="E1462">
        <v>4391798</v>
      </c>
    </row>
    <row r="1463" spans="1:5" x14ac:dyDescent="0.25">
      <c r="A1463">
        <v>1</v>
      </c>
      <c r="B1463">
        <v>1</v>
      </c>
      <c r="C1463">
        <v>6</v>
      </c>
      <c r="D1463">
        <v>2027</v>
      </c>
      <c r="E1463">
        <v>4501803</v>
      </c>
    </row>
    <row r="1464" spans="1:5" x14ac:dyDescent="0.25">
      <c r="A1464">
        <v>1</v>
      </c>
      <c r="B1464">
        <v>1</v>
      </c>
      <c r="C1464">
        <v>6</v>
      </c>
      <c r="D1464">
        <v>2028</v>
      </c>
      <c r="E1464">
        <v>4613711</v>
      </c>
    </row>
    <row r="1465" spans="1:5" x14ac:dyDescent="0.25">
      <c r="A1465">
        <v>1</v>
      </c>
      <c r="B1465">
        <v>1</v>
      </c>
      <c r="C1465">
        <v>6</v>
      </c>
      <c r="D1465">
        <v>2029</v>
      </c>
      <c r="E1465">
        <v>4727434</v>
      </c>
    </row>
    <row r="1466" spans="1:5" x14ac:dyDescent="0.25">
      <c r="A1466">
        <v>1</v>
      </c>
      <c r="B1466">
        <v>1</v>
      </c>
      <c r="C1466">
        <v>6</v>
      </c>
      <c r="D1466">
        <v>2030</v>
      </c>
      <c r="E1466">
        <v>4842910</v>
      </c>
    </row>
    <row r="1467" spans="1:5" x14ac:dyDescent="0.25">
      <c r="A1467">
        <v>1</v>
      </c>
      <c r="B1467">
        <v>1</v>
      </c>
      <c r="C1467">
        <v>6</v>
      </c>
      <c r="D1467">
        <v>2031</v>
      </c>
      <c r="E1467">
        <v>4959987</v>
      </c>
    </row>
    <row r="1468" spans="1:5" x14ac:dyDescent="0.25">
      <c r="A1468">
        <v>1</v>
      </c>
      <c r="B1468">
        <v>1</v>
      </c>
      <c r="C1468">
        <v>6</v>
      </c>
      <c r="D1468">
        <v>2032</v>
      </c>
      <c r="E1468">
        <v>5078567</v>
      </c>
    </row>
    <row r="1469" spans="1:5" x14ac:dyDescent="0.25">
      <c r="A1469">
        <v>1</v>
      </c>
      <c r="B1469">
        <v>1</v>
      </c>
      <c r="C1469">
        <v>6</v>
      </c>
      <c r="D1469">
        <v>2033</v>
      </c>
      <c r="E1469">
        <v>5198732</v>
      </c>
    </row>
    <row r="1470" spans="1:5" x14ac:dyDescent="0.25">
      <c r="A1470">
        <v>1</v>
      </c>
      <c r="B1470">
        <v>1</v>
      </c>
      <c r="C1470">
        <v>6</v>
      </c>
      <c r="D1470">
        <v>2034</v>
      </c>
      <c r="E1470">
        <v>5320356</v>
      </c>
    </row>
    <row r="1471" spans="1:5" x14ac:dyDescent="0.25">
      <c r="A1471">
        <v>1</v>
      </c>
      <c r="B1471">
        <v>1</v>
      </c>
      <c r="C1471">
        <v>6</v>
      </c>
      <c r="D1471">
        <v>2035</v>
      </c>
      <c r="E1471">
        <v>5443332</v>
      </c>
    </row>
    <row r="1472" spans="1:5" x14ac:dyDescent="0.25">
      <c r="A1472">
        <v>1</v>
      </c>
      <c r="B1472">
        <v>1</v>
      </c>
      <c r="C1472">
        <v>6</v>
      </c>
      <c r="D1472">
        <v>2036</v>
      </c>
      <c r="E1472">
        <v>5567556</v>
      </c>
    </row>
    <row r="1473" spans="1:5" x14ac:dyDescent="0.25">
      <c r="A1473">
        <v>1</v>
      </c>
      <c r="B1473">
        <v>1</v>
      </c>
      <c r="C1473">
        <v>6</v>
      </c>
      <c r="D1473">
        <v>2037</v>
      </c>
      <c r="E1473">
        <v>5692859</v>
      </c>
    </row>
    <row r="1474" spans="1:5" x14ac:dyDescent="0.25">
      <c r="A1474">
        <v>1</v>
      </c>
      <c r="B1474">
        <v>1</v>
      </c>
      <c r="C1474">
        <v>6</v>
      </c>
      <c r="D1474">
        <v>2038</v>
      </c>
      <c r="E1474">
        <v>5819153</v>
      </c>
    </row>
    <row r="1475" spans="1:5" x14ac:dyDescent="0.25">
      <c r="A1475">
        <v>1</v>
      </c>
      <c r="B1475">
        <v>1</v>
      </c>
      <c r="C1475">
        <v>6</v>
      </c>
      <c r="D1475">
        <v>2039</v>
      </c>
      <c r="E1475">
        <v>5946228</v>
      </c>
    </row>
    <row r="1476" spans="1:5" x14ac:dyDescent="0.25">
      <c r="A1476">
        <v>1</v>
      </c>
      <c r="B1476">
        <v>1</v>
      </c>
      <c r="C1476">
        <v>6</v>
      </c>
      <c r="D1476">
        <v>2040</v>
      </c>
      <c r="E1476">
        <v>6074004</v>
      </c>
    </row>
    <row r="1477" spans="1:5" x14ac:dyDescent="0.25">
      <c r="A1477">
        <v>1</v>
      </c>
      <c r="B1477">
        <v>1</v>
      </c>
      <c r="C1477">
        <v>6</v>
      </c>
      <c r="D1477">
        <v>2041</v>
      </c>
      <c r="E1477">
        <v>6202355</v>
      </c>
    </row>
    <row r="1478" spans="1:5" x14ac:dyDescent="0.25">
      <c r="A1478">
        <v>1</v>
      </c>
      <c r="B1478">
        <v>1</v>
      </c>
      <c r="C1478">
        <v>6</v>
      </c>
      <c r="D1478">
        <v>2042</v>
      </c>
      <c r="E1478">
        <v>6331206</v>
      </c>
    </row>
    <row r="1479" spans="1:5" x14ac:dyDescent="0.25">
      <c r="A1479">
        <v>1</v>
      </c>
      <c r="B1479">
        <v>1</v>
      </c>
      <c r="C1479">
        <v>6</v>
      </c>
      <c r="D1479">
        <v>2043</v>
      </c>
      <c r="E1479">
        <v>6460534</v>
      </c>
    </row>
    <row r="1480" spans="1:5" x14ac:dyDescent="0.25">
      <c r="A1480">
        <v>1</v>
      </c>
      <c r="B1480">
        <v>1</v>
      </c>
      <c r="C1480">
        <v>6</v>
      </c>
      <c r="D1480">
        <v>2044</v>
      </c>
      <c r="E1480">
        <v>6590322</v>
      </c>
    </row>
    <row r="1481" spans="1:5" x14ac:dyDescent="0.25">
      <c r="A1481">
        <v>1</v>
      </c>
      <c r="B1481">
        <v>1</v>
      </c>
      <c r="C1481">
        <v>6</v>
      </c>
      <c r="D1481">
        <v>2045</v>
      </c>
      <c r="E1481">
        <v>6720559</v>
      </c>
    </row>
    <row r="1482" spans="1:5" x14ac:dyDescent="0.25">
      <c r="A1482">
        <v>1</v>
      </c>
      <c r="B1482">
        <v>1</v>
      </c>
      <c r="C1482">
        <v>6</v>
      </c>
      <c r="D1482">
        <v>2046</v>
      </c>
      <c r="E1482">
        <v>6851223</v>
      </c>
    </row>
    <row r="1483" spans="1:5" x14ac:dyDescent="0.25">
      <c r="A1483">
        <v>1</v>
      </c>
      <c r="B1483">
        <v>1</v>
      </c>
      <c r="C1483">
        <v>6</v>
      </c>
      <c r="D1483">
        <v>2047</v>
      </c>
      <c r="E1483">
        <v>6982331</v>
      </c>
    </row>
    <row r="1484" spans="1:5" x14ac:dyDescent="0.25">
      <c r="A1484">
        <v>1</v>
      </c>
      <c r="B1484">
        <v>1</v>
      </c>
      <c r="C1484">
        <v>6</v>
      </c>
      <c r="D1484">
        <v>2048</v>
      </c>
      <c r="E1484">
        <v>7113905</v>
      </c>
    </row>
    <row r="1485" spans="1:5" x14ac:dyDescent="0.25">
      <c r="A1485">
        <v>1</v>
      </c>
      <c r="B1485">
        <v>1</v>
      </c>
      <c r="C1485">
        <v>6</v>
      </c>
      <c r="D1485">
        <v>2049</v>
      </c>
      <c r="E1485">
        <v>7245906</v>
      </c>
    </row>
    <row r="1486" spans="1:5" x14ac:dyDescent="0.25">
      <c r="A1486">
        <v>1</v>
      </c>
      <c r="B1486">
        <v>1</v>
      </c>
      <c r="C1486">
        <v>6</v>
      </c>
      <c r="D1486">
        <v>2050</v>
      </c>
      <c r="E1486">
        <v>7378368</v>
      </c>
    </row>
    <row r="1487" spans="1:5" x14ac:dyDescent="0.25">
      <c r="A1487">
        <v>1</v>
      </c>
      <c r="B1487">
        <v>1</v>
      </c>
      <c r="C1487">
        <v>7</v>
      </c>
      <c r="D1487">
        <v>2024</v>
      </c>
      <c r="E1487">
        <v>101030855</v>
      </c>
    </row>
    <row r="1488" spans="1:5" x14ac:dyDescent="0.25">
      <c r="A1488">
        <v>1</v>
      </c>
      <c r="B1488">
        <v>1</v>
      </c>
      <c r="C1488">
        <v>7</v>
      </c>
      <c r="D1488">
        <v>2025</v>
      </c>
      <c r="E1488">
        <v>100977761</v>
      </c>
    </row>
    <row r="1489" spans="1:5" x14ac:dyDescent="0.25">
      <c r="A1489">
        <v>1</v>
      </c>
      <c r="B1489">
        <v>1</v>
      </c>
      <c r="C1489">
        <v>7</v>
      </c>
      <c r="D1489">
        <v>2026</v>
      </c>
      <c r="E1489">
        <v>100902238</v>
      </c>
    </row>
    <row r="1490" spans="1:5" x14ac:dyDescent="0.25">
      <c r="A1490">
        <v>1</v>
      </c>
      <c r="B1490">
        <v>1</v>
      </c>
      <c r="C1490">
        <v>7</v>
      </c>
      <c r="D1490">
        <v>2027</v>
      </c>
      <c r="E1490">
        <v>100804127</v>
      </c>
    </row>
    <row r="1491" spans="1:5" x14ac:dyDescent="0.25">
      <c r="A1491">
        <v>1</v>
      </c>
      <c r="B1491">
        <v>1</v>
      </c>
      <c r="C1491">
        <v>7</v>
      </c>
      <c r="D1491">
        <v>2028</v>
      </c>
      <c r="E1491">
        <v>100683148</v>
      </c>
    </row>
    <row r="1492" spans="1:5" x14ac:dyDescent="0.25">
      <c r="A1492">
        <v>1</v>
      </c>
      <c r="B1492">
        <v>1</v>
      </c>
      <c r="C1492">
        <v>7</v>
      </c>
      <c r="D1492">
        <v>2029</v>
      </c>
      <c r="E1492">
        <v>100539455</v>
      </c>
    </row>
    <row r="1493" spans="1:5" x14ac:dyDescent="0.25">
      <c r="A1493">
        <v>1</v>
      </c>
      <c r="B1493">
        <v>1</v>
      </c>
      <c r="C1493">
        <v>7</v>
      </c>
      <c r="D1493">
        <v>2030</v>
      </c>
      <c r="E1493">
        <v>100372922</v>
      </c>
    </row>
    <row r="1494" spans="1:5" x14ac:dyDescent="0.25">
      <c r="A1494">
        <v>1</v>
      </c>
      <c r="B1494">
        <v>1</v>
      </c>
      <c r="C1494">
        <v>7</v>
      </c>
      <c r="D1494">
        <v>2031</v>
      </c>
      <c r="E1494">
        <v>100183455</v>
      </c>
    </row>
    <row r="1495" spans="1:5" x14ac:dyDescent="0.25">
      <c r="A1495">
        <v>1</v>
      </c>
      <c r="B1495">
        <v>1</v>
      </c>
      <c r="C1495">
        <v>7</v>
      </c>
      <c r="D1495">
        <v>2032</v>
      </c>
      <c r="E1495">
        <v>99970687</v>
      </c>
    </row>
    <row r="1496" spans="1:5" x14ac:dyDescent="0.25">
      <c r="A1496">
        <v>1</v>
      </c>
      <c r="B1496">
        <v>1</v>
      </c>
      <c r="C1496">
        <v>7</v>
      </c>
      <c r="D1496">
        <v>2033</v>
      </c>
      <c r="E1496">
        <v>99737246</v>
      </c>
    </row>
    <row r="1497" spans="1:5" x14ac:dyDescent="0.25">
      <c r="A1497">
        <v>1</v>
      </c>
      <c r="B1497">
        <v>1</v>
      </c>
      <c r="C1497">
        <v>7</v>
      </c>
      <c r="D1497">
        <v>2034</v>
      </c>
      <c r="E1497">
        <v>99483476</v>
      </c>
    </row>
    <row r="1498" spans="1:5" x14ac:dyDescent="0.25">
      <c r="A1498">
        <v>1</v>
      </c>
      <c r="B1498">
        <v>1</v>
      </c>
      <c r="C1498">
        <v>7</v>
      </c>
      <c r="D1498">
        <v>2035</v>
      </c>
      <c r="E1498">
        <v>99209757</v>
      </c>
    </row>
    <row r="1499" spans="1:5" x14ac:dyDescent="0.25">
      <c r="A1499">
        <v>1</v>
      </c>
      <c r="B1499">
        <v>1</v>
      </c>
      <c r="C1499">
        <v>7</v>
      </c>
      <c r="D1499">
        <v>2036</v>
      </c>
      <c r="E1499">
        <v>98916664</v>
      </c>
    </row>
    <row r="1500" spans="1:5" x14ac:dyDescent="0.25">
      <c r="A1500">
        <v>1</v>
      </c>
      <c r="B1500">
        <v>1</v>
      </c>
      <c r="C1500">
        <v>7</v>
      </c>
      <c r="D1500">
        <v>2037</v>
      </c>
      <c r="E1500">
        <v>98604690</v>
      </c>
    </row>
    <row r="1501" spans="1:5" x14ac:dyDescent="0.25">
      <c r="A1501">
        <v>1</v>
      </c>
      <c r="B1501">
        <v>1</v>
      </c>
      <c r="C1501">
        <v>7</v>
      </c>
      <c r="D1501">
        <v>2038</v>
      </c>
      <c r="E1501">
        <v>98274682</v>
      </c>
    </row>
    <row r="1502" spans="1:5" x14ac:dyDescent="0.25">
      <c r="A1502">
        <v>1</v>
      </c>
      <c r="B1502">
        <v>1</v>
      </c>
      <c r="C1502">
        <v>7</v>
      </c>
      <c r="D1502">
        <v>2039</v>
      </c>
      <c r="E1502">
        <v>97927561</v>
      </c>
    </row>
    <row r="1503" spans="1:5" x14ac:dyDescent="0.25">
      <c r="A1503">
        <v>1</v>
      </c>
      <c r="B1503">
        <v>1</v>
      </c>
      <c r="C1503">
        <v>7</v>
      </c>
      <c r="D1503">
        <v>2040</v>
      </c>
      <c r="E1503">
        <v>97564398</v>
      </c>
    </row>
    <row r="1504" spans="1:5" x14ac:dyDescent="0.25">
      <c r="A1504">
        <v>1</v>
      </c>
      <c r="B1504">
        <v>1</v>
      </c>
      <c r="C1504">
        <v>7</v>
      </c>
      <c r="D1504">
        <v>2041</v>
      </c>
      <c r="E1504">
        <v>97186487</v>
      </c>
    </row>
    <row r="1505" spans="1:5" x14ac:dyDescent="0.25">
      <c r="A1505">
        <v>1</v>
      </c>
      <c r="B1505">
        <v>1</v>
      </c>
      <c r="C1505">
        <v>7</v>
      </c>
      <c r="D1505">
        <v>2042</v>
      </c>
      <c r="E1505">
        <v>96795439</v>
      </c>
    </row>
    <row r="1506" spans="1:5" x14ac:dyDescent="0.25">
      <c r="A1506">
        <v>1</v>
      </c>
      <c r="B1506">
        <v>1</v>
      </c>
      <c r="C1506">
        <v>7</v>
      </c>
      <c r="D1506">
        <v>2043</v>
      </c>
      <c r="E1506">
        <v>96392939</v>
      </c>
    </row>
    <row r="1507" spans="1:5" x14ac:dyDescent="0.25">
      <c r="A1507">
        <v>1</v>
      </c>
      <c r="B1507">
        <v>1</v>
      </c>
      <c r="C1507">
        <v>7</v>
      </c>
      <c r="D1507">
        <v>2044</v>
      </c>
      <c r="E1507">
        <v>95981041</v>
      </c>
    </row>
    <row r="1508" spans="1:5" x14ac:dyDescent="0.25">
      <c r="A1508">
        <v>1</v>
      </c>
      <c r="B1508">
        <v>1</v>
      </c>
      <c r="C1508">
        <v>7</v>
      </c>
      <c r="D1508">
        <v>2045</v>
      </c>
      <c r="E1508">
        <v>95561788</v>
      </c>
    </row>
    <row r="1509" spans="1:5" x14ac:dyDescent="0.25">
      <c r="A1509">
        <v>1</v>
      </c>
      <c r="B1509">
        <v>1</v>
      </c>
      <c r="C1509">
        <v>7</v>
      </c>
      <c r="D1509">
        <v>2046</v>
      </c>
      <c r="E1509">
        <v>95137181</v>
      </c>
    </row>
    <row r="1510" spans="1:5" x14ac:dyDescent="0.25">
      <c r="A1510">
        <v>1</v>
      </c>
      <c r="B1510">
        <v>1</v>
      </c>
      <c r="C1510">
        <v>7</v>
      </c>
      <c r="D1510">
        <v>2047</v>
      </c>
      <c r="E1510">
        <v>94708509</v>
      </c>
    </row>
    <row r="1511" spans="1:5" x14ac:dyDescent="0.25">
      <c r="A1511">
        <v>1</v>
      </c>
      <c r="B1511">
        <v>1</v>
      </c>
      <c r="C1511">
        <v>7</v>
      </c>
      <c r="D1511">
        <v>2048</v>
      </c>
      <c r="E1511">
        <v>94277599</v>
      </c>
    </row>
    <row r="1512" spans="1:5" x14ac:dyDescent="0.25">
      <c r="A1512">
        <v>1</v>
      </c>
      <c r="B1512">
        <v>1</v>
      </c>
      <c r="C1512">
        <v>7</v>
      </c>
      <c r="D1512">
        <v>2049</v>
      </c>
      <c r="E1512">
        <v>93846136</v>
      </c>
    </row>
    <row r="1513" spans="1:5" x14ac:dyDescent="0.25">
      <c r="A1513">
        <v>1</v>
      </c>
      <c r="B1513">
        <v>1</v>
      </c>
      <c r="C1513">
        <v>7</v>
      </c>
      <c r="D1513">
        <v>2050</v>
      </c>
      <c r="E1513">
        <v>93415687</v>
      </c>
    </row>
    <row r="1514" spans="1:5" x14ac:dyDescent="0.25">
      <c r="A1514">
        <v>1</v>
      </c>
      <c r="B1514">
        <v>1</v>
      </c>
      <c r="C1514">
        <v>8</v>
      </c>
      <c r="D1514">
        <v>2024</v>
      </c>
      <c r="E1514">
        <v>22378579</v>
      </c>
    </row>
    <row r="1515" spans="1:5" x14ac:dyDescent="0.25">
      <c r="A1515">
        <v>1</v>
      </c>
      <c r="B1515">
        <v>1</v>
      </c>
      <c r="C1515">
        <v>8</v>
      </c>
      <c r="D1515">
        <v>2025</v>
      </c>
      <c r="E1515">
        <v>22548798</v>
      </c>
    </row>
    <row r="1516" spans="1:5" x14ac:dyDescent="0.25">
      <c r="A1516">
        <v>1</v>
      </c>
      <c r="B1516">
        <v>1</v>
      </c>
      <c r="C1516">
        <v>8</v>
      </c>
      <c r="D1516">
        <v>2026</v>
      </c>
      <c r="E1516">
        <v>22720057</v>
      </c>
    </row>
    <row r="1517" spans="1:5" x14ac:dyDescent="0.25">
      <c r="A1517">
        <v>1</v>
      </c>
      <c r="B1517">
        <v>1</v>
      </c>
      <c r="C1517">
        <v>8</v>
      </c>
      <c r="D1517">
        <v>2027</v>
      </c>
      <c r="E1517">
        <v>22892234</v>
      </c>
    </row>
    <row r="1518" spans="1:5" x14ac:dyDescent="0.25">
      <c r="A1518">
        <v>1</v>
      </c>
      <c r="B1518">
        <v>1</v>
      </c>
      <c r="C1518">
        <v>8</v>
      </c>
      <c r="D1518">
        <v>2028</v>
      </c>
      <c r="E1518">
        <v>23064789</v>
      </c>
    </row>
    <row r="1519" spans="1:5" x14ac:dyDescent="0.25">
      <c r="A1519">
        <v>1</v>
      </c>
      <c r="B1519">
        <v>1</v>
      </c>
      <c r="C1519">
        <v>8</v>
      </c>
      <c r="D1519">
        <v>2029</v>
      </c>
      <c r="E1519">
        <v>23237165</v>
      </c>
    </row>
    <row r="1520" spans="1:5" x14ac:dyDescent="0.25">
      <c r="A1520">
        <v>1</v>
      </c>
      <c r="B1520">
        <v>1</v>
      </c>
      <c r="C1520">
        <v>8</v>
      </c>
      <c r="D1520">
        <v>2030</v>
      </c>
      <c r="E1520">
        <v>23408657</v>
      </c>
    </row>
    <row r="1521" spans="1:5" x14ac:dyDescent="0.25">
      <c r="A1521">
        <v>1</v>
      </c>
      <c r="B1521">
        <v>1</v>
      </c>
      <c r="C1521">
        <v>8</v>
      </c>
      <c r="D1521">
        <v>2031</v>
      </c>
      <c r="E1521">
        <v>23578853</v>
      </c>
    </row>
    <row r="1522" spans="1:5" x14ac:dyDescent="0.25">
      <c r="A1522">
        <v>1</v>
      </c>
      <c r="B1522">
        <v>1</v>
      </c>
      <c r="C1522">
        <v>8</v>
      </c>
      <c r="D1522">
        <v>2032</v>
      </c>
      <c r="E1522">
        <v>23747320</v>
      </c>
    </row>
    <row r="1523" spans="1:5" x14ac:dyDescent="0.25">
      <c r="A1523">
        <v>1</v>
      </c>
      <c r="B1523">
        <v>1</v>
      </c>
      <c r="C1523">
        <v>8</v>
      </c>
      <c r="D1523">
        <v>2033</v>
      </c>
      <c r="E1523">
        <v>23914987</v>
      </c>
    </row>
    <row r="1524" spans="1:5" x14ac:dyDescent="0.25">
      <c r="A1524">
        <v>1</v>
      </c>
      <c r="B1524">
        <v>1</v>
      </c>
      <c r="C1524">
        <v>8</v>
      </c>
      <c r="D1524">
        <v>2034</v>
      </c>
      <c r="E1524">
        <v>24081791</v>
      </c>
    </row>
    <row r="1525" spans="1:5" x14ac:dyDescent="0.25">
      <c r="A1525">
        <v>1</v>
      </c>
      <c r="B1525">
        <v>1</v>
      </c>
      <c r="C1525">
        <v>8</v>
      </c>
      <c r="D1525">
        <v>2035</v>
      </c>
      <c r="E1525">
        <v>24247713</v>
      </c>
    </row>
    <row r="1526" spans="1:5" x14ac:dyDescent="0.25">
      <c r="A1526">
        <v>1</v>
      </c>
      <c r="B1526">
        <v>1</v>
      </c>
      <c r="C1526">
        <v>8</v>
      </c>
      <c r="D1526">
        <v>2036</v>
      </c>
      <c r="E1526">
        <v>24412696</v>
      </c>
    </row>
    <row r="1527" spans="1:5" x14ac:dyDescent="0.25">
      <c r="A1527">
        <v>1</v>
      </c>
      <c r="B1527">
        <v>1</v>
      </c>
      <c r="C1527">
        <v>8</v>
      </c>
      <c r="D1527">
        <v>2037</v>
      </c>
      <c r="E1527">
        <v>24576745</v>
      </c>
    </row>
    <row r="1528" spans="1:5" x14ac:dyDescent="0.25">
      <c r="A1528">
        <v>1</v>
      </c>
      <c r="B1528">
        <v>1</v>
      </c>
      <c r="C1528">
        <v>8</v>
      </c>
      <c r="D1528">
        <v>2038</v>
      </c>
      <c r="E1528">
        <v>24739854</v>
      </c>
    </row>
    <row r="1529" spans="1:5" x14ac:dyDescent="0.25">
      <c r="A1529">
        <v>1</v>
      </c>
      <c r="B1529">
        <v>1</v>
      </c>
      <c r="C1529">
        <v>8</v>
      </c>
      <c r="D1529">
        <v>2039</v>
      </c>
      <c r="E1529">
        <v>24902043</v>
      </c>
    </row>
    <row r="1530" spans="1:5" x14ac:dyDescent="0.25">
      <c r="A1530">
        <v>1</v>
      </c>
      <c r="B1530">
        <v>1</v>
      </c>
      <c r="C1530">
        <v>8</v>
      </c>
      <c r="D1530">
        <v>2040</v>
      </c>
      <c r="E1530">
        <v>25063286</v>
      </c>
    </row>
    <row r="1531" spans="1:5" x14ac:dyDescent="0.25">
      <c r="A1531">
        <v>1</v>
      </c>
      <c r="B1531">
        <v>1</v>
      </c>
      <c r="C1531">
        <v>8</v>
      </c>
      <c r="D1531">
        <v>2041</v>
      </c>
      <c r="E1531">
        <v>25223594</v>
      </c>
    </row>
    <row r="1532" spans="1:5" x14ac:dyDescent="0.25">
      <c r="A1532">
        <v>1</v>
      </c>
      <c r="B1532">
        <v>1</v>
      </c>
      <c r="C1532">
        <v>8</v>
      </c>
      <c r="D1532">
        <v>2042</v>
      </c>
      <c r="E1532">
        <v>25382993</v>
      </c>
    </row>
    <row r="1533" spans="1:5" x14ac:dyDescent="0.25">
      <c r="A1533">
        <v>1</v>
      </c>
      <c r="B1533">
        <v>1</v>
      </c>
      <c r="C1533">
        <v>8</v>
      </c>
      <c r="D1533">
        <v>2043</v>
      </c>
      <c r="E1533">
        <v>25541544</v>
      </c>
    </row>
    <row r="1534" spans="1:5" x14ac:dyDescent="0.25">
      <c r="A1534">
        <v>1</v>
      </c>
      <c r="B1534">
        <v>1</v>
      </c>
      <c r="C1534">
        <v>8</v>
      </c>
      <c r="D1534">
        <v>2044</v>
      </c>
      <c r="E1534">
        <v>25699353</v>
      </c>
    </row>
    <row r="1535" spans="1:5" x14ac:dyDescent="0.25">
      <c r="A1535">
        <v>1</v>
      </c>
      <c r="B1535">
        <v>1</v>
      </c>
      <c r="C1535">
        <v>8</v>
      </c>
      <c r="D1535">
        <v>2045</v>
      </c>
      <c r="E1535">
        <v>25856569</v>
      </c>
    </row>
    <row r="1536" spans="1:5" x14ac:dyDescent="0.25">
      <c r="A1536">
        <v>1</v>
      </c>
      <c r="B1536">
        <v>1</v>
      </c>
      <c r="C1536">
        <v>8</v>
      </c>
      <c r="D1536">
        <v>2046</v>
      </c>
      <c r="E1536">
        <v>26013391</v>
      </c>
    </row>
    <row r="1537" spans="1:5" x14ac:dyDescent="0.25">
      <c r="A1537">
        <v>1</v>
      </c>
      <c r="B1537">
        <v>1</v>
      </c>
      <c r="C1537">
        <v>8</v>
      </c>
      <c r="D1537">
        <v>2047</v>
      </c>
      <c r="E1537">
        <v>26170010</v>
      </c>
    </row>
    <row r="1538" spans="1:5" x14ac:dyDescent="0.25">
      <c r="A1538">
        <v>1</v>
      </c>
      <c r="B1538">
        <v>1</v>
      </c>
      <c r="C1538">
        <v>8</v>
      </c>
      <c r="D1538">
        <v>2048</v>
      </c>
      <c r="E1538">
        <v>26326559</v>
      </c>
    </row>
    <row r="1539" spans="1:5" x14ac:dyDescent="0.25">
      <c r="A1539">
        <v>1</v>
      </c>
      <c r="B1539">
        <v>1</v>
      </c>
      <c r="C1539">
        <v>8</v>
      </c>
      <c r="D1539">
        <v>2049</v>
      </c>
      <c r="E1539">
        <v>26483253</v>
      </c>
    </row>
    <row r="1540" spans="1:5" x14ac:dyDescent="0.25">
      <c r="A1540">
        <v>1</v>
      </c>
      <c r="B1540">
        <v>1</v>
      </c>
      <c r="C1540">
        <v>8</v>
      </c>
      <c r="D1540">
        <v>2050</v>
      </c>
      <c r="E1540">
        <v>26640249</v>
      </c>
    </row>
    <row r="1541" spans="1:5" x14ac:dyDescent="0.25">
      <c r="A1541">
        <v>1</v>
      </c>
      <c r="B1541">
        <v>1</v>
      </c>
      <c r="C1541">
        <v>9</v>
      </c>
      <c r="D1541">
        <v>2024</v>
      </c>
      <c r="E1541">
        <v>2209198</v>
      </c>
    </row>
    <row r="1542" spans="1:5" x14ac:dyDescent="0.25">
      <c r="A1542">
        <v>1</v>
      </c>
      <c r="B1542">
        <v>1</v>
      </c>
      <c r="C1542">
        <v>9</v>
      </c>
      <c r="D1542">
        <v>2025</v>
      </c>
      <c r="E1542">
        <v>2218269</v>
      </c>
    </row>
    <row r="1543" spans="1:5" x14ac:dyDescent="0.25">
      <c r="A1543">
        <v>1</v>
      </c>
      <c r="B1543">
        <v>1</v>
      </c>
      <c r="C1543">
        <v>9</v>
      </c>
      <c r="D1543">
        <v>2026</v>
      </c>
      <c r="E1543">
        <v>2227288</v>
      </c>
    </row>
    <row r="1544" spans="1:5" x14ac:dyDescent="0.25">
      <c r="A1544">
        <v>1</v>
      </c>
      <c r="B1544">
        <v>1</v>
      </c>
      <c r="C1544">
        <v>9</v>
      </c>
      <c r="D1544">
        <v>2027</v>
      </c>
      <c r="E1544">
        <v>2236174</v>
      </c>
    </row>
    <row r="1545" spans="1:5" x14ac:dyDescent="0.25">
      <c r="A1545">
        <v>1</v>
      </c>
      <c r="B1545">
        <v>1</v>
      </c>
      <c r="C1545">
        <v>9</v>
      </c>
      <c r="D1545">
        <v>2028</v>
      </c>
      <c r="E1545">
        <v>2244935</v>
      </c>
    </row>
    <row r="1546" spans="1:5" x14ac:dyDescent="0.25">
      <c r="A1546">
        <v>1</v>
      </c>
      <c r="B1546">
        <v>1</v>
      </c>
      <c r="C1546">
        <v>9</v>
      </c>
      <c r="D1546">
        <v>2029</v>
      </c>
      <c r="E1546">
        <v>2253483</v>
      </c>
    </row>
    <row r="1547" spans="1:5" x14ac:dyDescent="0.25">
      <c r="A1547">
        <v>1</v>
      </c>
      <c r="B1547">
        <v>1</v>
      </c>
      <c r="C1547">
        <v>9</v>
      </c>
      <c r="D1547">
        <v>2030</v>
      </c>
      <c r="E1547">
        <v>2261848</v>
      </c>
    </row>
    <row r="1548" spans="1:5" x14ac:dyDescent="0.25">
      <c r="A1548">
        <v>1</v>
      </c>
      <c r="B1548">
        <v>1</v>
      </c>
      <c r="C1548">
        <v>9</v>
      </c>
      <c r="D1548">
        <v>2031</v>
      </c>
      <c r="E1548">
        <v>2269964</v>
      </c>
    </row>
    <row r="1549" spans="1:5" x14ac:dyDescent="0.25">
      <c r="A1549">
        <v>1</v>
      </c>
      <c r="B1549">
        <v>1</v>
      </c>
      <c r="C1549">
        <v>9</v>
      </c>
      <c r="D1549">
        <v>2032</v>
      </c>
      <c r="E1549">
        <v>2277789</v>
      </c>
    </row>
    <row r="1550" spans="1:5" x14ac:dyDescent="0.25">
      <c r="A1550">
        <v>1</v>
      </c>
      <c r="B1550">
        <v>1</v>
      </c>
      <c r="C1550">
        <v>9</v>
      </c>
      <c r="D1550">
        <v>2033</v>
      </c>
      <c r="E1550">
        <v>2285324</v>
      </c>
    </row>
    <row r="1551" spans="1:5" x14ac:dyDescent="0.25">
      <c r="A1551">
        <v>1</v>
      </c>
      <c r="B1551">
        <v>1</v>
      </c>
      <c r="C1551">
        <v>9</v>
      </c>
      <c r="D1551">
        <v>2034</v>
      </c>
      <c r="E1551">
        <v>2292525</v>
      </c>
    </row>
    <row r="1552" spans="1:5" x14ac:dyDescent="0.25">
      <c r="A1552">
        <v>1</v>
      </c>
      <c r="B1552">
        <v>1</v>
      </c>
      <c r="C1552">
        <v>9</v>
      </c>
      <c r="D1552">
        <v>2035</v>
      </c>
      <c r="E1552">
        <v>2299382</v>
      </c>
    </row>
    <row r="1553" spans="1:5" x14ac:dyDescent="0.25">
      <c r="A1553">
        <v>1</v>
      </c>
      <c r="B1553">
        <v>1</v>
      </c>
      <c r="C1553">
        <v>9</v>
      </c>
      <c r="D1553">
        <v>2036</v>
      </c>
      <c r="E1553">
        <v>2305883</v>
      </c>
    </row>
    <row r="1554" spans="1:5" x14ac:dyDescent="0.25">
      <c r="A1554">
        <v>1</v>
      </c>
      <c r="B1554">
        <v>1</v>
      </c>
      <c r="C1554">
        <v>9</v>
      </c>
      <c r="D1554">
        <v>2037</v>
      </c>
      <c r="E1554">
        <v>2311986</v>
      </c>
    </row>
    <row r="1555" spans="1:5" x14ac:dyDescent="0.25">
      <c r="A1555">
        <v>1</v>
      </c>
      <c r="B1555">
        <v>1</v>
      </c>
      <c r="C1555">
        <v>9</v>
      </c>
      <c r="D1555">
        <v>2038</v>
      </c>
      <c r="E1555">
        <v>2317655</v>
      </c>
    </row>
    <row r="1556" spans="1:5" x14ac:dyDescent="0.25">
      <c r="A1556">
        <v>1</v>
      </c>
      <c r="B1556">
        <v>1</v>
      </c>
      <c r="C1556">
        <v>9</v>
      </c>
      <c r="D1556">
        <v>2039</v>
      </c>
      <c r="E1556">
        <v>2322894</v>
      </c>
    </row>
    <row r="1557" spans="1:5" x14ac:dyDescent="0.25">
      <c r="A1557">
        <v>1</v>
      </c>
      <c r="B1557">
        <v>1</v>
      </c>
      <c r="C1557">
        <v>9</v>
      </c>
      <c r="D1557">
        <v>2040</v>
      </c>
      <c r="E1557">
        <v>2327716</v>
      </c>
    </row>
    <row r="1558" spans="1:5" x14ac:dyDescent="0.25">
      <c r="A1558">
        <v>1</v>
      </c>
      <c r="B1558">
        <v>1</v>
      </c>
      <c r="C1558">
        <v>9</v>
      </c>
      <c r="D1558">
        <v>2041</v>
      </c>
      <c r="E1558">
        <v>2332093</v>
      </c>
    </row>
    <row r="1559" spans="1:5" x14ac:dyDescent="0.25">
      <c r="A1559">
        <v>1</v>
      </c>
      <c r="B1559">
        <v>1</v>
      </c>
      <c r="C1559">
        <v>9</v>
      </c>
      <c r="D1559">
        <v>2042</v>
      </c>
      <c r="E1559">
        <v>2336075</v>
      </c>
    </row>
    <row r="1560" spans="1:5" x14ac:dyDescent="0.25">
      <c r="A1560">
        <v>1</v>
      </c>
      <c r="B1560">
        <v>1</v>
      </c>
      <c r="C1560">
        <v>9</v>
      </c>
      <c r="D1560">
        <v>2043</v>
      </c>
      <c r="E1560">
        <v>2339675</v>
      </c>
    </row>
    <row r="1561" spans="1:5" x14ac:dyDescent="0.25">
      <c r="A1561">
        <v>1</v>
      </c>
      <c r="B1561">
        <v>1</v>
      </c>
      <c r="C1561">
        <v>9</v>
      </c>
      <c r="D1561">
        <v>2044</v>
      </c>
      <c r="E1561">
        <v>2342898</v>
      </c>
    </row>
    <row r="1562" spans="1:5" x14ac:dyDescent="0.25">
      <c r="A1562">
        <v>1</v>
      </c>
      <c r="B1562">
        <v>1</v>
      </c>
      <c r="C1562">
        <v>9</v>
      </c>
      <c r="D1562">
        <v>2045</v>
      </c>
      <c r="E1562">
        <v>2345770</v>
      </c>
    </row>
    <row r="1563" spans="1:5" x14ac:dyDescent="0.25">
      <c r="A1563">
        <v>1</v>
      </c>
      <c r="B1563">
        <v>1</v>
      </c>
      <c r="C1563">
        <v>9</v>
      </c>
      <c r="D1563">
        <v>2046</v>
      </c>
      <c r="E1563">
        <v>2348320</v>
      </c>
    </row>
    <row r="1564" spans="1:5" x14ac:dyDescent="0.25">
      <c r="A1564">
        <v>1</v>
      </c>
      <c r="B1564">
        <v>1</v>
      </c>
      <c r="C1564">
        <v>9</v>
      </c>
      <c r="D1564">
        <v>2047</v>
      </c>
      <c r="E1564">
        <v>2350569</v>
      </c>
    </row>
    <row r="1565" spans="1:5" x14ac:dyDescent="0.25">
      <c r="A1565">
        <v>1</v>
      </c>
      <c r="B1565">
        <v>1</v>
      </c>
      <c r="C1565">
        <v>9</v>
      </c>
      <c r="D1565">
        <v>2048</v>
      </c>
      <c r="E1565">
        <v>2352576</v>
      </c>
    </row>
    <row r="1566" spans="1:5" x14ac:dyDescent="0.25">
      <c r="A1566">
        <v>1</v>
      </c>
      <c r="B1566">
        <v>1</v>
      </c>
      <c r="C1566">
        <v>9</v>
      </c>
      <c r="D1566">
        <v>2049</v>
      </c>
      <c r="E1566">
        <v>2354340</v>
      </c>
    </row>
    <row r="1567" spans="1:5" x14ac:dyDescent="0.25">
      <c r="A1567">
        <v>1</v>
      </c>
      <c r="B1567">
        <v>1</v>
      </c>
      <c r="C1567">
        <v>9</v>
      </c>
      <c r="D1567">
        <v>2050</v>
      </c>
      <c r="E1567">
        <v>2355872</v>
      </c>
    </row>
    <row r="1568" spans="1:5" x14ac:dyDescent="0.25">
      <c r="A1568">
        <v>1</v>
      </c>
      <c r="B1568">
        <v>1</v>
      </c>
      <c r="C1568">
        <v>10</v>
      </c>
      <c r="D1568">
        <v>2024</v>
      </c>
      <c r="E1568">
        <v>11792234</v>
      </c>
    </row>
    <row r="1569" spans="1:5" x14ac:dyDescent="0.25">
      <c r="A1569">
        <v>1</v>
      </c>
      <c r="B1569">
        <v>1</v>
      </c>
      <c r="C1569">
        <v>10</v>
      </c>
      <c r="D1569">
        <v>2025</v>
      </c>
      <c r="E1569">
        <v>12013172</v>
      </c>
    </row>
    <row r="1570" spans="1:5" x14ac:dyDescent="0.25">
      <c r="A1570">
        <v>1</v>
      </c>
      <c r="B1570">
        <v>1</v>
      </c>
      <c r="C1570">
        <v>10</v>
      </c>
      <c r="D1570">
        <v>2026</v>
      </c>
      <c r="E1570">
        <v>12235209</v>
      </c>
    </row>
    <row r="1571" spans="1:5" x14ac:dyDescent="0.25">
      <c r="A1571">
        <v>1</v>
      </c>
      <c r="B1571">
        <v>1</v>
      </c>
      <c r="C1571">
        <v>10</v>
      </c>
      <c r="D1571">
        <v>2027</v>
      </c>
      <c r="E1571">
        <v>12457759</v>
      </c>
    </row>
    <row r="1572" spans="1:5" x14ac:dyDescent="0.25">
      <c r="A1572">
        <v>1</v>
      </c>
      <c r="B1572">
        <v>1</v>
      </c>
      <c r="C1572">
        <v>10</v>
      </c>
      <c r="D1572">
        <v>2028</v>
      </c>
      <c r="E1572">
        <v>12680333</v>
      </c>
    </row>
    <row r="1573" spans="1:5" x14ac:dyDescent="0.25">
      <c r="A1573">
        <v>1</v>
      </c>
      <c r="B1573">
        <v>1</v>
      </c>
      <c r="C1573">
        <v>10</v>
      </c>
      <c r="D1573">
        <v>2029</v>
      </c>
      <c r="E1573">
        <v>12903198</v>
      </c>
    </row>
    <row r="1574" spans="1:5" x14ac:dyDescent="0.25">
      <c r="A1574">
        <v>1</v>
      </c>
      <c r="B1574">
        <v>1</v>
      </c>
      <c r="C1574">
        <v>10</v>
      </c>
      <c r="D1574">
        <v>2030</v>
      </c>
      <c r="E1574">
        <v>13125609</v>
      </c>
    </row>
    <row r="1575" spans="1:5" x14ac:dyDescent="0.25">
      <c r="A1575">
        <v>1</v>
      </c>
      <c r="B1575">
        <v>1</v>
      </c>
      <c r="C1575">
        <v>10</v>
      </c>
      <c r="D1575">
        <v>2031</v>
      </c>
      <c r="E1575">
        <v>13346387</v>
      </c>
    </row>
    <row r="1576" spans="1:5" x14ac:dyDescent="0.25">
      <c r="A1576">
        <v>1</v>
      </c>
      <c r="B1576">
        <v>1</v>
      </c>
      <c r="C1576">
        <v>10</v>
      </c>
      <c r="D1576">
        <v>2032</v>
      </c>
      <c r="E1576">
        <v>13564459</v>
      </c>
    </row>
    <row r="1577" spans="1:5" x14ac:dyDescent="0.25">
      <c r="A1577">
        <v>1</v>
      </c>
      <c r="B1577">
        <v>1</v>
      </c>
      <c r="C1577">
        <v>10</v>
      </c>
      <c r="D1577">
        <v>2033</v>
      </c>
      <c r="E1577">
        <v>13782760</v>
      </c>
    </row>
    <row r="1578" spans="1:5" x14ac:dyDescent="0.25">
      <c r="A1578">
        <v>1</v>
      </c>
      <c r="B1578">
        <v>1</v>
      </c>
      <c r="C1578">
        <v>10</v>
      </c>
      <c r="D1578">
        <v>2034</v>
      </c>
      <c r="E1578">
        <v>14001110</v>
      </c>
    </row>
    <row r="1579" spans="1:5" x14ac:dyDescent="0.25">
      <c r="A1579">
        <v>1</v>
      </c>
      <c r="B1579">
        <v>1</v>
      </c>
      <c r="C1579">
        <v>10</v>
      </c>
      <c r="D1579">
        <v>2035</v>
      </c>
      <c r="E1579">
        <v>14219450</v>
      </c>
    </row>
    <row r="1580" spans="1:5" x14ac:dyDescent="0.25">
      <c r="A1580">
        <v>1</v>
      </c>
      <c r="B1580">
        <v>1</v>
      </c>
      <c r="C1580">
        <v>10</v>
      </c>
      <c r="D1580">
        <v>2036</v>
      </c>
      <c r="E1580">
        <v>14437658</v>
      </c>
    </row>
    <row r="1581" spans="1:5" x14ac:dyDescent="0.25">
      <c r="A1581">
        <v>1</v>
      </c>
      <c r="B1581">
        <v>1</v>
      </c>
      <c r="C1581">
        <v>10</v>
      </c>
      <c r="D1581">
        <v>2037</v>
      </c>
      <c r="E1581">
        <v>14655578</v>
      </c>
    </row>
    <row r="1582" spans="1:5" x14ac:dyDescent="0.25">
      <c r="A1582">
        <v>1</v>
      </c>
      <c r="B1582">
        <v>1</v>
      </c>
      <c r="C1582">
        <v>10</v>
      </c>
      <c r="D1582">
        <v>2038</v>
      </c>
      <c r="E1582">
        <v>14873057</v>
      </c>
    </row>
    <row r="1583" spans="1:5" x14ac:dyDescent="0.25">
      <c r="A1583">
        <v>1</v>
      </c>
      <c r="B1583">
        <v>1</v>
      </c>
      <c r="C1583">
        <v>10</v>
      </c>
      <c r="D1583">
        <v>2039</v>
      </c>
      <c r="E1583">
        <v>15090015</v>
      </c>
    </row>
    <row r="1584" spans="1:5" x14ac:dyDescent="0.25">
      <c r="A1584">
        <v>1</v>
      </c>
      <c r="B1584">
        <v>1</v>
      </c>
      <c r="C1584">
        <v>10</v>
      </c>
      <c r="D1584">
        <v>2040</v>
      </c>
      <c r="E1584">
        <v>15306368</v>
      </c>
    </row>
    <row r="1585" spans="1:5" x14ac:dyDescent="0.25">
      <c r="A1585">
        <v>1</v>
      </c>
      <c r="B1585">
        <v>1</v>
      </c>
      <c r="C1585">
        <v>10</v>
      </c>
      <c r="D1585">
        <v>2041</v>
      </c>
      <c r="E1585">
        <v>15522055</v>
      </c>
    </row>
    <row r="1586" spans="1:5" x14ac:dyDescent="0.25">
      <c r="A1586">
        <v>1</v>
      </c>
      <c r="B1586">
        <v>1</v>
      </c>
      <c r="C1586">
        <v>10</v>
      </c>
      <c r="D1586">
        <v>2042</v>
      </c>
      <c r="E1586">
        <v>15737072</v>
      </c>
    </row>
    <row r="1587" spans="1:5" x14ac:dyDescent="0.25">
      <c r="A1587">
        <v>1</v>
      </c>
      <c r="B1587">
        <v>1</v>
      </c>
      <c r="C1587">
        <v>10</v>
      </c>
      <c r="D1587">
        <v>2043</v>
      </c>
      <c r="E1587">
        <v>15951414</v>
      </c>
    </row>
    <row r="1588" spans="1:5" x14ac:dyDescent="0.25">
      <c r="A1588">
        <v>1</v>
      </c>
      <c r="B1588">
        <v>1</v>
      </c>
      <c r="C1588">
        <v>10</v>
      </c>
      <c r="D1588">
        <v>2044</v>
      </c>
      <c r="E1588">
        <v>16165142</v>
      </c>
    </row>
    <row r="1589" spans="1:5" x14ac:dyDescent="0.25">
      <c r="A1589">
        <v>1</v>
      </c>
      <c r="B1589">
        <v>1</v>
      </c>
      <c r="C1589">
        <v>10</v>
      </c>
      <c r="D1589">
        <v>2045</v>
      </c>
      <c r="E1589">
        <v>16378159</v>
      </c>
    </row>
    <row r="1590" spans="1:5" x14ac:dyDescent="0.25">
      <c r="A1590">
        <v>1</v>
      </c>
      <c r="B1590">
        <v>1</v>
      </c>
      <c r="C1590">
        <v>10</v>
      </c>
      <c r="D1590">
        <v>2046</v>
      </c>
      <c r="E1590">
        <v>16590420</v>
      </c>
    </row>
    <row r="1591" spans="1:5" x14ac:dyDescent="0.25">
      <c r="A1591">
        <v>1</v>
      </c>
      <c r="B1591">
        <v>1</v>
      </c>
      <c r="C1591">
        <v>10</v>
      </c>
      <c r="D1591">
        <v>2047</v>
      </c>
      <c r="E1591">
        <v>16801929</v>
      </c>
    </row>
    <row r="1592" spans="1:5" x14ac:dyDescent="0.25">
      <c r="A1592">
        <v>1</v>
      </c>
      <c r="B1592">
        <v>1</v>
      </c>
      <c r="C1592">
        <v>10</v>
      </c>
      <c r="D1592">
        <v>2048</v>
      </c>
      <c r="E1592">
        <v>17012603</v>
      </c>
    </row>
    <row r="1593" spans="1:5" x14ac:dyDescent="0.25">
      <c r="A1593">
        <v>1</v>
      </c>
      <c r="B1593">
        <v>1</v>
      </c>
      <c r="C1593">
        <v>10</v>
      </c>
      <c r="D1593">
        <v>2049</v>
      </c>
      <c r="E1593">
        <v>17222358</v>
      </c>
    </row>
    <row r="1594" spans="1:5" x14ac:dyDescent="0.25">
      <c r="A1594">
        <v>1</v>
      </c>
      <c r="B1594">
        <v>1</v>
      </c>
      <c r="C1594">
        <v>10</v>
      </c>
      <c r="D1594">
        <v>2050</v>
      </c>
      <c r="E1594">
        <v>17431133</v>
      </c>
    </row>
    <row r="1595" spans="1:5" x14ac:dyDescent="0.25">
      <c r="A1595">
        <v>1</v>
      </c>
      <c r="B1595">
        <v>1</v>
      </c>
      <c r="C1595">
        <v>11</v>
      </c>
      <c r="D1595">
        <v>2024</v>
      </c>
      <c r="E1595">
        <v>682198</v>
      </c>
    </row>
    <row r="1596" spans="1:5" x14ac:dyDescent="0.25">
      <c r="A1596">
        <v>1</v>
      </c>
      <c r="B1596">
        <v>1</v>
      </c>
      <c r="C1596">
        <v>11</v>
      </c>
      <c r="D1596">
        <v>2025</v>
      </c>
      <c r="E1596">
        <v>692453</v>
      </c>
    </row>
    <row r="1597" spans="1:5" x14ac:dyDescent="0.25">
      <c r="A1597">
        <v>1</v>
      </c>
      <c r="B1597">
        <v>1</v>
      </c>
      <c r="C1597">
        <v>11</v>
      </c>
      <c r="D1597">
        <v>2026</v>
      </c>
      <c r="E1597">
        <v>702755</v>
      </c>
    </row>
    <row r="1598" spans="1:5" x14ac:dyDescent="0.25">
      <c r="A1598">
        <v>1</v>
      </c>
      <c r="B1598">
        <v>1</v>
      </c>
      <c r="C1598">
        <v>11</v>
      </c>
      <c r="D1598">
        <v>2027</v>
      </c>
      <c r="E1598">
        <v>713091</v>
      </c>
    </row>
    <row r="1599" spans="1:5" x14ac:dyDescent="0.25">
      <c r="A1599">
        <v>1</v>
      </c>
      <c r="B1599">
        <v>1</v>
      </c>
      <c r="C1599">
        <v>11</v>
      </c>
      <c r="D1599">
        <v>2028</v>
      </c>
      <c r="E1599">
        <v>723477</v>
      </c>
    </row>
    <row r="1600" spans="1:5" x14ac:dyDescent="0.25">
      <c r="A1600">
        <v>1</v>
      </c>
      <c r="B1600">
        <v>1</v>
      </c>
      <c r="C1600">
        <v>11</v>
      </c>
      <c r="D1600">
        <v>2029</v>
      </c>
      <c r="E1600">
        <v>733887</v>
      </c>
    </row>
    <row r="1601" spans="1:5" x14ac:dyDescent="0.25">
      <c r="A1601">
        <v>1</v>
      </c>
      <c r="B1601">
        <v>1</v>
      </c>
      <c r="C1601">
        <v>11</v>
      </c>
      <c r="D1601">
        <v>2030</v>
      </c>
      <c r="E1601">
        <v>744321</v>
      </c>
    </row>
    <row r="1602" spans="1:5" x14ac:dyDescent="0.25">
      <c r="A1602">
        <v>1</v>
      </c>
      <c r="B1602">
        <v>1</v>
      </c>
      <c r="C1602">
        <v>11</v>
      </c>
      <c r="D1602">
        <v>2031</v>
      </c>
      <c r="E1602">
        <v>754701</v>
      </c>
    </row>
    <row r="1603" spans="1:5" x14ac:dyDescent="0.25">
      <c r="A1603">
        <v>1</v>
      </c>
      <c r="B1603">
        <v>1</v>
      </c>
      <c r="C1603">
        <v>11</v>
      </c>
      <c r="D1603">
        <v>2032</v>
      </c>
      <c r="E1603">
        <v>765035</v>
      </c>
    </row>
    <row r="1604" spans="1:5" x14ac:dyDescent="0.25">
      <c r="A1604">
        <v>1</v>
      </c>
      <c r="B1604">
        <v>1</v>
      </c>
      <c r="C1604">
        <v>11</v>
      </c>
      <c r="D1604">
        <v>2033</v>
      </c>
      <c r="E1604">
        <v>775387</v>
      </c>
    </row>
    <row r="1605" spans="1:5" x14ac:dyDescent="0.25">
      <c r="A1605">
        <v>1</v>
      </c>
      <c r="B1605">
        <v>1</v>
      </c>
      <c r="C1605">
        <v>11</v>
      </c>
      <c r="D1605">
        <v>2034</v>
      </c>
      <c r="E1605">
        <v>785745</v>
      </c>
    </row>
    <row r="1606" spans="1:5" x14ac:dyDescent="0.25">
      <c r="A1606">
        <v>1</v>
      </c>
      <c r="B1606">
        <v>1</v>
      </c>
      <c r="C1606">
        <v>11</v>
      </c>
      <c r="D1606">
        <v>2035</v>
      </c>
      <c r="E1606">
        <v>796102</v>
      </c>
    </row>
    <row r="1607" spans="1:5" x14ac:dyDescent="0.25">
      <c r="A1607">
        <v>1</v>
      </c>
      <c r="B1607">
        <v>1</v>
      </c>
      <c r="C1607">
        <v>11</v>
      </c>
      <c r="D1607">
        <v>2036</v>
      </c>
      <c r="E1607">
        <v>806474</v>
      </c>
    </row>
    <row r="1608" spans="1:5" x14ac:dyDescent="0.25">
      <c r="A1608">
        <v>1</v>
      </c>
      <c r="B1608">
        <v>1</v>
      </c>
      <c r="C1608">
        <v>11</v>
      </c>
      <c r="D1608">
        <v>2037</v>
      </c>
      <c r="E1608">
        <v>816843</v>
      </c>
    </row>
    <row r="1609" spans="1:5" x14ac:dyDescent="0.25">
      <c r="A1609">
        <v>1</v>
      </c>
      <c r="B1609">
        <v>1</v>
      </c>
      <c r="C1609">
        <v>11</v>
      </c>
      <c r="D1609">
        <v>2038</v>
      </c>
      <c r="E1609">
        <v>827219</v>
      </c>
    </row>
    <row r="1610" spans="1:5" x14ac:dyDescent="0.25">
      <c r="A1610">
        <v>1</v>
      </c>
      <c r="B1610">
        <v>1</v>
      </c>
      <c r="C1610">
        <v>11</v>
      </c>
      <c r="D1610">
        <v>2039</v>
      </c>
      <c r="E1610">
        <v>837497</v>
      </c>
    </row>
    <row r="1611" spans="1:5" x14ac:dyDescent="0.25">
      <c r="A1611">
        <v>1</v>
      </c>
      <c r="B1611">
        <v>1</v>
      </c>
      <c r="C1611">
        <v>11</v>
      </c>
      <c r="D1611">
        <v>2040</v>
      </c>
      <c r="E1611">
        <v>847724</v>
      </c>
    </row>
    <row r="1612" spans="1:5" x14ac:dyDescent="0.25">
      <c r="A1612">
        <v>1</v>
      </c>
      <c r="B1612">
        <v>1</v>
      </c>
      <c r="C1612">
        <v>11</v>
      </c>
      <c r="D1612">
        <v>2041</v>
      </c>
      <c r="E1612">
        <v>857888</v>
      </c>
    </row>
    <row r="1613" spans="1:5" x14ac:dyDescent="0.25">
      <c r="A1613">
        <v>1</v>
      </c>
      <c r="B1613">
        <v>1</v>
      </c>
      <c r="C1613">
        <v>11</v>
      </c>
      <c r="D1613">
        <v>2042</v>
      </c>
      <c r="E1613">
        <v>868004</v>
      </c>
    </row>
    <row r="1614" spans="1:5" x14ac:dyDescent="0.25">
      <c r="A1614">
        <v>1</v>
      </c>
      <c r="B1614">
        <v>1</v>
      </c>
      <c r="C1614">
        <v>11</v>
      </c>
      <c r="D1614">
        <v>2043</v>
      </c>
      <c r="E1614">
        <v>878029</v>
      </c>
    </row>
    <row r="1615" spans="1:5" x14ac:dyDescent="0.25">
      <c r="A1615">
        <v>1</v>
      </c>
      <c r="B1615">
        <v>1</v>
      </c>
      <c r="C1615">
        <v>11</v>
      </c>
      <c r="D1615">
        <v>2044</v>
      </c>
      <c r="E1615">
        <v>888000</v>
      </c>
    </row>
    <row r="1616" spans="1:5" x14ac:dyDescent="0.25">
      <c r="A1616">
        <v>1</v>
      </c>
      <c r="B1616">
        <v>1</v>
      </c>
      <c r="C1616">
        <v>11</v>
      </c>
      <c r="D1616">
        <v>2045</v>
      </c>
      <c r="E1616">
        <v>897895</v>
      </c>
    </row>
    <row r="1617" spans="1:5" x14ac:dyDescent="0.25">
      <c r="A1617">
        <v>1</v>
      </c>
      <c r="B1617">
        <v>1</v>
      </c>
      <c r="C1617">
        <v>11</v>
      </c>
      <c r="D1617">
        <v>2046</v>
      </c>
      <c r="E1617">
        <v>907729</v>
      </c>
    </row>
    <row r="1618" spans="1:5" x14ac:dyDescent="0.25">
      <c r="A1618">
        <v>1</v>
      </c>
      <c r="B1618">
        <v>1</v>
      </c>
      <c r="C1618">
        <v>11</v>
      </c>
      <c r="D1618">
        <v>2047</v>
      </c>
      <c r="E1618">
        <v>917513</v>
      </c>
    </row>
    <row r="1619" spans="1:5" x14ac:dyDescent="0.25">
      <c r="A1619">
        <v>1</v>
      </c>
      <c r="B1619">
        <v>1</v>
      </c>
      <c r="C1619">
        <v>11</v>
      </c>
      <c r="D1619">
        <v>2048</v>
      </c>
      <c r="E1619">
        <v>927217</v>
      </c>
    </row>
    <row r="1620" spans="1:5" x14ac:dyDescent="0.25">
      <c r="A1620">
        <v>1</v>
      </c>
      <c r="B1620">
        <v>1</v>
      </c>
      <c r="C1620">
        <v>11</v>
      </c>
      <c r="D1620">
        <v>2049</v>
      </c>
      <c r="E1620">
        <v>936853</v>
      </c>
    </row>
    <row r="1621" spans="1:5" x14ac:dyDescent="0.25">
      <c r="A1621">
        <v>1</v>
      </c>
      <c r="B1621">
        <v>1</v>
      </c>
      <c r="C1621">
        <v>11</v>
      </c>
      <c r="D1621">
        <v>2050</v>
      </c>
      <c r="E1621">
        <v>946399</v>
      </c>
    </row>
    <row r="1622" spans="1:5" x14ac:dyDescent="0.25">
      <c r="A1622">
        <v>1</v>
      </c>
      <c r="B1622">
        <v>2</v>
      </c>
      <c r="C1622">
        <v>0</v>
      </c>
      <c r="D1622">
        <v>2024</v>
      </c>
      <c r="E1622">
        <v>33254731</v>
      </c>
    </row>
    <row r="1623" spans="1:5" x14ac:dyDescent="0.25">
      <c r="A1623">
        <v>1</v>
      </c>
      <c r="B1623">
        <v>2</v>
      </c>
      <c r="C1623">
        <v>0</v>
      </c>
      <c r="D1623">
        <v>2025</v>
      </c>
      <c r="E1623">
        <v>33743121</v>
      </c>
    </row>
    <row r="1624" spans="1:5" x14ac:dyDescent="0.25">
      <c r="A1624">
        <v>1</v>
      </c>
      <c r="B1624">
        <v>2</v>
      </c>
      <c r="C1624">
        <v>0</v>
      </c>
      <c r="D1624">
        <v>2026</v>
      </c>
      <c r="E1624">
        <v>34233033</v>
      </c>
    </row>
    <row r="1625" spans="1:5" x14ac:dyDescent="0.25">
      <c r="A1625">
        <v>1</v>
      </c>
      <c r="B1625">
        <v>2</v>
      </c>
      <c r="C1625">
        <v>0</v>
      </c>
      <c r="D1625">
        <v>2027</v>
      </c>
      <c r="E1625">
        <v>34724569</v>
      </c>
    </row>
    <row r="1626" spans="1:5" x14ac:dyDescent="0.25">
      <c r="A1626">
        <v>1</v>
      </c>
      <c r="B1626">
        <v>2</v>
      </c>
      <c r="C1626">
        <v>0</v>
      </c>
      <c r="D1626">
        <v>2028</v>
      </c>
      <c r="E1626">
        <v>35217534</v>
      </c>
    </row>
    <row r="1627" spans="1:5" x14ac:dyDescent="0.25">
      <c r="A1627">
        <v>1</v>
      </c>
      <c r="B1627">
        <v>2</v>
      </c>
      <c r="C1627">
        <v>0</v>
      </c>
      <c r="D1627">
        <v>2029</v>
      </c>
      <c r="E1627">
        <v>35711466</v>
      </c>
    </row>
    <row r="1628" spans="1:5" x14ac:dyDescent="0.25">
      <c r="A1628">
        <v>1</v>
      </c>
      <c r="B1628">
        <v>2</v>
      </c>
      <c r="C1628">
        <v>0</v>
      </c>
      <c r="D1628">
        <v>2030</v>
      </c>
      <c r="E1628">
        <v>36206422</v>
      </c>
    </row>
    <row r="1629" spans="1:5" x14ac:dyDescent="0.25">
      <c r="A1629">
        <v>1</v>
      </c>
      <c r="B1629">
        <v>2</v>
      </c>
      <c r="C1629">
        <v>0</v>
      </c>
      <c r="D1629">
        <v>2031</v>
      </c>
      <c r="E1629">
        <v>36702125</v>
      </c>
    </row>
    <row r="1630" spans="1:5" x14ac:dyDescent="0.25">
      <c r="A1630">
        <v>1</v>
      </c>
      <c r="B1630">
        <v>2</v>
      </c>
      <c r="C1630">
        <v>0</v>
      </c>
      <c r="D1630">
        <v>2032</v>
      </c>
      <c r="E1630">
        <v>37198189</v>
      </c>
    </row>
    <row r="1631" spans="1:5" x14ac:dyDescent="0.25">
      <c r="A1631">
        <v>1</v>
      </c>
      <c r="B1631">
        <v>2</v>
      </c>
      <c r="C1631">
        <v>0</v>
      </c>
      <c r="D1631">
        <v>2033</v>
      </c>
      <c r="E1631">
        <v>37694099</v>
      </c>
    </row>
    <row r="1632" spans="1:5" x14ac:dyDescent="0.25">
      <c r="A1632">
        <v>1</v>
      </c>
      <c r="B1632">
        <v>2</v>
      </c>
      <c r="C1632">
        <v>0</v>
      </c>
      <c r="D1632">
        <v>2034</v>
      </c>
      <c r="E1632">
        <v>38189302</v>
      </c>
    </row>
    <row r="1633" spans="1:5" x14ac:dyDescent="0.25">
      <c r="A1633">
        <v>1</v>
      </c>
      <c r="B1633">
        <v>2</v>
      </c>
      <c r="C1633">
        <v>0</v>
      </c>
      <c r="D1633">
        <v>2035</v>
      </c>
      <c r="E1633">
        <v>38683130</v>
      </c>
    </row>
    <row r="1634" spans="1:5" x14ac:dyDescent="0.25">
      <c r="A1634">
        <v>1</v>
      </c>
      <c r="B1634">
        <v>2</v>
      </c>
      <c r="C1634">
        <v>0</v>
      </c>
      <c r="D1634">
        <v>2036</v>
      </c>
      <c r="E1634">
        <v>39174938</v>
      </c>
    </row>
    <row r="1635" spans="1:5" x14ac:dyDescent="0.25">
      <c r="A1635">
        <v>1</v>
      </c>
      <c r="B1635">
        <v>2</v>
      </c>
      <c r="C1635">
        <v>0</v>
      </c>
      <c r="D1635">
        <v>2037</v>
      </c>
      <c r="E1635">
        <v>39663926</v>
      </c>
    </row>
    <row r="1636" spans="1:5" x14ac:dyDescent="0.25">
      <c r="A1636">
        <v>1</v>
      </c>
      <c r="B1636">
        <v>2</v>
      </c>
      <c r="C1636">
        <v>0</v>
      </c>
      <c r="D1636">
        <v>2038</v>
      </c>
      <c r="E1636">
        <v>40149361</v>
      </c>
    </row>
    <row r="1637" spans="1:5" x14ac:dyDescent="0.25">
      <c r="A1637">
        <v>1</v>
      </c>
      <c r="B1637">
        <v>2</v>
      </c>
      <c r="C1637">
        <v>0</v>
      </c>
      <c r="D1637">
        <v>2039</v>
      </c>
      <c r="E1637">
        <v>40630449</v>
      </c>
    </row>
    <row r="1638" spans="1:5" x14ac:dyDescent="0.25">
      <c r="A1638">
        <v>1</v>
      </c>
      <c r="B1638">
        <v>2</v>
      </c>
      <c r="C1638">
        <v>0</v>
      </c>
      <c r="D1638">
        <v>2040</v>
      </c>
      <c r="E1638">
        <v>41106540</v>
      </c>
    </row>
    <row r="1639" spans="1:5" x14ac:dyDescent="0.25">
      <c r="A1639">
        <v>1</v>
      </c>
      <c r="B1639">
        <v>2</v>
      </c>
      <c r="C1639">
        <v>0</v>
      </c>
      <c r="D1639">
        <v>2041</v>
      </c>
      <c r="E1639">
        <v>41576454</v>
      </c>
    </row>
    <row r="1640" spans="1:5" x14ac:dyDescent="0.25">
      <c r="A1640">
        <v>1</v>
      </c>
      <c r="B1640">
        <v>2</v>
      </c>
      <c r="C1640">
        <v>0</v>
      </c>
      <c r="D1640">
        <v>2042</v>
      </c>
      <c r="E1640">
        <v>42039618</v>
      </c>
    </row>
    <row r="1641" spans="1:5" x14ac:dyDescent="0.25">
      <c r="A1641">
        <v>1</v>
      </c>
      <c r="B1641">
        <v>2</v>
      </c>
      <c r="C1641">
        <v>0</v>
      </c>
      <c r="D1641">
        <v>2043</v>
      </c>
      <c r="E1641">
        <v>42495496</v>
      </c>
    </row>
    <row r="1642" spans="1:5" x14ac:dyDescent="0.25">
      <c r="A1642">
        <v>1</v>
      </c>
      <c r="B1642">
        <v>2</v>
      </c>
      <c r="C1642">
        <v>0</v>
      </c>
      <c r="D1642">
        <v>2044</v>
      </c>
      <c r="E1642">
        <v>42943765</v>
      </c>
    </row>
    <row r="1643" spans="1:5" x14ac:dyDescent="0.25">
      <c r="A1643">
        <v>1</v>
      </c>
      <c r="B1643">
        <v>2</v>
      </c>
      <c r="C1643">
        <v>0</v>
      </c>
      <c r="D1643">
        <v>2045</v>
      </c>
      <c r="E1643">
        <v>43384326</v>
      </c>
    </row>
    <row r="1644" spans="1:5" x14ac:dyDescent="0.25">
      <c r="A1644">
        <v>1</v>
      </c>
      <c r="B1644">
        <v>2</v>
      </c>
      <c r="C1644">
        <v>0</v>
      </c>
      <c r="D1644">
        <v>2046</v>
      </c>
      <c r="E1644">
        <v>43817105</v>
      </c>
    </row>
    <row r="1645" spans="1:5" x14ac:dyDescent="0.25">
      <c r="A1645">
        <v>1</v>
      </c>
      <c r="B1645">
        <v>2</v>
      </c>
      <c r="C1645">
        <v>0</v>
      </c>
      <c r="D1645">
        <v>2047</v>
      </c>
      <c r="E1645">
        <v>44242026</v>
      </c>
    </row>
    <row r="1646" spans="1:5" x14ac:dyDescent="0.25">
      <c r="A1646">
        <v>1</v>
      </c>
      <c r="B1646">
        <v>2</v>
      </c>
      <c r="C1646">
        <v>0</v>
      </c>
      <c r="D1646">
        <v>2048</v>
      </c>
      <c r="E1646">
        <v>44659290</v>
      </c>
    </row>
    <row r="1647" spans="1:5" x14ac:dyDescent="0.25">
      <c r="A1647">
        <v>1</v>
      </c>
      <c r="B1647">
        <v>2</v>
      </c>
      <c r="C1647">
        <v>0</v>
      </c>
      <c r="D1647">
        <v>2049</v>
      </c>
      <c r="E1647">
        <v>45069002</v>
      </c>
    </row>
    <row r="1648" spans="1:5" x14ac:dyDescent="0.25">
      <c r="A1648">
        <v>1</v>
      </c>
      <c r="B1648">
        <v>2</v>
      </c>
      <c r="C1648">
        <v>0</v>
      </c>
      <c r="D1648">
        <v>2050</v>
      </c>
      <c r="E1648">
        <v>45471372</v>
      </c>
    </row>
    <row r="1649" spans="1:5" x14ac:dyDescent="0.25">
      <c r="A1649">
        <v>1</v>
      </c>
      <c r="B1649">
        <v>2</v>
      </c>
      <c r="C1649">
        <v>1</v>
      </c>
      <c r="D1649">
        <v>2024</v>
      </c>
      <c r="E1649">
        <v>28941053</v>
      </c>
    </row>
    <row r="1650" spans="1:5" x14ac:dyDescent="0.25">
      <c r="A1650">
        <v>1</v>
      </c>
      <c r="B1650">
        <v>2</v>
      </c>
      <c r="C1650">
        <v>1</v>
      </c>
      <c r="D1650">
        <v>2025</v>
      </c>
      <c r="E1650">
        <v>29359139</v>
      </c>
    </row>
    <row r="1651" spans="1:5" x14ac:dyDescent="0.25">
      <c r="A1651">
        <v>1</v>
      </c>
      <c r="B1651">
        <v>2</v>
      </c>
      <c r="C1651">
        <v>1</v>
      </c>
      <c r="D1651">
        <v>2026</v>
      </c>
      <c r="E1651">
        <v>29778176</v>
      </c>
    </row>
    <row r="1652" spans="1:5" x14ac:dyDescent="0.25">
      <c r="A1652">
        <v>1</v>
      </c>
      <c r="B1652">
        <v>2</v>
      </c>
      <c r="C1652">
        <v>1</v>
      </c>
      <c r="D1652">
        <v>2027</v>
      </c>
      <c r="E1652">
        <v>30198309</v>
      </c>
    </row>
    <row r="1653" spans="1:5" x14ac:dyDescent="0.25">
      <c r="A1653">
        <v>1</v>
      </c>
      <c r="B1653">
        <v>2</v>
      </c>
      <c r="C1653">
        <v>1</v>
      </c>
      <c r="D1653">
        <v>2028</v>
      </c>
      <c r="E1653">
        <v>30619311</v>
      </c>
    </row>
    <row r="1654" spans="1:5" x14ac:dyDescent="0.25">
      <c r="A1654">
        <v>1</v>
      </c>
      <c r="B1654">
        <v>2</v>
      </c>
      <c r="C1654">
        <v>1</v>
      </c>
      <c r="D1654">
        <v>2029</v>
      </c>
      <c r="E1654">
        <v>31040732</v>
      </c>
    </row>
    <row r="1655" spans="1:5" x14ac:dyDescent="0.25">
      <c r="A1655">
        <v>1</v>
      </c>
      <c r="B1655">
        <v>2</v>
      </c>
      <c r="C1655">
        <v>1</v>
      </c>
      <c r="D1655">
        <v>2030</v>
      </c>
      <c r="E1655">
        <v>31462569</v>
      </c>
    </row>
    <row r="1656" spans="1:5" x14ac:dyDescent="0.25">
      <c r="A1656">
        <v>1</v>
      </c>
      <c r="B1656">
        <v>2</v>
      </c>
      <c r="C1656">
        <v>1</v>
      </c>
      <c r="D1656">
        <v>2031</v>
      </c>
      <c r="E1656">
        <v>31884524</v>
      </c>
    </row>
    <row r="1657" spans="1:5" x14ac:dyDescent="0.25">
      <c r="A1657">
        <v>1</v>
      </c>
      <c r="B1657">
        <v>2</v>
      </c>
      <c r="C1657">
        <v>1</v>
      </c>
      <c r="D1657">
        <v>2032</v>
      </c>
      <c r="E1657">
        <v>32306030</v>
      </c>
    </row>
    <row r="1658" spans="1:5" x14ac:dyDescent="0.25">
      <c r="A1658">
        <v>1</v>
      </c>
      <c r="B1658">
        <v>2</v>
      </c>
      <c r="C1658">
        <v>1</v>
      </c>
      <c r="D1658">
        <v>2033</v>
      </c>
      <c r="E1658">
        <v>32726667</v>
      </c>
    </row>
    <row r="1659" spans="1:5" x14ac:dyDescent="0.25">
      <c r="A1659">
        <v>1</v>
      </c>
      <c r="B1659">
        <v>2</v>
      </c>
      <c r="C1659">
        <v>1</v>
      </c>
      <c r="D1659">
        <v>2034</v>
      </c>
      <c r="E1659">
        <v>33145766</v>
      </c>
    </row>
    <row r="1660" spans="1:5" x14ac:dyDescent="0.25">
      <c r="A1660">
        <v>1</v>
      </c>
      <c r="B1660">
        <v>2</v>
      </c>
      <c r="C1660">
        <v>1</v>
      </c>
      <c r="D1660">
        <v>2035</v>
      </c>
      <c r="E1660">
        <v>33562716</v>
      </c>
    </row>
    <row r="1661" spans="1:5" x14ac:dyDescent="0.25">
      <c r="A1661">
        <v>1</v>
      </c>
      <c r="B1661">
        <v>2</v>
      </c>
      <c r="C1661">
        <v>1</v>
      </c>
      <c r="D1661">
        <v>2036</v>
      </c>
      <c r="E1661">
        <v>33976851</v>
      </c>
    </row>
    <row r="1662" spans="1:5" x14ac:dyDescent="0.25">
      <c r="A1662">
        <v>1</v>
      </c>
      <c r="B1662">
        <v>2</v>
      </c>
      <c r="C1662">
        <v>1</v>
      </c>
      <c r="D1662">
        <v>2037</v>
      </c>
      <c r="E1662">
        <v>34387442</v>
      </c>
    </row>
    <row r="1663" spans="1:5" x14ac:dyDescent="0.25">
      <c r="A1663">
        <v>1</v>
      </c>
      <c r="B1663">
        <v>2</v>
      </c>
      <c r="C1663">
        <v>1</v>
      </c>
      <c r="D1663">
        <v>2038</v>
      </c>
      <c r="E1663">
        <v>34793688</v>
      </c>
    </row>
    <row r="1664" spans="1:5" x14ac:dyDescent="0.25">
      <c r="A1664">
        <v>1</v>
      </c>
      <c r="B1664">
        <v>2</v>
      </c>
      <c r="C1664">
        <v>1</v>
      </c>
      <c r="D1664">
        <v>2039</v>
      </c>
      <c r="E1664">
        <v>35194962</v>
      </c>
    </row>
    <row r="1665" spans="1:5" x14ac:dyDescent="0.25">
      <c r="A1665">
        <v>1</v>
      </c>
      <c r="B1665">
        <v>2</v>
      </c>
      <c r="C1665">
        <v>1</v>
      </c>
      <c r="D1665">
        <v>2040</v>
      </c>
      <c r="E1665">
        <v>35590631</v>
      </c>
    </row>
    <row r="1666" spans="1:5" x14ac:dyDescent="0.25">
      <c r="A1666">
        <v>1</v>
      </c>
      <c r="B1666">
        <v>2</v>
      </c>
      <c r="C1666">
        <v>1</v>
      </c>
      <c r="D1666">
        <v>2041</v>
      </c>
      <c r="E1666">
        <v>35979716</v>
      </c>
    </row>
    <row r="1667" spans="1:5" x14ac:dyDescent="0.25">
      <c r="A1667">
        <v>1</v>
      </c>
      <c r="B1667">
        <v>2</v>
      </c>
      <c r="C1667">
        <v>1</v>
      </c>
      <c r="D1667">
        <v>2042</v>
      </c>
      <c r="E1667">
        <v>36361768</v>
      </c>
    </row>
    <row r="1668" spans="1:5" x14ac:dyDescent="0.25">
      <c r="A1668">
        <v>1</v>
      </c>
      <c r="B1668">
        <v>2</v>
      </c>
      <c r="C1668">
        <v>1</v>
      </c>
      <c r="D1668">
        <v>2043</v>
      </c>
      <c r="E1668">
        <v>36736438</v>
      </c>
    </row>
    <row r="1669" spans="1:5" x14ac:dyDescent="0.25">
      <c r="A1669">
        <v>1</v>
      </c>
      <c r="B1669">
        <v>2</v>
      </c>
      <c r="C1669">
        <v>1</v>
      </c>
      <c r="D1669">
        <v>2044</v>
      </c>
      <c r="E1669">
        <v>37103493</v>
      </c>
    </row>
    <row r="1670" spans="1:5" x14ac:dyDescent="0.25">
      <c r="A1670">
        <v>1</v>
      </c>
      <c r="B1670">
        <v>2</v>
      </c>
      <c r="C1670">
        <v>1</v>
      </c>
      <c r="D1670">
        <v>2045</v>
      </c>
      <c r="E1670">
        <v>37462911</v>
      </c>
    </row>
    <row r="1671" spans="1:5" x14ac:dyDescent="0.25">
      <c r="A1671">
        <v>1</v>
      </c>
      <c r="B1671">
        <v>2</v>
      </c>
      <c r="C1671">
        <v>1</v>
      </c>
      <c r="D1671">
        <v>2046</v>
      </c>
      <c r="E1671">
        <v>37814711</v>
      </c>
    </row>
    <row r="1672" spans="1:5" x14ac:dyDescent="0.25">
      <c r="A1672">
        <v>1</v>
      </c>
      <c r="B1672">
        <v>2</v>
      </c>
      <c r="C1672">
        <v>1</v>
      </c>
      <c r="D1672">
        <v>2047</v>
      </c>
      <c r="E1672">
        <v>38158968</v>
      </c>
    </row>
    <row r="1673" spans="1:5" x14ac:dyDescent="0.25">
      <c r="A1673">
        <v>1</v>
      </c>
      <c r="B1673">
        <v>2</v>
      </c>
      <c r="C1673">
        <v>1</v>
      </c>
      <c r="D1673">
        <v>2048</v>
      </c>
      <c r="E1673">
        <v>38495817</v>
      </c>
    </row>
    <row r="1674" spans="1:5" x14ac:dyDescent="0.25">
      <c r="A1674">
        <v>1</v>
      </c>
      <c r="B1674">
        <v>2</v>
      </c>
      <c r="C1674">
        <v>1</v>
      </c>
      <c r="D1674">
        <v>2049</v>
      </c>
      <c r="E1674">
        <v>38825511</v>
      </c>
    </row>
    <row r="1675" spans="1:5" x14ac:dyDescent="0.25">
      <c r="A1675">
        <v>1</v>
      </c>
      <c r="B1675">
        <v>2</v>
      </c>
      <c r="C1675">
        <v>1</v>
      </c>
      <c r="D1675">
        <v>2050</v>
      </c>
      <c r="E1675">
        <v>39148309</v>
      </c>
    </row>
    <row r="1676" spans="1:5" x14ac:dyDescent="0.25">
      <c r="A1676">
        <v>1</v>
      </c>
      <c r="B1676">
        <v>2</v>
      </c>
      <c r="C1676">
        <v>2</v>
      </c>
      <c r="D1676">
        <v>2024</v>
      </c>
      <c r="E1676">
        <v>1696840</v>
      </c>
    </row>
    <row r="1677" spans="1:5" x14ac:dyDescent="0.25">
      <c r="A1677">
        <v>1</v>
      </c>
      <c r="B1677">
        <v>2</v>
      </c>
      <c r="C1677">
        <v>2</v>
      </c>
      <c r="D1677">
        <v>2025</v>
      </c>
      <c r="E1677">
        <v>1721799</v>
      </c>
    </row>
    <row r="1678" spans="1:5" x14ac:dyDescent="0.25">
      <c r="A1678">
        <v>1</v>
      </c>
      <c r="B1678">
        <v>2</v>
      </c>
      <c r="C1678">
        <v>2</v>
      </c>
      <c r="D1678">
        <v>2026</v>
      </c>
      <c r="E1678">
        <v>1746803</v>
      </c>
    </row>
    <row r="1679" spans="1:5" x14ac:dyDescent="0.25">
      <c r="A1679">
        <v>1</v>
      </c>
      <c r="B1679">
        <v>2</v>
      </c>
      <c r="C1679">
        <v>2</v>
      </c>
      <c r="D1679">
        <v>2027</v>
      </c>
      <c r="E1679">
        <v>1771876</v>
      </c>
    </row>
    <row r="1680" spans="1:5" x14ac:dyDescent="0.25">
      <c r="A1680">
        <v>1</v>
      </c>
      <c r="B1680">
        <v>2</v>
      </c>
      <c r="C1680">
        <v>2</v>
      </c>
      <c r="D1680">
        <v>2028</v>
      </c>
      <c r="E1680">
        <v>1797014</v>
      </c>
    </row>
    <row r="1681" spans="1:5" x14ac:dyDescent="0.25">
      <c r="A1681">
        <v>1</v>
      </c>
      <c r="B1681">
        <v>2</v>
      </c>
      <c r="C1681">
        <v>2</v>
      </c>
      <c r="D1681">
        <v>2029</v>
      </c>
      <c r="E1681">
        <v>1822232</v>
      </c>
    </row>
    <row r="1682" spans="1:5" x14ac:dyDescent="0.25">
      <c r="A1682">
        <v>1</v>
      </c>
      <c r="B1682">
        <v>2</v>
      </c>
      <c r="C1682">
        <v>2</v>
      </c>
      <c r="D1682">
        <v>2030</v>
      </c>
      <c r="E1682">
        <v>1847544</v>
      </c>
    </row>
    <row r="1683" spans="1:5" x14ac:dyDescent="0.25">
      <c r="A1683">
        <v>1</v>
      </c>
      <c r="B1683">
        <v>2</v>
      </c>
      <c r="C1683">
        <v>2</v>
      </c>
      <c r="D1683">
        <v>2031</v>
      </c>
      <c r="E1683">
        <v>1872956</v>
      </c>
    </row>
    <row r="1684" spans="1:5" x14ac:dyDescent="0.25">
      <c r="A1684">
        <v>1</v>
      </c>
      <c r="B1684">
        <v>2</v>
      </c>
      <c r="C1684">
        <v>2</v>
      </c>
      <c r="D1684">
        <v>2032</v>
      </c>
      <c r="E1684">
        <v>1898518</v>
      </c>
    </row>
    <row r="1685" spans="1:5" x14ac:dyDescent="0.25">
      <c r="A1685">
        <v>1</v>
      </c>
      <c r="B1685">
        <v>2</v>
      </c>
      <c r="C1685">
        <v>2</v>
      </c>
      <c r="D1685">
        <v>2033</v>
      </c>
      <c r="E1685">
        <v>1924213</v>
      </c>
    </row>
    <row r="1686" spans="1:5" x14ac:dyDescent="0.25">
      <c r="A1686">
        <v>1</v>
      </c>
      <c r="B1686">
        <v>2</v>
      </c>
      <c r="C1686">
        <v>2</v>
      </c>
      <c r="D1686">
        <v>2034</v>
      </c>
      <c r="E1686">
        <v>1950112</v>
      </c>
    </row>
    <row r="1687" spans="1:5" x14ac:dyDescent="0.25">
      <c r="A1687">
        <v>1</v>
      </c>
      <c r="B1687">
        <v>2</v>
      </c>
      <c r="C1687">
        <v>2</v>
      </c>
      <c r="D1687">
        <v>2035</v>
      </c>
      <c r="E1687">
        <v>1976172</v>
      </c>
    </row>
    <row r="1688" spans="1:5" x14ac:dyDescent="0.25">
      <c r="A1688">
        <v>1</v>
      </c>
      <c r="B1688">
        <v>2</v>
      </c>
      <c r="C1688">
        <v>2</v>
      </c>
      <c r="D1688">
        <v>2036</v>
      </c>
      <c r="E1688">
        <v>2002418</v>
      </c>
    </row>
    <row r="1689" spans="1:5" x14ac:dyDescent="0.25">
      <c r="A1689">
        <v>1</v>
      </c>
      <c r="B1689">
        <v>2</v>
      </c>
      <c r="C1689">
        <v>2</v>
      </c>
      <c r="D1689">
        <v>2037</v>
      </c>
      <c r="E1689">
        <v>2028815</v>
      </c>
    </row>
    <row r="1690" spans="1:5" x14ac:dyDescent="0.25">
      <c r="A1690">
        <v>1</v>
      </c>
      <c r="B1690">
        <v>2</v>
      </c>
      <c r="C1690">
        <v>2</v>
      </c>
      <c r="D1690">
        <v>2038</v>
      </c>
      <c r="E1690">
        <v>2055415</v>
      </c>
    </row>
    <row r="1691" spans="1:5" x14ac:dyDescent="0.25">
      <c r="A1691">
        <v>1</v>
      </c>
      <c r="B1691">
        <v>2</v>
      </c>
      <c r="C1691">
        <v>2</v>
      </c>
      <c r="D1691">
        <v>2039</v>
      </c>
      <c r="E1691">
        <v>2082152</v>
      </c>
    </row>
    <row r="1692" spans="1:5" x14ac:dyDescent="0.25">
      <c r="A1692">
        <v>1</v>
      </c>
      <c r="B1692">
        <v>2</v>
      </c>
      <c r="C1692">
        <v>2</v>
      </c>
      <c r="D1692">
        <v>2040</v>
      </c>
      <c r="E1692">
        <v>2109039</v>
      </c>
    </row>
    <row r="1693" spans="1:5" x14ac:dyDescent="0.25">
      <c r="A1693">
        <v>1</v>
      </c>
      <c r="B1693">
        <v>2</v>
      </c>
      <c r="C1693">
        <v>2</v>
      </c>
      <c r="D1693">
        <v>2041</v>
      </c>
      <c r="E1693">
        <v>2136003</v>
      </c>
    </row>
    <row r="1694" spans="1:5" x14ac:dyDescent="0.25">
      <c r="A1694">
        <v>1</v>
      </c>
      <c r="B1694">
        <v>2</v>
      </c>
      <c r="C1694">
        <v>2</v>
      </c>
      <c r="D1694">
        <v>2042</v>
      </c>
      <c r="E1694">
        <v>2162964</v>
      </c>
    </row>
    <row r="1695" spans="1:5" x14ac:dyDescent="0.25">
      <c r="A1695">
        <v>1</v>
      </c>
      <c r="B1695">
        <v>2</v>
      </c>
      <c r="C1695">
        <v>2</v>
      </c>
      <c r="D1695">
        <v>2043</v>
      </c>
      <c r="E1695">
        <v>2189890</v>
      </c>
    </row>
    <row r="1696" spans="1:5" x14ac:dyDescent="0.25">
      <c r="A1696">
        <v>1</v>
      </c>
      <c r="B1696">
        <v>2</v>
      </c>
      <c r="C1696">
        <v>2</v>
      </c>
      <c r="D1696">
        <v>2044</v>
      </c>
      <c r="E1696">
        <v>2216691</v>
      </c>
    </row>
    <row r="1697" spans="1:5" x14ac:dyDescent="0.25">
      <c r="A1697">
        <v>1</v>
      </c>
      <c r="B1697">
        <v>2</v>
      </c>
      <c r="C1697">
        <v>2</v>
      </c>
      <c r="D1697">
        <v>2045</v>
      </c>
      <c r="E1697">
        <v>2243322</v>
      </c>
    </row>
    <row r="1698" spans="1:5" x14ac:dyDescent="0.25">
      <c r="A1698">
        <v>1</v>
      </c>
      <c r="B1698">
        <v>2</v>
      </c>
      <c r="C1698">
        <v>2</v>
      </c>
      <c r="D1698">
        <v>2046</v>
      </c>
      <c r="E1698">
        <v>2269782</v>
      </c>
    </row>
    <row r="1699" spans="1:5" x14ac:dyDescent="0.25">
      <c r="A1699">
        <v>1</v>
      </c>
      <c r="B1699">
        <v>2</v>
      </c>
      <c r="C1699">
        <v>2</v>
      </c>
      <c r="D1699">
        <v>2047</v>
      </c>
      <c r="E1699">
        <v>2296002</v>
      </c>
    </row>
    <row r="1700" spans="1:5" x14ac:dyDescent="0.25">
      <c r="A1700">
        <v>1</v>
      </c>
      <c r="B1700">
        <v>2</v>
      </c>
      <c r="C1700">
        <v>2</v>
      </c>
      <c r="D1700">
        <v>2048</v>
      </c>
      <c r="E1700">
        <v>2321976</v>
      </c>
    </row>
    <row r="1701" spans="1:5" x14ac:dyDescent="0.25">
      <c r="A1701">
        <v>1</v>
      </c>
      <c r="B1701">
        <v>2</v>
      </c>
      <c r="C1701">
        <v>2</v>
      </c>
      <c r="D1701">
        <v>2049</v>
      </c>
      <c r="E1701">
        <v>2347665</v>
      </c>
    </row>
    <row r="1702" spans="1:5" x14ac:dyDescent="0.25">
      <c r="A1702">
        <v>1</v>
      </c>
      <c r="B1702">
        <v>2</v>
      </c>
      <c r="C1702">
        <v>2</v>
      </c>
      <c r="D1702">
        <v>2050</v>
      </c>
      <c r="E1702">
        <v>2373064</v>
      </c>
    </row>
    <row r="1703" spans="1:5" x14ac:dyDescent="0.25">
      <c r="A1703">
        <v>1</v>
      </c>
      <c r="B1703">
        <v>2</v>
      </c>
      <c r="C1703">
        <v>3</v>
      </c>
      <c r="D1703">
        <v>2024</v>
      </c>
      <c r="E1703">
        <v>1041189</v>
      </c>
    </row>
    <row r="1704" spans="1:5" x14ac:dyDescent="0.25">
      <c r="A1704">
        <v>1</v>
      </c>
      <c r="B1704">
        <v>2</v>
      </c>
      <c r="C1704">
        <v>3</v>
      </c>
      <c r="D1704">
        <v>2025</v>
      </c>
      <c r="E1704">
        <v>1051739</v>
      </c>
    </row>
    <row r="1705" spans="1:5" x14ac:dyDescent="0.25">
      <c r="A1705">
        <v>1</v>
      </c>
      <c r="B1705">
        <v>2</v>
      </c>
      <c r="C1705">
        <v>3</v>
      </c>
      <c r="D1705">
        <v>2026</v>
      </c>
      <c r="E1705">
        <v>1062250</v>
      </c>
    </row>
    <row r="1706" spans="1:5" x14ac:dyDescent="0.25">
      <c r="A1706">
        <v>1</v>
      </c>
      <c r="B1706">
        <v>2</v>
      </c>
      <c r="C1706">
        <v>3</v>
      </c>
      <c r="D1706">
        <v>2027</v>
      </c>
      <c r="E1706">
        <v>1072737</v>
      </c>
    </row>
    <row r="1707" spans="1:5" x14ac:dyDescent="0.25">
      <c r="A1707">
        <v>1</v>
      </c>
      <c r="B1707">
        <v>2</v>
      </c>
      <c r="C1707">
        <v>3</v>
      </c>
      <c r="D1707">
        <v>2028</v>
      </c>
      <c r="E1707">
        <v>1083182</v>
      </c>
    </row>
    <row r="1708" spans="1:5" x14ac:dyDescent="0.25">
      <c r="A1708">
        <v>1</v>
      </c>
      <c r="B1708">
        <v>2</v>
      </c>
      <c r="C1708">
        <v>3</v>
      </c>
      <c r="D1708">
        <v>2029</v>
      </c>
      <c r="E1708">
        <v>1093583</v>
      </c>
    </row>
    <row r="1709" spans="1:5" x14ac:dyDescent="0.25">
      <c r="A1709">
        <v>1</v>
      </c>
      <c r="B1709">
        <v>2</v>
      </c>
      <c r="C1709">
        <v>3</v>
      </c>
      <c r="D1709">
        <v>2030</v>
      </c>
      <c r="E1709">
        <v>1103947</v>
      </c>
    </row>
    <row r="1710" spans="1:5" x14ac:dyDescent="0.25">
      <c r="A1710">
        <v>1</v>
      </c>
      <c r="B1710">
        <v>2</v>
      </c>
      <c r="C1710">
        <v>3</v>
      </c>
      <c r="D1710">
        <v>2031</v>
      </c>
      <c r="E1710">
        <v>1114289</v>
      </c>
    </row>
    <row r="1711" spans="1:5" x14ac:dyDescent="0.25">
      <c r="A1711">
        <v>1</v>
      </c>
      <c r="B1711">
        <v>2</v>
      </c>
      <c r="C1711">
        <v>3</v>
      </c>
      <c r="D1711">
        <v>2032</v>
      </c>
      <c r="E1711">
        <v>1124657</v>
      </c>
    </row>
    <row r="1712" spans="1:5" x14ac:dyDescent="0.25">
      <c r="A1712">
        <v>1</v>
      </c>
      <c r="B1712">
        <v>2</v>
      </c>
      <c r="C1712">
        <v>3</v>
      </c>
      <c r="D1712">
        <v>2033</v>
      </c>
      <c r="E1712">
        <v>1135017</v>
      </c>
    </row>
    <row r="1713" spans="1:5" x14ac:dyDescent="0.25">
      <c r="A1713">
        <v>1</v>
      </c>
      <c r="B1713">
        <v>2</v>
      </c>
      <c r="C1713">
        <v>3</v>
      </c>
      <c r="D1713">
        <v>2034</v>
      </c>
      <c r="E1713">
        <v>1145411</v>
      </c>
    </row>
    <row r="1714" spans="1:5" x14ac:dyDescent="0.25">
      <c r="A1714">
        <v>1</v>
      </c>
      <c r="B1714">
        <v>2</v>
      </c>
      <c r="C1714">
        <v>3</v>
      </c>
      <c r="D1714">
        <v>2035</v>
      </c>
      <c r="E1714">
        <v>1155819</v>
      </c>
    </row>
    <row r="1715" spans="1:5" x14ac:dyDescent="0.25">
      <c r="A1715">
        <v>1</v>
      </c>
      <c r="B1715">
        <v>2</v>
      </c>
      <c r="C1715">
        <v>3</v>
      </c>
      <c r="D1715">
        <v>2036</v>
      </c>
      <c r="E1715">
        <v>1166252</v>
      </c>
    </row>
    <row r="1716" spans="1:5" x14ac:dyDescent="0.25">
      <c r="A1716">
        <v>1</v>
      </c>
      <c r="B1716">
        <v>2</v>
      </c>
      <c r="C1716">
        <v>3</v>
      </c>
      <c r="D1716">
        <v>2037</v>
      </c>
      <c r="E1716">
        <v>1176714</v>
      </c>
    </row>
    <row r="1717" spans="1:5" x14ac:dyDescent="0.25">
      <c r="A1717">
        <v>1</v>
      </c>
      <c r="B1717">
        <v>2</v>
      </c>
      <c r="C1717">
        <v>3</v>
      </c>
      <c r="D1717">
        <v>2038</v>
      </c>
      <c r="E1717">
        <v>1187235</v>
      </c>
    </row>
    <row r="1718" spans="1:5" x14ac:dyDescent="0.25">
      <c r="A1718">
        <v>1</v>
      </c>
      <c r="B1718">
        <v>2</v>
      </c>
      <c r="C1718">
        <v>3</v>
      </c>
      <c r="D1718">
        <v>2039</v>
      </c>
      <c r="E1718">
        <v>1197759</v>
      </c>
    </row>
    <row r="1719" spans="1:5" x14ac:dyDescent="0.25">
      <c r="A1719">
        <v>1</v>
      </c>
      <c r="B1719">
        <v>2</v>
      </c>
      <c r="C1719">
        <v>3</v>
      </c>
      <c r="D1719">
        <v>2040</v>
      </c>
      <c r="E1719">
        <v>1208283</v>
      </c>
    </row>
    <row r="1720" spans="1:5" x14ac:dyDescent="0.25">
      <c r="A1720">
        <v>1</v>
      </c>
      <c r="B1720">
        <v>2</v>
      </c>
      <c r="C1720">
        <v>3</v>
      </c>
      <c r="D1720">
        <v>2041</v>
      </c>
      <c r="E1720">
        <v>1218791</v>
      </c>
    </row>
    <row r="1721" spans="1:5" x14ac:dyDescent="0.25">
      <c r="A1721">
        <v>1</v>
      </c>
      <c r="B1721">
        <v>2</v>
      </c>
      <c r="C1721">
        <v>3</v>
      </c>
      <c r="D1721">
        <v>2042</v>
      </c>
      <c r="E1721">
        <v>1229228</v>
      </c>
    </row>
    <row r="1722" spans="1:5" x14ac:dyDescent="0.25">
      <c r="A1722">
        <v>1</v>
      </c>
      <c r="B1722">
        <v>2</v>
      </c>
      <c r="C1722">
        <v>3</v>
      </c>
      <c r="D1722">
        <v>2043</v>
      </c>
      <c r="E1722">
        <v>1239526</v>
      </c>
    </row>
    <row r="1723" spans="1:5" x14ac:dyDescent="0.25">
      <c r="A1723">
        <v>1</v>
      </c>
      <c r="B1723">
        <v>2</v>
      </c>
      <c r="C1723">
        <v>3</v>
      </c>
      <c r="D1723">
        <v>2044</v>
      </c>
      <c r="E1723">
        <v>1249677</v>
      </c>
    </row>
    <row r="1724" spans="1:5" x14ac:dyDescent="0.25">
      <c r="A1724">
        <v>1</v>
      </c>
      <c r="B1724">
        <v>2</v>
      </c>
      <c r="C1724">
        <v>3</v>
      </c>
      <c r="D1724">
        <v>2045</v>
      </c>
      <c r="E1724">
        <v>1259635</v>
      </c>
    </row>
    <row r="1725" spans="1:5" x14ac:dyDescent="0.25">
      <c r="A1725">
        <v>1</v>
      </c>
      <c r="B1725">
        <v>2</v>
      </c>
      <c r="C1725">
        <v>3</v>
      </c>
      <c r="D1725">
        <v>2046</v>
      </c>
      <c r="E1725">
        <v>1269391</v>
      </c>
    </row>
    <row r="1726" spans="1:5" x14ac:dyDescent="0.25">
      <c r="A1726">
        <v>1</v>
      </c>
      <c r="B1726">
        <v>2</v>
      </c>
      <c r="C1726">
        <v>3</v>
      </c>
      <c r="D1726">
        <v>2047</v>
      </c>
      <c r="E1726">
        <v>1278910</v>
      </c>
    </row>
    <row r="1727" spans="1:5" x14ac:dyDescent="0.25">
      <c r="A1727">
        <v>1</v>
      </c>
      <c r="B1727">
        <v>2</v>
      </c>
      <c r="C1727">
        <v>3</v>
      </c>
      <c r="D1727">
        <v>2048</v>
      </c>
      <c r="E1727">
        <v>1288182</v>
      </c>
    </row>
    <row r="1728" spans="1:5" x14ac:dyDescent="0.25">
      <c r="A1728">
        <v>1</v>
      </c>
      <c r="B1728">
        <v>2</v>
      </c>
      <c r="C1728">
        <v>3</v>
      </c>
      <c r="D1728">
        <v>2049</v>
      </c>
      <c r="E1728">
        <v>1297177</v>
      </c>
    </row>
    <row r="1729" spans="1:5" x14ac:dyDescent="0.25">
      <c r="A1729">
        <v>1</v>
      </c>
      <c r="B1729">
        <v>2</v>
      </c>
      <c r="C1729">
        <v>3</v>
      </c>
      <c r="D1729">
        <v>2050</v>
      </c>
      <c r="E1729">
        <v>1305869</v>
      </c>
    </row>
    <row r="1730" spans="1:5" x14ac:dyDescent="0.25">
      <c r="A1730">
        <v>1</v>
      </c>
      <c r="B1730">
        <v>2</v>
      </c>
      <c r="C1730">
        <v>4</v>
      </c>
      <c r="D1730">
        <v>2024</v>
      </c>
      <c r="E1730">
        <v>349170</v>
      </c>
    </row>
    <row r="1731" spans="1:5" x14ac:dyDescent="0.25">
      <c r="A1731">
        <v>1</v>
      </c>
      <c r="B1731">
        <v>2</v>
      </c>
      <c r="C1731">
        <v>4</v>
      </c>
      <c r="D1731">
        <v>2025</v>
      </c>
      <c r="E1731">
        <v>353592</v>
      </c>
    </row>
    <row r="1732" spans="1:5" x14ac:dyDescent="0.25">
      <c r="A1732">
        <v>1</v>
      </c>
      <c r="B1732">
        <v>2</v>
      </c>
      <c r="C1732">
        <v>4</v>
      </c>
      <c r="D1732">
        <v>2026</v>
      </c>
      <c r="E1732">
        <v>358041</v>
      </c>
    </row>
    <row r="1733" spans="1:5" x14ac:dyDescent="0.25">
      <c r="A1733">
        <v>1</v>
      </c>
      <c r="B1733">
        <v>2</v>
      </c>
      <c r="C1733">
        <v>4</v>
      </c>
      <c r="D1733">
        <v>2027</v>
      </c>
      <c r="E1733">
        <v>362497</v>
      </c>
    </row>
    <row r="1734" spans="1:5" x14ac:dyDescent="0.25">
      <c r="A1734">
        <v>1</v>
      </c>
      <c r="B1734">
        <v>2</v>
      </c>
      <c r="C1734">
        <v>4</v>
      </c>
      <c r="D1734">
        <v>2028</v>
      </c>
      <c r="E1734">
        <v>366965</v>
      </c>
    </row>
    <row r="1735" spans="1:5" x14ac:dyDescent="0.25">
      <c r="A1735">
        <v>1</v>
      </c>
      <c r="B1735">
        <v>2</v>
      </c>
      <c r="C1735">
        <v>4</v>
      </c>
      <c r="D1735">
        <v>2029</v>
      </c>
      <c r="E1735">
        <v>371463</v>
      </c>
    </row>
    <row r="1736" spans="1:5" x14ac:dyDescent="0.25">
      <c r="A1736">
        <v>1</v>
      </c>
      <c r="B1736">
        <v>2</v>
      </c>
      <c r="C1736">
        <v>4</v>
      </c>
      <c r="D1736">
        <v>2030</v>
      </c>
      <c r="E1736">
        <v>375951</v>
      </c>
    </row>
    <row r="1737" spans="1:5" x14ac:dyDescent="0.25">
      <c r="A1737">
        <v>1</v>
      </c>
      <c r="B1737">
        <v>2</v>
      </c>
      <c r="C1737">
        <v>4</v>
      </c>
      <c r="D1737">
        <v>2031</v>
      </c>
      <c r="E1737">
        <v>380471</v>
      </c>
    </row>
    <row r="1738" spans="1:5" x14ac:dyDescent="0.25">
      <c r="A1738">
        <v>1</v>
      </c>
      <c r="B1738">
        <v>2</v>
      </c>
      <c r="C1738">
        <v>4</v>
      </c>
      <c r="D1738">
        <v>2032</v>
      </c>
      <c r="E1738">
        <v>385005</v>
      </c>
    </row>
    <row r="1739" spans="1:5" x14ac:dyDescent="0.25">
      <c r="A1739">
        <v>1</v>
      </c>
      <c r="B1739">
        <v>2</v>
      </c>
      <c r="C1739">
        <v>4</v>
      </c>
      <c r="D1739">
        <v>2033</v>
      </c>
      <c r="E1739">
        <v>389597</v>
      </c>
    </row>
    <row r="1740" spans="1:5" x14ac:dyDescent="0.25">
      <c r="A1740">
        <v>1</v>
      </c>
      <c r="B1740">
        <v>2</v>
      </c>
      <c r="C1740">
        <v>4</v>
      </c>
      <c r="D1740">
        <v>2034</v>
      </c>
      <c r="E1740">
        <v>394232</v>
      </c>
    </row>
    <row r="1741" spans="1:5" x14ac:dyDescent="0.25">
      <c r="A1741">
        <v>1</v>
      </c>
      <c r="B1741">
        <v>2</v>
      </c>
      <c r="C1741">
        <v>4</v>
      </c>
      <c r="D1741">
        <v>2035</v>
      </c>
      <c r="E1741">
        <v>398924</v>
      </c>
    </row>
    <row r="1742" spans="1:5" x14ac:dyDescent="0.25">
      <c r="A1742">
        <v>1</v>
      </c>
      <c r="B1742">
        <v>2</v>
      </c>
      <c r="C1742">
        <v>4</v>
      </c>
      <c r="D1742">
        <v>2036</v>
      </c>
      <c r="E1742">
        <v>403656</v>
      </c>
    </row>
    <row r="1743" spans="1:5" x14ac:dyDescent="0.25">
      <c r="A1743">
        <v>1</v>
      </c>
      <c r="B1743">
        <v>2</v>
      </c>
      <c r="C1743">
        <v>4</v>
      </c>
      <c r="D1743">
        <v>2037</v>
      </c>
      <c r="E1743">
        <v>408458</v>
      </c>
    </row>
    <row r="1744" spans="1:5" x14ac:dyDescent="0.25">
      <c r="A1744">
        <v>1</v>
      </c>
      <c r="B1744">
        <v>2</v>
      </c>
      <c r="C1744">
        <v>4</v>
      </c>
      <c r="D1744">
        <v>2038</v>
      </c>
      <c r="E1744">
        <v>413320</v>
      </c>
    </row>
    <row r="1745" spans="1:5" x14ac:dyDescent="0.25">
      <c r="A1745">
        <v>1</v>
      </c>
      <c r="B1745">
        <v>2</v>
      </c>
      <c r="C1745">
        <v>4</v>
      </c>
      <c r="D1745">
        <v>2039</v>
      </c>
      <c r="E1745">
        <v>418236</v>
      </c>
    </row>
    <row r="1746" spans="1:5" x14ac:dyDescent="0.25">
      <c r="A1746">
        <v>1</v>
      </c>
      <c r="B1746">
        <v>2</v>
      </c>
      <c r="C1746">
        <v>4</v>
      </c>
      <c r="D1746">
        <v>2040</v>
      </c>
      <c r="E1746">
        <v>423228</v>
      </c>
    </row>
    <row r="1747" spans="1:5" x14ac:dyDescent="0.25">
      <c r="A1747">
        <v>1</v>
      </c>
      <c r="B1747">
        <v>2</v>
      </c>
      <c r="C1747">
        <v>4</v>
      </c>
      <c r="D1747">
        <v>2041</v>
      </c>
      <c r="E1747">
        <v>428276</v>
      </c>
    </row>
    <row r="1748" spans="1:5" x14ac:dyDescent="0.25">
      <c r="A1748">
        <v>1</v>
      </c>
      <c r="B1748">
        <v>2</v>
      </c>
      <c r="C1748">
        <v>4</v>
      </c>
      <c r="D1748">
        <v>2042</v>
      </c>
      <c r="E1748">
        <v>433393</v>
      </c>
    </row>
    <row r="1749" spans="1:5" x14ac:dyDescent="0.25">
      <c r="A1749">
        <v>1</v>
      </c>
      <c r="B1749">
        <v>2</v>
      </c>
      <c r="C1749">
        <v>4</v>
      </c>
      <c r="D1749">
        <v>2043</v>
      </c>
      <c r="E1749">
        <v>438549</v>
      </c>
    </row>
    <row r="1750" spans="1:5" x14ac:dyDescent="0.25">
      <c r="A1750">
        <v>1</v>
      </c>
      <c r="B1750">
        <v>2</v>
      </c>
      <c r="C1750">
        <v>4</v>
      </c>
      <c r="D1750">
        <v>2044</v>
      </c>
      <c r="E1750">
        <v>443753</v>
      </c>
    </row>
    <row r="1751" spans="1:5" x14ac:dyDescent="0.25">
      <c r="A1751">
        <v>1</v>
      </c>
      <c r="B1751">
        <v>2</v>
      </c>
      <c r="C1751">
        <v>4</v>
      </c>
      <c r="D1751">
        <v>2045</v>
      </c>
      <c r="E1751">
        <v>448995</v>
      </c>
    </row>
    <row r="1752" spans="1:5" x14ac:dyDescent="0.25">
      <c r="A1752">
        <v>1</v>
      </c>
      <c r="B1752">
        <v>2</v>
      </c>
      <c r="C1752">
        <v>4</v>
      </c>
      <c r="D1752">
        <v>2046</v>
      </c>
      <c r="E1752">
        <v>454292</v>
      </c>
    </row>
    <row r="1753" spans="1:5" x14ac:dyDescent="0.25">
      <c r="A1753">
        <v>1</v>
      </c>
      <c r="B1753">
        <v>2</v>
      </c>
      <c r="C1753">
        <v>4</v>
      </c>
      <c r="D1753">
        <v>2047</v>
      </c>
      <c r="E1753">
        <v>459593</v>
      </c>
    </row>
    <row r="1754" spans="1:5" x14ac:dyDescent="0.25">
      <c r="A1754">
        <v>1</v>
      </c>
      <c r="B1754">
        <v>2</v>
      </c>
      <c r="C1754">
        <v>4</v>
      </c>
      <c r="D1754">
        <v>2048</v>
      </c>
      <c r="E1754">
        <v>464922</v>
      </c>
    </row>
    <row r="1755" spans="1:5" x14ac:dyDescent="0.25">
      <c r="A1755">
        <v>1</v>
      </c>
      <c r="B1755">
        <v>2</v>
      </c>
      <c r="C1755">
        <v>4</v>
      </c>
      <c r="D1755">
        <v>2049</v>
      </c>
      <c r="E1755">
        <v>470233</v>
      </c>
    </row>
    <row r="1756" spans="1:5" x14ac:dyDescent="0.25">
      <c r="A1756">
        <v>1</v>
      </c>
      <c r="B1756">
        <v>2</v>
      </c>
      <c r="C1756">
        <v>4</v>
      </c>
      <c r="D1756">
        <v>2050</v>
      </c>
      <c r="E1756">
        <v>475531</v>
      </c>
    </row>
    <row r="1757" spans="1:5" x14ac:dyDescent="0.25">
      <c r="A1757">
        <v>1</v>
      </c>
      <c r="B1757">
        <v>2</v>
      </c>
      <c r="C1757">
        <v>5</v>
      </c>
      <c r="D1757">
        <v>2024</v>
      </c>
      <c r="E1757">
        <v>127353</v>
      </c>
    </row>
    <row r="1758" spans="1:5" x14ac:dyDescent="0.25">
      <c r="A1758">
        <v>1</v>
      </c>
      <c r="B1758">
        <v>2</v>
      </c>
      <c r="C1758">
        <v>5</v>
      </c>
      <c r="D1758">
        <v>2025</v>
      </c>
      <c r="E1758">
        <v>128304</v>
      </c>
    </row>
    <row r="1759" spans="1:5" x14ac:dyDescent="0.25">
      <c r="A1759">
        <v>1</v>
      </c>
      <c r="B1759">
        <v>2</v>
      </c>
      <c r="C1759">
        <v>5</v>
      </c>
      <c r="D1759">
        <v>2026</v>
      </c>
      <c r="E1759">
        <v>129267</v>
      </c>
    </row>
    <row r="1760" spans="1:5" x14ac:dyDescent="0.25">
      <c r="A1760">
        <v>1</v>
      </c>
      <c r="B1760">
        <v>2</v>
      </c>
      <c r="C1760">
        <v>5</v>
      </c>
      <c r="D1760">
        <v>2027</v>
      </c>
      <c r="E1760">
        <v>130229</v>
      </c>
    </row>
    <row r="1761" spans="1:5" x14ac:dyDescent="0.25">
      <c r="A1761">
        <v>1</v>
      </c>
      <c r="B1761">
        <v>2</v>
      </c>
      <c r="C1761">
        <v>5</v>
      </c>
      <c r="D1761">
        <v>2028</v>
      </c>
      <c r="E1761">
        <v>131194</v>
      </c>
    </row>
    <row r="1762" spans="1:5" x14ac:dyDescent="0.25">
      <c r="A1762">
        <v>1</v>
      </c>
      <c r="B1762">
        <v>2</v>
      </c>
      <c r="C1762">
        <v>5</v>
      </c>
      <c r="D1762">
        <v>2029</v>
      </c>
      <c r="E1762">
        <v>132153</v>
      </c>
    </row>
    <row r="1763" spans="1:5" x14ac:dyDescent="0.25">
      <c r="A1763">
        <v>1</v>
      </c>
      <c r="B1763">
        <v>2</v>
      </c>
      <c r="C1763">
        <v>5</v>
      </c>
      <c r="D1763">
        <v>2030</v>
      </c>
      <c r="E1763">
        <v>133128</v>
      </c>
    </row>
    <row r="1764" spans="1:5" x14ac:dyDescent="0.25">
      <c r="A1764">
        <v>1</v>
      </c>
      <c r="B1764">
        <v>2</v>
      </c>
      <c r="C1764">
        <v>5</v>
      </c>
      <c r="D1764">
        <v>2031</v>
      </c>
      <c r="E1764">
        <v>134099</v>
      </c>
    </row>
    <row r="1765" spans="1:5" x14ac:dyDescent="0.25">
      <c r="A1765">
        <v>1</v>
      </c>
      <c r="B1765">
        <v>2</v>
      </c>
      <c r="C1765">
        <v>5</v>
      </c>
      <c r="D1765">
        <v>2032</v>
      </c>
      <c r="E1765">
        <v>135073</v>
      </c>
    </row>
    <row r="1766" spans="1:5" x14ac:dyDescent="0.25">
      <c r="A1766">
        <v>1</v>
      </c>
      <c r="B1766">
        <v>2</v>
      </c>
      <c r="C1766">
        <v>5</v>
      </c>
      <c r="D1766">
        <v>2033</v>
      </c>
      <c r="E1766">
        <v>136048</v>
      </c>
    </row>
    <row r="1767" spans="1:5" x14ac:dyDescent="0.25">
      <c r="A1767">
        <v>1</v>
      </c>
      <c r="B1767">
        <v>2</v>
      </c>
      <c r="C1767">
        <v>5</v>
      </c>
      <c r="D1767">
        <v>2034</v>
      </c>
      <c r="E1767">
        <v>137044</v>
      </c>
    </row>
    <row r="1768" spans="1:5" x14ac:dyDescent="0.25">
      <c r="A1768">
        <v>1</v>
      </c>
      <c r="B1768">
        <v>2</v>
      </c>
      <c r="C1768">
        <v>5</v>
      </c>
      <c r="D1768">
        <v>2035</v>
      </c>
      <c r="E1768">
        <v>138045</v>
      </c>
    </row>
    <row r="1769" spans="1:5" x14ac:dyDescent="0.25">
      <c r="A1769">
        <v>1</v>
      </c>
      <c r="B1769">
        <v>2</v>
      </c>
      <c r="C1769">
        <v>5</v>
      </c>
      <c r="D1769">
        <v>2036</v>
      </c>
      <c r="E1769">
        <v>139065</v>
      </c>
    </row>
    <row r="1770" spans="1:5" x14ac:dyDescent="0.25">
      <c r="A1770">
        <v>1</v>
      </c>
      <c r="B1770">
        <v>2</v>
      </c>
      <c r="C1770">
        <v>5</v>
      </c>
      <c r="D1770">
        <v>2037</v>
      </c>
      <c r="E1770">
        <v>140094</v>
      </c>
    </row>
    <row r="1771" spans="1:5" x14ac:dyDescent="0.25">
      <c r="A1771">
        <v>1</v>
      </c>
      <c r="B1771">
        <v>2</v>
      </c>
      <c r="C1771">
        <v>5</v>
      </c>
      <c r="D1771">
        <v>2038</v>
      </c>
      <c r="E1771">
        <v>141124</v>
      </c>
    </row>
    <row r="1772" spans="1:5" x14ac:dyDescent="0.25">
      <c r="A1772">
        <v>1</v>
      </c>
      <c r="B1772">
        <v>2</v>
      </c>
      <c r="C1772">
        <v>5</v>
      </c>
      <c r="D1772">
        <v>2039</v>
      </c>
      <c r="E1772">
        <v>142182</v>
      </c>
    </row>
    <row r="1773" spans="1:5" x14ac:dyDescent="0.25">
      <c r="A1773">
        <v>1</v>
      </c>
      <c r="B1773">
        <v>2</v>
      </c>
      <c r="C1773">
        <v>5</v>
      </c>
      <c r="D1773">
        <v>2040</v>
      </c>
      <c r="E1773">
        <v>143264</v>
      </c>
    </row>
    <row r="1774" spans="1:5" x14ac:dyDescent="0.25">
      <c r="A1774">
        <v>1</v>
      </c>
      <c r="B1774">
        <v>2</v>
      </c>
      <c r="C1774">
        <v>5</v>
      </c>
      <c r="D1774">
        <v>2041</v>
      </c>
      <c r="E1774">
        <v>144358</v>
      </c>
    </row>
    <row r="1775" spans="1:5" x14ac:dyDescent="0.25">
      <c r="A1775">
        <v>1</v>
      </c>
      <c r="B1775">
        <v>2</v>
      </c>
      <c r="C1775">
        <v>5</v>
      </c>
      <c r="D1775">
        <v>2042</v>
      </c>
      <c r="E1775">
        <v>145467</v>
      </c>
    </row>
    <row r="1776" spans="1:5" x14ac:dyDescent="0.25">
      <c r="A1776">
        <v>1</v>
      </c>
      <c r="B1776">
        <v>2</v>
      </c>
      <c r="C1776">
        <v>5</v>
      </c>
      <c r="D1776">
        <v>2043</v>
      </c>
      <c r="E1776">
        <v>146585</v>
      </c>
    </row>
    <row r="1777" spans="1:5" x14ac:dyDescent="0.25">
      <c r="A1777">
        <v>1</v>
      </c>
      <c r="B1777">
        <v>2</v>
      </c>
      <c r="C1777">
        <v>5</v>
      </c>
      <c r="D1777">
        <v>2044</v>
      </c>
      <c r="E1777">
        <v>147711</v>
      </c>
    </row>
    <row r="1778" spans="1:5" x14ac:dyDescent="0.25">
      <c r="A1778">
        <v>1</v>
      </c>
      <c r="B1778">
        <v>2</v>
      </c>
      <c r="C1778">
        <v>5</v>
      </c>
      <c r="D1778">
        <v>2045</v>
      </c>
      <c r="E1778">
        <v>148834</v>
      </c>
    </row>
    <row r="1779" spans="1:5" x14ac:dyDescent="0.25">
      <c r="A1779">
        <v>1</v>
      </c>
      <c r="B1779">
        <v>2</v>
      </c>
      <c r="C1779">
        <v>5</v>
      </c>
      <c r="D1779">
        <v>2046</v>
      </c>
      <c r="E1779">
        <v>149957</v>
      </c>
    </row>
    <row r="1780" spans="1:5" x14ac:dyDescent="0.25">
      <c r="A1780">
        <v>1</v>
      </c>
      <c r="B1780">
        <v>2</v>
      </c>
      <c r="C1780">
        <v>5</v>
      </c>
      <c r="D1780">
        <v>2047</v>
      </c>
      <c r="E1780">
        <v>151076</v>
      </c>
    </row>
    <row r="1781" spans="1:5" x14ac:dyDescent="0.25">
      <c r="A1781">
        <v>1</v>
      </c>
      <c r="B1781">
        <v>2</v>
      </c>
      <c r="C1781">
        <v>5</v>
      </c>
      <c r="D1781">
        <v>2048</v>
      </c>
      <c r="E1781">
        <v>152188</v>
      </c>
    </row>
    <row r="1782" spans="1:5" x14ac:dyDescent="0.25">
      <c r="A1782">
        <v>1</v>
      </c>
      <c r="B1782">
        <v>2</v>
      </c>
      <c r="C1782">
        <v>5</v>
      </c>
      <c r="D1782">
        <v>2049</v>
      </c>
      <c r="E1782">
        <v>153279</v>
      </c>
    </row>
    <row r="1783" spans="1:5" x14ac:dyDescent="0.25">
      <c r="A1783">
        <v>1</v>
      </c>
      <c r="B1783">
        <v>2</v>
      </c>
      <c r="C1783">
        <v>5</v>
      </c>
      <c r="D1783">
        <v>2050</v>
      </c>
      <c r="E1783">
        <v>154355</v>
      </c>
    </row>
    <row r="1784" spans="1:5" x14ac:dyDescent="0.25">
      <c r="A1784">
        <v>1</v>
      </c>
      <c r="B1784">
        <v>2</v>
      </c>
      <c r="C1784">
        <v>6</v>
      </c>
      <c r="D1784">
        <v>2024</v>
      </c>
      <c r="E1784">
        <v>1099126</v>
      </c>
    </row>
    <row r="1785" spans="1:5" x14ac:dyDescent="0.25">
      <c r="A1785">
        <v>1</v>
      </c>
      <c r="B1785">
        <v>2</v>
      </c>
      <c r="C1785">
        <v>6</v>
      </c>
      <c r="D1785">
        <v>2025</v>
      </c>
      <c r="E1785">
        <v>1128548</v>
      </c>
    </row>
    <row r="1786" spans="1:5" x14ac:dyDescent="0.25">
      <c r="A1786">
        <v>1</v>
      </c>
      <c r="B1786">
        <v>2</v>
      </c>
      <c r="C1786">
        <v>6</v>
      </c>
      <c r="D1786">
        <v>2026</v>
      </c>
      <c r="E1786">
        <v>1158496</v>
      </c>
    </row>
    <row r="1787" spans="1:5" x14ac:dyDescent="0.25">
      <c r="A1787">
        <v>1</v>
      </c>
      <c r="B1787">
        <v>2</v>
      </c>
      <c r="C1787">
        <v>6</v>
      </c>
      <c r="D1787">
        <v>2027</v>
      </c>
      <c r="E1787">
        <v>1188921</v>
      </c>
    </row>
    <row r="1788" spans="1:5" x14ac:dyDescent="0.25">
      <c r="A1788">
        <v>1</v>
      </c>
      <c r="B1788">
        <v>2</v>
      </c>
      <c r="C1788">
        <v>6</v>
      </c>
      <c r="D1788">
        <v>2028</v>
      </c>
      <c r="E1788">
        <v>1219868</v>
      </c>
    </row>
    <row r="1789" spans="1:5" x14ac:dyDescent="0.25">
      <c r="A1789">
        <v>1</v>
      </c>
      <c r="B1789">
        <v>2</v>
      </c>
      <c r="C1789">
        <v>6</v>
      </c>
      <c r="D1789">
        <v>2029</v>
      </c>
      <c r="E1789">
        <v>1251303</v>
      </c>
    </row>
    <row r="1790" spans="1:5" x14ac:dyDescent="0.25">
      <c r="A1790">
        <v>1</v>
      </c>
      <c r="B1790">
        <v>2</v>
      </c>
      <c r="C1790">
        <v>6</v>
      </c>
      <c r="D1790">
        <v>2030</v>
      </c>
      <c r="E1790">
        <v>1283283</v>
      </c>
    </row>
    <row r="1791" spans="1:5" x14ac:dyDescent="0.25">
      <c r="A1791">
        <v>1</v>
      </c>
      <c r="B1791">
        <v>2</v>
      </c>
      <c r="C1791">
        <v>6</v>
      </c>
      <c r="D1791">
        <v>2031</v>
      </c>
      <c r="E1791">
        <v>1315786</v>
      </c>
    </row>
    <row r="1792" spans="1:5" x14ac:dyDescent="0.25">
      <c r="A1792">
        <v>1</v>
      </c>
      <c r="B1792">
        <v>2</v>
      </c>
      <c r="C1792">
        <v>6</v>
      </c>
      <c r="D1792">
        <v>2032</v>
      </c>
      <c r="E1792">
        <v>1348906</v>
      </c>
    </row>
    <row r="1793" spans="1:5" x14ac:dyDescent="0.25">
      <c r="A1793">
        <v>1</v>
      </c>
      <c r="B1793">
        <v>2</v>
      </c>
      <c r="C1793">
        <v>6</v>
      </c>
      <c r="D1793">
        <v>2033</v>
      </c>
      <c r="E1793">
        <v>1382557</v>
      </c>
    </row>
    <row r="1794" spans="1:5" x14ac:dyDescent="0.25">
      <c r="A1794">
        <v>1</v>
      </c>
      <c r="B1794">
        <v>2</v>
      </c>
      <c r="C1794">
        <v>6</v>
      </c>
      <c r="D1794">
        <v>2034</v>
      </c>
      <c r="E1794">
        <v>1416737</v>
      </c>
    </row>
    <row r="1795" spans="1:5" x14ac:dyDescent="0.25">
      <c r="A1795">
        <v>1</v>
      </c>
      <c r="B1795">
        <v>2</v>
      </c>
      <c r="C1795">
        <v>6</v>
      </c>
      <c r="D1795">
        <v>2035</v>
      </c>
      <c r="E1795">
        <v>1451454</v>
      </c>
    </row>
    <row r="1796" spans="1:5" x14ac:dyDescent="0.25">
      <c r="A1796">
        <v>1</v>
      </c>
      <c r="B1796">
        <v>2</v>
      </c>
      <c r="C1796">
        <v>6</v>
      </c>
      <c r="D1796">
        <v>2036</v>
      </c>
      <c r="E1796">
        <v>1486696</v>
      </c>
    </row>
    <row r="1797" spans="1:5" x14ac:dyDescent="0.25">
      <c r="A1797">
        <v>1</v>
      </c>
      <c r="B1797">
        <v>2</v>
      </c>
      <c r="C1797">
        <v>6</v>
      </c>
      <c r="D1797">
        <v>2037</v>
      </c>
      <c r="E1797">
        <v>1522403</v>
      </c>
    </row>
    <row r="1798" spans="1:5" x14ac:dyDescent="0.25">
      <c r="A1798">
        <v>1</v>
      </c>
      <c r="B1798">
        <v>2</v>
      </c>
      <c r="C1798">
        <v>6</v>
      </c>
      <c r="D1798">
        <v>2038</v>
      </c>
      <c r="E1798">
        <v>1558579</v>
      </c>
    </row>
    <row r="1799" spans="1:5" x14ac:dyDescent="0.25">
      <c r="A1799">
        <v>1</v>
      </c>
      <c r="B1799">
        <v>2</v>
      </c>
      <c r="C1799">
        <v>6</v>
      </c>
      <c r="D1799">
        <v>2039</v>
      </c>
      <c r="E1799">
        <v>1595158</v>
      </c>
    </row>
    <row r="1800" spans="1:5" x14ac:dyDescent="0.25">
      <c r="A1800">
        <v>1</v>
      </c>
      <c r="B1800">
        <v>2</v>
      </c>
      <c r="C1800">
        <v>6</v>
      </c>
      <c r="D1800">
        <v>2040</v>
      </c>
      <c r="E1800">
        <v>1632095</v>
      </c>
    </row>
    <row r="1801" spans="1:5" x14ac:dyDescent="0.25">
      <c r="A1801">
        <v>1</v>
      </c>
      <c r="B1801">
        <v>2</v>
      </c>
      <c r="C1801">
        <v>6</v>
      </c>
      <c r="D1801">
        <v>2041</v>
      </c>
      <c r="E1801">
        <v>1669310</v>
      </c>
    </row>
    <row r="1802" spans="1:5" x14ac:dyDescent="0.25">
      <c r="A1802">
        <v>1</v>
      </c>
      <c r="B1802">
        <v>2</v>
      </c>
      <c r="C1802">
        <v>6</v>
      </c>
      <c r="D1802">
        <v>2042</v>
      </c>
      <c r="E1802">
        <v>1706798</v>
      </c>
    </row>
    <row r="1803" spans="1:5" x14ac:dyDescent="0.25">
      <c r="A1803">
        <v>1</v>
      </c>
      <c r="B1803">
        <v>2</v>
      </c>
      <c r="C1803">
        <v>6</v>
      </c>
      <c r="D1803">
        <v>2043</v>
      </c>
      <c r="E1803">
        <v>1744508</v>
      </c>
    </row>
    <row r="1804" spans="1:5" x14ac:dyDescent="0.25">
      <c r="A1804">
        <v>1</v>
      </c>
      <c r="B1804">
        <v>2</v>
      </c>
      <c r="C1804">
        <v>6</v>
      </c>
      <c r="D1804">
        <v>2044</v>
      </c>
      <c r="E1804">
        <v>1782440</v>
      </c>
    </row>
    <row r="1805" spans="1:5" x14ac:dyDescent="0.25">
      <c r="A1805">
        <v>1</v>
      </c>
      <c r="B1805">
        <v>2</v>
      </c>
      <c r="C1805">
        <v>6</v>
      </c>
      <c r="D1805">
        <v>2045</v>
      </c>
      <c r="E1805">
        <v>1820629</v>
      </c>
    </row>
    <row r="1806" spans="1:5" x14ac:dyDescent="0.25">
      <c r="A1806">
        <v>1</v>
      </c>
      <c r="B1806">
        <v>2</v>
      </c>
      <c r="C1806">
        <v>6</v>
      </c>
      <c r="D1806">
        <v>2046</v>
      </c>
      <c r="E1806">
        <v>1858972</v>
      </c>
    </row>
    <row r="1807" spans="1:5" x14ac:dyDescent="0.25">
      <c r="A1807">
        <v>1</v>
      </c>
      <c r="B1807">
        <v>2</v>
      </c>
      <c r="C1807">
        <v>6</v>
      </c>
      <c r="D1807">
        <v>2047</v>
      </c>
      <c r="E1807">
        <v>1897477</v>
      </c>
    </row>
    <row r="1808" spans="1:5" x14ac:dyDescent="0.25">
      <c r="A1808">
        <v>1</v>
      </c>
      <c r="B1808">
        <v>2</v>
      </c>
      <c r="C1808">
        <v>6</v>
      </c>
      <c r="D1808">
        <v>2048</v>
      </c>
      <c r="E1808">
        <v>1936205</v>
      </c>
    </row>
    <row r="1809" spans="1:5" x14ac:dyDescent="0.25">
      <c r="A1809">
        <v>1</v>
      </c>
      <c r="B1809">
        <v>2</v>
      </c>
      <c r="C1809">
        <v>6</v>
      </c>
      <c r="D1809">
        <v>2049</v>
      </c>
      <c r="E1809">
        <v>1975137</v>
      </c>
    </row>
    <row r="1810" spans="1:5" x14ac:dyDescent="0.25">
      <c r="A1810">
        <v>1</v>
      </c>
      <c r="B1810">
        <v>2</v>
      </c>
      <c r="C1810">
        <v>6</v>
      </c>
      <c r="D1810">
        <v>2050</v>
      </c>
      <c r="E1810">
        <v>2014244</v>
      </c>
    </row>
    <row r="1811" spans="1:5" x14ac:dyDescent="0.25">
      <c r="A1811">
        <v>1</v>
      </c>
      <c r="B1811">
        <v>2</v>
      </c>
      <c r="C1811">
        <v>7</v>
      </c>
      <c r="D1811">
        <v>2024</v>
      </c>
      <c r="E1811">
        <v>29922818</v>
      </c>
    </row>
    <row r="1812" spans="1:5" x14ac:dyDescent="0.25">
      <c r="A1812">
        <v>1</v>
      </c>
      <c r="B1812">
        <v>2</v>
      </c>
      <c r="C1812">
        <v>7</v>
      </c>
      <c r="D1812">
        <v>2025</v>
      </c>
      <c r="E1812">
        <v>30368401</v>
      </c>
    </row>
    <row r="1813" spans="1:5" x14ac:dyDescent="0.25">
      <c r="A1813">
        <v>1</v>
      </c>
      <c r="B1813">
        <v>2</v>
      </c>
      <c r="C1813">
        <v>7</v>
      </c>
      <c r="D1813">
        <v>2026</v>
      </c>
      <c r="E1813">
        <v>30815444</v>
      </c>
    </row>
    <row r="1814" spans="1:5" x14ac:dyDescent="0.25">
      <c r="A1814">
        <v>1</v>
      </c>
      <c r="B1814">
        <v>2</v>
      </c>
      <c r="C1814">
        <v>7</v>
      </c>
      <c r="D1814">
        <v>2027</v>
      </c>
      <c r="E1814">
        <v>31264077</v>
      </c>
    </row>
    <row r="1815" spans="1:5" x14ac:dyDescent="0.25">
      <c r="A1815">
        <v>1</v>
      </c>
      <c r="B1815">
        <v>2</v>
      </c>
      <c r="C1815">
        <v>7</v>
      </c>
      <c r="D1815">
        <v>2028</v>
      </c>
      <c r="E1815">
        <v>31714108</v>
      </c>
    </row>
    <row r="1816" spans="1:5" x14ac:dyDescent="0.25">
      <c r="A1816">
        <v>1</v>
      </c>
      <c r="B1816">
        <v>2</v>
      </c>
      <c r="C1816">
        <v>7</v>
      </c>
      <c r="D1816">
        <v>2029</v>
      </c>
      <c r="E1816">
        <v>32165051</v>
      </c>
    </row>
    <row r="1817" spans="1:5" x14ac:dyDescent="0.25">
      <c r="A1817">
        <v>1</v>
      </c>
      <c r="B1817">
        <v>2</v>
      </c>
      <c r="C1817">
        <v>7</v>
      </c>
      <c r="D1817">
        <v>2030</v>
      </c>
      <c r="E1817">
        <v>32616937</v>
      </c>
    </row>
    <row r="1818" spans="1:5" x14ac:dyDescent="0.25">
      <c r="A1818">
        <v>1</v>
      </c>
      <c r="B1818">
        <v>2</v>
      </c>
      <c r="C1818">
        <v>7</v>
      </c>
      <c r="D1818">
        <v>2031</v>
      </c>
      <c r="E1818">
        <v>33069457</v>
      </c>
    </row>
    <row r="1819" spans="1:5" x14ac:dyDescent="0.25">
      <c r="A1819">
        <v>1</v>
      </c>
      <c r="B1819">
        <v>2</v>
      </c>
      <c r="C1819">
        <v>7</v>
      </c>
      <c r="D1819">
        <v>2032</v>
      </c>
      <c r="E1819">
        <v>33522087</v>
      </c>
    </row>
    <row r="1820" spans="1:5" x14ac:dyDescent="0.25">
      <c r="A1820">
        <v>1</v>
      </c>
      <c r="B1820">
        <v>2</v>
      </c>
      <c r="C1820">
        <v>7</v>
      </c>
      <c r="D1820">
        <v>2033</v>
      </c>
      <c r="E1820">
        <v>33974366</v>
      </c>
    </row>
    <row r="1821" spans="1:5" x14ac:dyDescent="0.25">
      <c r="A1821">
        <v>1</v>
      </c>
      <c r="B1821">
        <v>2</v>
      </c>
      <c r="C1821">
        <v>7</v>
      </c>
      <c r="D1821">
        <v>2034</v>
      </c>
      <c r="E1821">
        <v>34425596</v>
      </c>
    </row>
    <row r="1822" spans="1:5" x14ac:dyDescent="0.25">
      <c r="A1822">
        <v>1</v>
      </c>
      <c r="B1822">
        <v>2</v>
      </c>
      <c r="C1822">
        <v>7</v>
      </c>
      <c r="D1822">
        <v>2035</v>
      </c>
      <c r="E1822">
        <v>34875167</v>
      </c>
    </row>
    <row r="1823" spans="1:5" x14ac:dyDescent="0.25">
      <c r="A1823">
        <v>1</v>
      </c>
      <c r="B1823">
        <v>2</v>
      </c>
      <c r="C1823">
        <v>7</v>
      </c>
      <c r="D1823">
        <v>2036</v>
      </c>
      <c r="E1823">
        <v>35322395</v>
      </c>
    </row>
    <row r="1824" spans="1:5" x14ac:dyDescent="0.25">
      <c r="A1824">
        <v>1</v>
      </c>
      <c r="B1824">
        <v>2</v>
      </c>
      <c r="C1824">
        <v>7</v>
      </c>
      <c r="D1824">
        <v>2037</v>
      </c>
      <c r="E1824">
        <v>35766530</v>
      </c>
    </row>
    <row r="1825" spans="1:5" x14ac:dyDescent="0.25">
      <c r="A1825">
        <v>1</v>
      </c>
      <c r="B1825">
        <v>2</v>
      </c>
      <c r="C1825">
        <v>7</v>
      </c>
      <c r="D1825">
        <v>2038</v>
      </c>
      <c r="E1825">
        <v>36206746</v>
      </c>
    </row>
    <row r="1826" spans="1:5" x14ac:dyDescent="0.25">
      <c r="A1826">
        <v>1</v>
      </c>
      <c r="B1826">
        <v>2</v>
      </c>
      <c r="C1826">
        <v>7</v>
      </c>
      <c r="D1826">
        <v>2039</v>
      </c>
      <c r="E1826">
        <v>36642402</v>
      </c>
    </row>
    <row r="1827" spans="1:5" x14ac:dyDescent="0.25">
      <c r="A1827">
        <v>1</v>
      </c>
      <c r="B1827">
        <v>2</v>
      </c>
      <c r="C1827">
        <v>7</v>
      </c>
      <c r="D1827">
        <v>2040</v>
      </c>
      <c r="E1827">
        <v>37072769</v>
      </c>
    </row>
    <row r="1828" spans="1:5" x14ac:dyDescent="0.25">
      <c r="A1828">
        <v>1</v>
      </c>
      <c r="B1828">
        <v>2</v>
      </c>
      <c r="C1828">
        <v>7</v>
      </c>
      <c r="D1828">
        <v>2041</v>
      </c>
      <c r="E1828">
        <v>37496828</v>
      </c>
    </row>
    <row r="1829" spans="1:5" x14ac:dyDescent="0.25">
      <c r="A1829">
        <v>1</v>
      </c>
      <c r="B1829">
        <v>2</v>
      </c>
      <c r="C1829">
        <v>7</v>
      </c>
      <c r="D1829">
        <v>2042</v>
      </c>
      <c r="E1829">
        <v>37914134</v>
      </c>
    </row>
    <row r="1830" spans="1:5" x14ac:dyDescent="0.25">
      <c r="A1830">
        <v>1</v>
      </c>
      <c r="B1830">
        <v>2</v>
      </c>
      <c r="C1830">
        <v>7</v>
      </c>
      <c r="D1830">
        <v>2043</v>
      </c>
      <c r="E1830">
        <v>38324278</v>
      </c>
    </row>
    <row r="1831" spans="1:5" x14ac:dyDescent="0.25">
      <c r="A1831">
        <v>1</v>
      </c>
      <c r="B1831">
        <v>2</v>
      </c>
      <c r="C1831">
        <v>7</v>
      </c>
      <c r="D1831">
        <v>2044</v>
      </c>
      <c r="E1831">
        <v>38727028</v>
      </c>
    </row>
    <row r="1832" spans="1:5" x14ac:dyDescent="0.25">
      <c r="A1832">
        <v>1</v>
      </c>
      <c r="B1832">
        <v>2</v>
      </c>
      <c r="C1832">
        <v>7</v>
      </c>
      <c r="D1832">
        <v>2045</v>
      </c>
      <c r="E1832">
        <v>39122387</v>
      </c>
    </row>
    <row r="1833" spans="1:5" x14ac:dyDescent="0.25">
      <c r="A1833">
        <v>1</v>
      </c>
      <c r="B1833">
        <v>2</v>
      </c>
      <c r="C1833">
        <v>7</v>
      </c>
      <c r="D1833">
        <v>2046</v>
      </c>
      <c r="E1833">
        <v>39510296</v>
      </c>
    </row>
    <row r="1834" spans="1:5" x14ac:dyDescent="0.25">
      <c r="A1834">
        <v>1</v>
      </c>
      <c r="B1834">
        <v>2</v>
      </c>
      <c r="C1834">
        <v>7</v>
      </c>
      <c r="D1834">
        <v>2047</v>
      </c>
      <c r="E1834">
        <v>39890846</v>
      </c>
    </row>
    <row r="1835" spans="1:5" x14ac:dyDescent="0.25">
      <c r="A1835">
        <v>1</v>
      </c>
      <c r="B1835">
        <v>2</v>
      </c>
      <c r="C1835">
        <v>7</v>
      </c>
      <c r="D1835">
        <v>2048</v>
      </c>
      <c r="E1835">
        <v>40264221</v>
      </c>
    </row>
    <row r="1836" spans="1:5" x14ac:dyDescent="0.25">
      <c r="A1836">
        <v>1</v>
      </c>
      <c r="B1836">
        <v>2</v>
      </c>
      <c r="C1836">
        <v>7</v>
      </c>
      <c r="D1836">
        <v>2049</v>
      </c>
      <c r="E1836">
        <v>40630639</v>
      </c>
    </row>
    <row r="1837" spans="1:5" x14ac:dyDescent="0.25">
      <c r="A1837">
        <v>1</v>
      </c>
      <c r="B1837">
        <v>2</v>
      </c>
      <c r="C1837">
        <v>7</v>
      </c>
      <c r="D1837">
        <v>2050</v>
      </c>
      <c r="E1837">
        <v>40990333</v>
      </c>
    </row>
    <row r="1838" spans="1:5" x14ac:dyDescent="0.25">
      <c r="A1838">
        <v>1</v>
      </c>
      <c r="B1838">
        <v>2</v>
      </c>
      <c r="C1838">
        <v>8</v>
      </c>
      <c r="D1838">
        <v>2024</v>
      </c>
      <c r="E1838">
        <v>2225454</v>
      </c>
    </row>
    <row r="1839" spans="1:5" x14ac:dyDescent="0.25">
      <c r="A1839">
        <v>1</v>
      </c>
      <c r="B1839">
        <v>2</v>
      </c>
      <c r="C1839">
        <v>8</v>
      </c>
      <c r="D1839">
        <v>2025</v>
      </c>
      <c r="E1839">
        <v>2266755</v>
      </c>
    </row>
    <row r="1840" spans="1:5" x14ac:dyDescent="0.25">
      <c r="A1840">
        <v>1</v>
      </c>
      <c r="B1840">
        <v>2</v>
      </c>
      <c r="C1840">
        <v>8</v>
      </c>
      <c r="D1840">
        <v>2026</v>
      </c>
      <c r="E1840">
        <v>2308482</v>
      </c>
    </row>
    <row r="1841" spans="1:5" x14ac:dyDescent="0.25">
      <c r="A1841">
        <v>1</v>
      </c>
      <c r="B1841">
        <v>2</v>
      </c>
      <c r="C1841">
        <v>8</v>
      </c>
      <c r="D1841">
        <v>2027</v>
      </c>
      <c r="E1841">
        <v>2350622</v>
      </c>
    </row>
    <row r="1842" spans="1:5" x14ac:dyDescent="0.25">
      <c r="A1842">
        <v>1</v>
      </c>
      <c r="B1842">
        <v>2</v>
      </c>
      <c r="C1842">
        <v>8</v>
      </c>
      <c r="D1842">
        <v>2028</v>
      </c>
      <c r="E1842">
        <v>2393188</v>
      </c>
    </row>
    <row r="1843" spans="1:5" x14ac:dyDescent="0.25">
      <c r="A1843">
        <v>1</v>
      </c>
      <c r="B1843">
        <v>2</v>
      </c>
      <c r="C1843">
        <v>8</v>
      </c>
      <c r="D1843">
        <v>2029</v>
      </c>
      <c r="E1843">
        <v>2436186</v>
      </c>
    </row>
    <row r="1844" spans="1:5" x14ac:dyDescent="0.25">
      <c r="A1844">
        <v>1</v>
      </c>
      <c r="B1844">
        <v>2</v>
      </c>
      <c r="C1844">
        <v>8</v>
      </c>
      <c r="D1844">
        <v>2030</v>
      </c>
      <c r="E1844">
        <v>2479655</v>
      </c>
    </row>
    <row r="1845" spans="1:5" x14ac:dyDescent="0.25">
      <c r="A1845">
        <v>1</v>
      </c>
      <c r="B1845">
        <v>2</v>
      </c>
      <c r="C1845">
        <v>8</v>
      </c>
      <c r="D1845">
        <v>2031</v>
      </c>
      <c r="E1845">
        <v>2523616</v>
      </c>
    </row>
    <row r="1846" spans="1:5" x14ac:dyDescent="0.25">
      <c r="A1846">
        <v>1</v>
      </c>
      <c r="B1846">
        <v>2</v>
      </c>
      <c r="C1846">
        <v>8</v>
      </c>
      <c r="D1846">
        <v>2032</v>
      </c>
      <c r="E1846">
        <v>2568101</v>
      </c>
    </row>
    <row r="1847" spans="1:5" x14ac:dyDescent="0.25">
      <c r="A1847">
        <v>1</v>
      </c>
      <c r="B1847">
        <v>2</v>
      </c>
      <c r="C1847">
        <v>8</v>
      </c>
      <c r="D1847">
        <v>2033</v>
      </c>
      <c r="E1847">
        <v>2613108</v>
      </c>
    </row>
    <row r="1848" spans="1:5" x14ac:dyDescent="0.25">
      <c r="A1848">
        <v>1</v>
      </c>
      <c r="B1848">
        <v>2</v>
      </c>
      <c r="C1848">
        <v>8</v>
      </c>
      <c r="D1848">
        <v>2034</v>
      </c>
      <c r="E1848">
        <v>2658674</v>
      </c>
    </row>
    <row r="1849" spans="1:5" x14ac:dyDescent="0.25">
      <c r="A1849">
        <v>1</v>
      </c>
      <c r="B1849">
        <v>2</v>
      </c>
      <c r="C1849">
        <v>8</v>
      </c>
      <c r="D1849">
        <v>2035</v>
      </c>
      <c r="E1849">
        <v>2704778</v>
      </c>
    </row>
    <row r="1850" spans="1:5" x14ac:dyDescent="0.25">
      <c r="A1850">
        <v>1</v>
      </c>
      <c r="B1850">
        <v>2</v>
      </c>
      <c r="C1850">
        <v>8</v>
      </c>
      <c r="D1850">
        <v>2036</v>
      </c>
      <c r="E1850">
        <v>2751435</v>
      </c>
    </row>
    <row r="1851" spans="1:5" x14ac:dyDescent="0.25">
      <c r="A1851">
        <v>1</v>
      </c>
      <c r="B1851">
        <v>2</v>
      </c>
      <c r="C1851">
        <v>8</v>
      </c>
      <c r="D1851">
        <v>2037</v>
      </c>
      <c r="E1851">
        <v>2798569</v>
      </c>
    </row>
    <row r="1852" spans="1:5" x14ac:dyDescent="0.25">
      <c r="A1852">
        <v>1</v>
      </c>
      <c r="B1852">
        <v>2</v>
      </c>
      <c r="C1852">
        <v>8</v>
      </c>
      <c r="D1852">
        <v>2038</v>
      </c>
      <c r="E1852">
        <v>2846223</v>
      </c>
    </row>
    <row r="1853" spans="1:5" x14ac:dyDescent="0.25">
      <c r="A1853">
        <v>1</v>
      </c>
      <c r="B1853">
        <v>2</v>
      </c>
      <c r="C1853">
        <v>8</v>
      </c>
      <c r="D1853">
        <v>2039</v>
      </c>
      <c r="E1853">
        <v>2894296</v>
      </c>
    </row>
    <row r="1854" spans="1:5" x14ac:dyDescent="0.25">
      <c r="A1854">
        <v>1</v>
      </c>
      <c r="B1854">
        <v>2</v>
      </c>
      <c r="C1854">
        <v>8</v>
      </c>
      <c r="D1854">
        <v>2040</v>
      </c>
      <c r="E1854">
        <v>2942793</v>
      </c>
    </row>
    <row r="1855" spans="1:5" x14ac:dyDescent="0.25">
      <c r="A1855">
        <v>1</v>
      </c>
      <c r="B1855">
        <v>2</v>
      </c>
      <c r="C1855">
        <v>8</v>
      </c>
      <c r="D1855">
        <v>2041</v>
      </c>
      <c r="E1855">
        <v>2991581</v>
      </c>
    </row>
    <row r="1856" spans="1:5" x14ac:dyDescent="0.25">
      <c r="A1856">
        <v>1</v>
      </c>
      <c r="B1856">
        <v>2</v>
      </c>
      <c r="C1856">
        <v>8</v>
      </c>
      <c r="D1856">
        <v>2042</v>
      </c>
      <c r="E1856">
        <v>3040553</v>
      </c>
    </row>
    <row r="1857" spans="1:5" x14ac:dyDescent="0.25">
      <c r="A1857">
        <v>1</v>
      </c>
      <c r="B1857">
        <v>2</v>
      </c>
      <c r="C1857">
        <v>8</v>
      </c>
      <c r="D1857">
        <v>2043</v>
      </c>
      <c r="E1857">
        <v>3089691</v>
      </c>
    </row>
    <row r="1858" spans="1:5" x14ac:dyDescent="0.25">
      <c r="A1858">
        <v>1</v>
      </c>
      <c r="B1858">
        <v>2</v>
      </c>
      <c r="C1858">
        <v>8</v>
      </c>
      <c r="D1858">
        <v>2044</v>
      </c>
      <c r="E1858">
        <v>3138903</v>
      </c>
    </row>
    <row r="1859" spans="1:5" x14ac:dyDescent="0.25">
      <c r="A1859">
        <v>1</v>
      </c>
      <c r="B1859">
        <v>2</v>
      </c>
      <c r="C1859">
        <v>8</v>
      </c>
      <c r="D1859">
        <v>2045</v>
      </c>
      <c r="E1859">
        <v>3188132</v>
      </c>
    </row>
    <row r="1860" spans="1:5" x14ac:dyDescent="0.25">
      <c r="A1860">
        <v>1</v>
      </c>
      <c r="B1860">
        <v>2</v>
      </c>
      <c r="C1860">
        <v>8</v>
      </c>
      <c r="D1860">
        <v>2046</v>
      </c>
      <c r="E1860">
        <v>3237374</v>
      </c>
    </row>
    <row r="1861" spans="1:5" x14ac:dyDescent="0.25">
      <c r="A1861">
        <v>1</v>
      </c>
      <c r="B1861">
        <v>2</v>
      </c>
      <c r="C1861">
        <v>8</v>
      </c>
      <c r="D1861">
        <v>2047</v>
      </c>
      <c r="E1861">
        <v>3286548</v>
      </c>
    </row>
    <row r="1862" spans="1:5" x14ac:dyDescent="0.25">
      <c r="A1862">
        <v>1</v>
      </c>
      <c r="B1862">
        <v>2</v>
      </c>
      <c r="C1862">
        <v>8</v>
      </c>
      <c r="D1862">
        <v>2048</v>
      </c>
      <c r="E1862">
        <v>3335679</v>
      </c>
    </row>
    <row r="1863" spans="1:5" x14ac:dyDescent="0.25">
      <c r="A1863">
        <v>1</v>
      </c>
      <c r="B1863">
        <v>2</v>
      </c>
      <c r="C1863">
        <v>8</v>
      </c>
      <c r="D1863">
        <v>2049</v>
      </c>
      <c r="E1863">
        <v>3384722</v>
      </c>
    </row>
    <row r="1864" spans="1:5" x14ac:dyDescent="0.25">
      <c r="A1864">
        <v>1</v>
      </c>
      <c r="B1864">
        <v>2</v>
      </c>
      <c r="C1864">
        <v>8</v>
      </c>
      <c r="D1864">
        <v>2050</v>
      </c>
      <c r="E1864">
        <v>3433666</v>
      </c>
    </row>
    <row r="1865" spans="1:5" x14ac:dyDescent="0.25">
      <c r="A1865">
        <v>1</v>
      </c>
      <c r="B1865">
        <v>2</v>
      </c>
      <c r="C1865">
        <v>9</v>
      </c>
      <c r="D1865">
        <v>2024</v>
      </c>
      <c r="E1865">
        <v>1484488</v>
      </c>
    </row>
    <row r="1866" spans="1:5" x14ac:dyDescent="0.25">
      <c r="A1866">
        <v>1</v>
      </c>
      <c r="B1866">
        <v>2</v>
      </c>
      <c r="C1866">
        <v>9</v>
      </c>
      <c r="D1866">
        <v>2025</v>
      </c>
      <c r="E1866">
        <v>1503898</v>
      </c>
    </row>
    <row r="1867" spans="1:5" x14ac:dyDescent="0.25">
      <c r="A1867">
        <v>1</v>
      </c>
      <c r="B1867">
        <v>2</v>
      </c>
      <c r="C1867">
        <v>9</v>
      </c>
      <c r="D1867">
        <v>2026</v>
      </c>
      <c r="E1867">
        <v>1523308</v>
      </c>
    </row>
    <row r="1868" spans="1:5" x14ac:dyDescent="0.25">
      <c r="A1868">
        <v>1</v>
      </c>
      <c r="B1868">
        <v>2</v>
      </c>
      <c r="C1868">
        <v>9</v>
      </c>
      <c r="D1868">
        <v>2027</v>
      </c>
      <c r="E1868">
        <v>1542730</v>
      </c>
    </row>
    <row r="1869" spans="1:5" x14ac:dyDescent="0.25">
      <c r="A1869">
        <v>1</v>
      </c>
      <c r="B1869">
        <v>2</v>
      </c>
      <c r="C1869">
        <v>9</v>
      </c>
      <c r="D1869">
        <v>2028</v>
      </c>
      <c r="E1869">
        <v>1562152</v>
      </c>
    </row>
    <row r="1870" spans="1:5" x14ac:dyDescent="0.25">
      <c r="A1870">
        <v>1</v>
      </c>
      <c r="B1870">
        <v>2</v>
      </c>
      <c r="C1870">
        <v>9</v>
      </c>
      <c r="D1870">
        <v>2029</v>
      </c>
      <c r="E1870">
        <v>1581537</v>
      </c>
    </row>
    <row r="1871" spans="1:5" x14ac:dyDescent="0.25">
      <c r="A1871">
        <v>1</v>
      </c>
      <c r="B1871">
        <v>2</v>
      </c>
      <c r="C1871">
        <v>9</v>
      </c>
      <c r="D1871">
        <v>2030</v>
      </c>
      <c r="E1871">
        <v>1600920</v>
      </c>
    </row>
    <row r="1872" spans="1:5" x14ac:dyDescent="0.25">
      <c r="A1872">
        <v>1</v>
      </c>
      <c r="B1872">
        <v>2</v>
      </c>
      <c r="C1872">
        <v>9</v>
      </c>
      <c r="D1872">
        <v>2031</v>
      </c>
      <c r="E1872">
        <v>1620311</v>
      </c>
    </row>
    <row r="1873" spans="1:5" x14ac:dyDescent="0.25">
      <c r="A1873">
        <v>1</v>
      </c>
      <c r="B1873">
        <v>2</v>
      </c>
      <c r="C1873">
        <v>9</v>
      </c>
      <c r="D1873">
        <v>2032</v>
      </c>
      <c r="E1873">
        <v>1639791</v>
      </c>
    </row>
    <row r="1874" spans="1:5" x14ac:dyDescent="0.25">
      <c r="A1874">
        <v>1</v>
      </c>
      <c r="B1874">
        <v>2</v>
      </c>
      <c r="C1874">
        <v>9</v>
      </c>
      <c r="D1874">
        <v>2033</v>
      </c>
      <c r="E1874">
        <v>1659281</v>
      </c>
    </row>
    <row r="1875" spans="1:5" x14ac:dyDescent="0.25">
      <c r="A1875">
        <v>1</v>
      </c>
      <c r="B1875">
        <v>2</v>
      </c>
      <c r="C1875">
        <v>9</v>
      </c>
      <c r="D1875">
        <v>2034</v>
      </c>
      <c r="E1875">
        <v>1678850</v>
      </c>
    </row>
    <row r="1876" spans="1:5" x14ac:dyDescent="0.25">
      <c r="A1876">
        <v>1</v>
      </c>
      <c r="B1876">
        <v>2</v>
      </c>
      <c r="C1876">
        <v>9</v>
      </c>
      <c r="D1876">
        <v>2035</v>
      </c>
      <c r="E1876">
        <v>1698445</v>
      </c>
    </row>
    <row r="1877" spans="1:5" x14ac:dyDescent="0.25">
      <c r="A1877">
        <v>1</v>
      </c>
      <c r="B1877">
        <v>2</v>
      </c>
      <c r="C1877">
        <v>9</v>
      </c>
      <c r="D1877">
        <v>2036</v>
      </c>
      <c r="E1877">
        <v>1718116</v>
      </c>
    </row>
    <row r="1878" spans="1:5" x14ac:dyDescent="0.25">
      <c r="A1878">
        <v>1</v>
      </c>
      <c r="B1878">
        <v>2</v>
      </c>
      <c r="C1878">
        <v>9</v>
      </c>
      <c r="D1878">
        <v>2037</v>
      </c>
      <c r="E1878">
        <v>1737814</v>
      </c>
    </row>
    <row r="1879" spans="1:5" x14ac:dyDescent="0.25">
      <c r="A1879">
        <v>1</v>
      </c>
      <c r="B1879">
        <v>2</v>
      </c>
      <c r="C1879">
        <v>9</v>
      </c>
      <c r="D1879">
        <v>2038</v>
      </c>
      <c r="E1879">
        <v>1757565</v>
      </c>
    </row>
    <row r="1880" spans="1:5" x14ac:dyDescent="0.25">
      <c r="A1880">
        <v>1</v>
      </c>
      <c r="B1880">
        <v>2</v>
      </c>
      <c r="C1880">
        <v>9</v>
      </c>
      <c r="D1880">
        <v>2039</v>
      </c>
      <c r="E1880">
        <v>1777289</v>
      </c>
    </row>
    <row r="1881" spans="1:5" x14ac:dyDescent="0.25">
      <c r="A1881">
        <v>1</v>
      </c>
      <c r="B1881">
        <v>2</v>
      </c>
      <c r="C1881">
        <v>9</v>
      </c>
      <c r="D1881">
        <v>2040</v>
      </c>
      <c r="E1881">
        <v>1796962</v>
      </c>
    </row>
    <row r="1882" spans="1:5" x14ac:dyDescent="0.25">
      <c r="A1882">
        <v>1</v>
      </c>
      <c r="B1882">
        <v>2</v>
      </c>
      <c r="C1882">
        <v>9</v>
      </c>
      <c r="D1882">
        <v>2041</v>
      </c>
      <c r="E1882">
        <v>1816552</v>
      </c>
    </row>
    <row r="1883" spans="1:5" x14ac:dyDescent="0.25">
      <c r="A1883">
        <v>1</v>
      </c>
      <c r="B1883">
        <v>2</v>
      </c>
      <c r="C1883">
        <v>9</v>
      </c>
      <c r="D1883">
        <v>2042</v>
      </c>
      <c r="E1883">
        <v>1836024</v>
      </c>
    </row>
    <row r="1884" spans="1:5" x14ac:dyDescent="0.25">
      <c r="A1884">
        <v>1</v>
      </c>
      <c r="B1884">
        <v>2</v>
      </c>
      <c r="C1884">
        <v>9</v>
      </c>
      <c r="D1884">
        <v>2043</v>
      </c>
      <c r="E1884">
        <v>1855240</v>
      </c>
    </row>
    <row r="1885" spans="1:5" x14ac:dyDescent="0.25">
      <c r="A1885">
        <v>1</v>
      </c>
      <c r="B1885">
        <v>2</v>
      </c>
      <c r="C1885">
        <v>9</v>
      </c>
      <c r="D1885">
        <v>2044</v>
      </c>
      <c r="E1885">
        <v>1874236</v>
      </c>
    </row>
    <row r="1886" spans="1:5" x14ac:dyDescent="0.25">
      <c r="A1886">
        <v>1</v>
      </c>
      <c r="B1886">
        <v>2</v>
      </c>
      <c r="C1886">
        <v>9</v>
      </c>
      <c r="D1886">
        <v>2045</v>
      </c>
      <c r="E1886">
        <v>1893021</v>
      </c>
    </row>
    <row r="1887" spans="1:5" x14ac:dyDescent="0.25">
      <c r="A1887">
        <v>1</v>
      </c>
      <c r="B1887">
        <v>2</v>
      </c>
      <c r="C1887">
        <v>9</v>
      </c>
      <c r="D1887">
        <v>2046</v>
      </c>
      <c r="E1887">
        <v>1911464</v>
      </c>
    </row>
    <row r="1888" spans="1:5" x14ac:dyDescent="0.25">
      <c r="A1888">
        <v>1</v>
      </c>
      <c r="B1888">
        <v>2</v>
      </c>
      <c r="C1888">
        <v>9</v>
      </c>
      <c r="D1888">
        <v>2047</v>
      </c>
      <c r="E1888">
        <v>1929565</v>
      </c>
    </row>
    <row r="1889" spans="1:5" x14ac:dyDescent="0.25">
      <c r="A1889">
        <v>1</v>
      </c>
      <c r="B1889">
        <v>2</v>
      </c>
      <c r="C1889">
        <v>9</v>
      </c>
      <c r="D1889">
        <v>2048</v>
      </c>
      <c r="E1889">
        <v>1947350</v>
      </c>
    </row>
    <row r="1890" spans="1:5" x14ac:dyDescent="0.25">
      <c r="A1890">
        <v>1</v>
      </c>
      <c r="B1890">
        <v>2</v>
      </c>
      <c r="C1890">
        <v>9</v>
      </c>
      <c r="D1890">
        <v>2049</v>
      </c>
      <c r="E1890">
        <v>1964777</v>
      </c>
    </row>
    <row r="1891" spans="1:5" x14ac:dyDescent="0.25">
      <c r="A1891">
        <v>1</v>
      </c>
      <c r="B1891">
        <v>2</v>
      </c>
      <c r="C1891">
        <v>9</v>
      </c>
      <c r="D1891">
        <v>2050</v>
      </c>
      <c r="E1891">
        <v>1981791</v>
      </c>
    </row>
    <row r="1892" spans="1:5" x14ac:dyDescent="0.25">
      <c r="A1892">
        <v>1</v>
      </c>
      <c r="B1892">
        <v>2</v>
      </c>
      <c r="C1892">
        <v>10</v>
      </c>
      <c r="D1892">
        <v>2024</v>
      </c>
      <c r="E1892">
        <v>655664</v>
      </c>
    </row>
    <row r="1893" spans="1:5" x14ac:dyDescent="0.25">
      <c r="A1893">
        <v>1</v>
      </c>
      <c r="B1893">
        <v>2</v>
      </c>
      <c r="C1893">
        <v>10</v>
      </c>
      <c r="D1893">
        <v>2025</v>
      </c>
      <c r="E1893">
        <v>668519</v>
      </c>
    </row>
    <row r="1894" spans="1:5" x14ac:dyDescent="0.25">
      <c r="A1894">
        <v>1</v>
      </c>
      <c r="B1894">
        <v>2</v>
      </c>
      <c r="C1894">
        <v>10</v>
      </c>
      <c r="D1894">
        <v>2026</v>
      </c>
      <c r="E1894">
        <v>681597</v>
      </c>
    </row>
    <row r="1895" spans="1:5" x14ac:dyDescent="0.25">
      <c r="A1895">
        <v>1</v>
      </c>
      <c r="B1895">
        <v>2</v>
      </c>
      <c r="C1895">
        <v>10</v>
      </c>
      <c r="D1895">
        <v>2027</v>
      </c>
      <c r="E1895">
        <v>694831</v>
      </c>
    </row>
    <row r="1896" spans="1:5" x14ac:dyDescent="0.25">
      <c r="A1896">
        <v>1</v>
      </c>
      <c r="B1896">
        <v>2</v>
      </c>
      <c r="C1896">
        <v>10</v>
      </c>
      <c r="D1896">
        <v>2028</v>
      </c>
      <c r="E1896">
        <v>708258</v>
      </c>
    </row>
    <row r="1897" spans="1:5" x14ac:dyDescent="0.25">
      <c r="A1897">
        <v>1</v>
      </c>
      <c r="B1897">
        <v>2</v>
      </c>
      <c r="C1897">
        <v>10</v>
      </c>
      <c r="D1897">
        <v>2029</v>
      </c>
      <c r="E1897">
        <v>721887</v>
      </c>
    </row>
    <row r="1898" spans="1:5" x14ac:dyDescent="0.25">
      <c r="A1898">
        <v>1</v>
      </c>
      <c r="B1898">
        <v>2</v>
      </c>
      <c r="C1898">
        <v>10</v>
      </c>
      <c r="D1898">
        <v>2030</v>
      </c>
      <c r="E1898">
        <v>735704</v>
      </c>
    </row>
    <row r="1899" spans="1:5" x14ac:dyDescent="0.25">
      <c r="A1899">
        <v>1</v>
      </c>
      <c r="B1899">
        <v>2</v>
      </c>
      <c r="C1899">
        <v>10</v>
      </c>
      <c r="D1899">
        <v>2031</v>
      </c>
      <c r="E1899">
        <v>749740</v>
      </c>
    </row>
    <row r="1900" spans="1:5" x14ac:dyDescent="0.25">
      <c r="A1900">
        <v>1</v>
      </c>
      <c r="B1900">
        <v>2</v>
      </c>
      <c r="C1900">
        <v>10</v>
      </c>
      <c r="D1900">
        <v>2032</v>
      </c>
      <c r="E1900">
        <v>764050</v>
      </c>
    </row>
    <row r="1901" spans="1:5" x14ac:dyDescent="0.25">
      <c r="A1901">
        <v>1</v>
      </c>
      <c r="B1901">
        <v>2</v>
      </c>
      <c r="C1901">
        <v>10</v>
      </c>
      <c r="D1901">
        <v>2033</v>
      </c>
      <c r="E1901">
        <v>778628</v>
      </c>
    </row>
    <row r="1902" spans="1:5" x14ac:dyDescent="0.25">
      <c r="A1902">
        <v>1</v>
      </c>
      <c r="B1902">
        <v>2</v>
      </c>
      <c r="C1902">
        <v>10</v>
      </c>
      <c r="D1902">
        <v>2034</v>
      </c>
      <c r="E1902">
        <v>793456</v>
      </c>
    </row>
    <row r="1903" spans="1:5" x14ac:dyDescent="0.25">
      <c r="A1903">
        <v>1</v>
      </c>
      <c r="B1903">
        <v>2</v>
      </c>
      <c r="C1903">
        <v>10</v>
      </c>
      <c r="D1903">
        <v>2035</v>
      </c>
      <c r="E1903">
        <v>808571</v>
      </c>
    </row>
    <row r="1904" spans="1:5" x14ac:dyDescent="0.25">
      <c r="A1904">
        <v>1</v>
      </c>
      <c r="B1904">
        <v>2</v>
      </c>
      <c r="C1904">
        <v>10</v>
      </c>
      <c r="D1904">
        <v>2036</v>
      </c>
      <c r="E1904">
        <v>823946</v>
      </c>
    </row>
    <row r="1905" spans="1:5" x14ac:dyDescent="0.25">
      <c r="A1905">
        <v>1</v>
      </c>
      <c r="B1905">
        <v>2</v>
      </c>
      <c r="C1905">
        <v>10</v>
      </c>
      <c r="D1905">
        <v>2037</v>
      </c>
      <c r="E1905">
        <v>839587</v>
      </c>
    </row>
    <row r="1906" spans="1:5" x14ac:dyDescent="0.25">
      <c r="A1906">
        <v>1</v>
      </c>
      <c r="B1906">
        <v>2</v>
      </c>
      <c r="C1906">
        <v>10</v>
      </c>
      <c r="D1906">
        <v>2038</v>
      </c>
      <c r="E1906">
        <v>855512</v>
      </c>
    </row>
    <row r="1907" spans="1:5" x14ac:dyDescent="0.25">
      <c r="A1907">
        <v>1</v>
      </c>
      <c r="B1907">
        <v>2</v>
      </c>
      <c r="C1907">
        <v>10</v>
      </c>
      <c r="D1907">
        <v>2039</v>
      </c>
      <c r="E1907">
        <v>871697</v>
      </c>
    </row>
    <row r="1908" spans="1:5" x14ac:dyDescent="0.25">
      <c r="A1908">
        <v>1</v>
      </c>
      <c r="B1908">
        <v>2</v>
      </c>
      <c r="C1908">
        <v>10</v>
      </c>
      <c r="D1908">
        <v>2040</v>
      </c>
      <c r="E1908">
        <v>888144</v>
      </c>
    </row>
    <row r="1909" spans="1:5" x14ac:dyDescent="0.25">
      <c r="A1909">
        <v>1</v>
      </c>
      <c r="B1909">
        <v>2</v>
      </c>
      <c r="C1909">
        <v>10</v>
      </c>
      <c r="D1909">
        <v>2041</v>
      </c>
      <c r="E1909">
        <v>904823</v>
      </c>
    </row>
    <row r="1910" spans="1:5" x14ac:dyDescent="0.25">
      <c r="A1910">
        <v>1</v>
      </c>
      <c r="B1910">
        <v>2</v>
      </c>
      <c r="C1910">
        <v>10</v>
      </c>
      <c r="D1910">
        <v>2042</v>
      </c>
      <c r="E1910">
        <v>921758</v>
      </c>
    </row>
    <row r="1911" spans="1:5" x14ac:dyDescent="0.25">
      <c r="A1911">
        <v>1</v>
      </c>
      <c r="B1911">
        <v>2</v>
      </c>
      <c r="C1911">
        <v>10</v>
      </c>
      <c r="D1911">
        <v>2043</v>
      </c>
      <c r="E1911">
        <v>938879</v>
      </c>
    </row>
    <row r="1912" spans="1:5" x14ac:dyDescent="0.25">
      <c r="A1912">
        <v>1</v>
      </c>
      <c r="B1912">
        <v>2</v>
      </c>
      <c r="C1912">
        <v>10</v>
      </c>
      <c r="D1912">
        <v>2044</v>
      </c>
      <c r="E1912">
        <v>956192</v>
      </c>
    </row>
    <row r="1913" spans="1:5" x14ac:dyDescent="0.25">
      <c r="A1913">
        <v>1</v>
      </c>
      <c r="B1913">
        <v>2</v>
      </c>
      <c r="C1913">
        <v>10</v>
      </c>
      <c r="D1913">
        <v>2045</v>
      </c>
      <c r="E1913">
        <v>973690</v>
      </c>
    </row>
    <row r="1914" spans="1:5" x14ac:dyDescent="0.25">
      <c r="A1914">
        <v>1</v>
      </c>
      <c r="B1914">
        <v>2</v>
      </c>
      <c r="C1914">
        <v>10</v>
      </c>
      <c r="D1914">
        <v>2046</v>
      </c>
      <c r="E1914">
        <v>991383</v>
      </c>
    </row>
    <row r="1915" spans="1:5" x14ac:dyDescent="0.25">
      <c r="A1915">
        <v>1</v>
      </c>
      <c r="B1915">
        <v>2</v>
      </c>
      <c r="C1915">
        <v>10</v>
      </c>
      <c r="D1915">
        <v>2047</v>
      </c>
      <c r="E1915">
        <v>1009181</v>
      </c>
    </row>
    <row r="1916" spans="1:5" x14ac:dyDescent="0.25">
      <c r="A1916">
        <v>1</v>
      </c>
      <c r="B1916">
        <v>2</v>
      </c>
      <c r="C1916">
        <v>10</v>
      </c>
      <c r="D1916">
        <v>2048</v>
      </c>
      <c r="E1916">
        <v>1027139</v>
      </c>
    </row>
    <row r="1917" spans="1:5" x14ac:dyDescent="0.25">
      <c r="A1917">
        <v>1</v>
      </c>
      <c r="B1917">
        <v>2</v>
      </c>
      <c r="C1917">
        <v>10</v>
      </c>
      <c r="D1917">
        <v>2049</v>
      </c>
      <c r="E1917">
        <v>1045196</v>
      </c>
    </row>
    <row r="1918" spans="1:5" x14ac:dyDescent="0.25">
      <c r="A1918">
        <v>1</v>
      </c>
      <c r="B1918">
        <v>2</v>
      </c>
      <c r="C1918">
        <v>10</v>
      </c>
      <c r="D1918">
        <v>2050</v>
      </c>
      <c r="E1918">
        <v>1063367</v>
      </c>
    </row>
    <row r="1919" spans="1:5" x14ac:dyDescent="0.25">
      <c r="A1919">
        <v>1</v>
      </c>
      <c r="B1919">
        <v>2</v>
      </c>
      <c r="C1919">
        <v>11</v>
      </c>
      <c r="D1919">
        <v>2024</v>
      </c>
      <c r="E1919">
        <v>231779</v>
      </c>
    </row>
    <row r="1920" spans="1:5" x14ac:dyDescent="0.25">
      <c r="A1920">
        <v>1</v>
      </c>
      <c r="B1920">
        <v>2</v>
      </c>
      <c r="C1920">
        <v>11</v>
      </c>
      <c r="D1920">
        <v>2025</v>
      </c>
      <c r="E1920">
        <v>235141</v>
      </c>
    </row>
    <row r="1921" spans="1:5" x14ac:dyDescent="0.25">
      <c r="A1921">
        <v>1</v>
      </c>
      <c r="B1921">
        <v>2</v>
      </c>
      <c r="C1921">
        <v>11</v>
      </c>
      <c r="D1921">
        <v>2026</v>
      </c>
      <c r="E1921">
        <v>238540</v>
      </c>
    </row>
    <row r="1922" spans="1:5" x14ac:dyDescent="0.25">
      <c r="A1922">
        <v>1</v>
      </c>
      <c r="B1922">
        <v>2</v>
      </c>
      <c r="C1922">
        <v>11</v>
      </c>
      <c r="D1922">
        <v>2027</v>
      </c>
      <c r="E1922">
        <v>241953</v>
      </c>
    </row>
    <row r="1923" spans="1:5" x14ac:dyDescent="0.25">
      <c r="A1923">
        <v>1</v>
      </c>
      <c r="B1923">
        <v>2</v>
      </c>
      <c r="C1923">
        <v>11</v>
      </c>
      <c r="D1923">
        <v>2028</v>
      </c>
      <c r="E1923">
        <v>245403</v>
      </c>
    </row>
    <row r="1924" spans="1:5" x14ac:dyDescent="0.25">
      <c r="A1924">
        <v>1</v>
      </c>
      <c r="B1924">
        <v>2</v>
      </c>
      <c r="C1924">
        <v>11</v>
      </c>
      <c r="D1924">
        <v>2029</v>
      </c>
      <c r="E1924">
        <v>248848</v>
      </c>
    </row>
    <row r="1925" spans="1:5" x14ac:dyDescent="0.25">
      <c r="A1925">
        <v>1</v>
      </c>
      <c r="B1925">
        <v>2</v>
      </c>
      <c r="C1925">
        <v>11</v>
      </c>
      <c r="D1925">
        <v>2030</v>
      </c>
      <c r="E1925">
        <v>252322</v>
      </c>
    </row>
    <row r="1926" spans="1:5" x14ac:dyDescent="0.25">
      <c r="A1926">
        <v>1</v>
      </c>
      <c r="B1926">
        <v>2</v>
      </c>
      <c r="C1926">
        <v>11</v>
      </c>
      <c r="D1926">
        <v>2031</v>
      </c>
      <c r="E1926">
        <v>255810</v>
      </c>
    </row>
    <row r="1927" spans="1:5" x14ac:dyDescent="0.25">
      <c r="A1927">
        <v>1</v>
      </c>
      <c r="B1927">
        <v>2</v>
      </c>
      <c r="C1927">
        <v>11</v>
      </c>
      <c r="D1927">
        <v>2032</v>
      </c>
      <c r="E1927">
        <v>259372</v>
      </c>
    </row>
    <row r="1928" spans="1:5" x14ac:dyDescent="0.25">
      <c r="A1928">
        <v>1</v>
      </c>
      <c r="B1928">
        <v>2</v>
      </c>
      <c r="C1928">
        <v>11</v>
      </c>
      <c r="D1928">
        <v>2033</v>
      </c>
      <c r="E1928">
        <v>262979</v>
      </c>
    </row>
    <row r="1929" spans="1:5" x14ac:dyDescent="0.25">
      <c r="A1929">
        <v>1</v>
      </c>
      <c r="B1929">
        <v>2</v>
      </c>
      <c r="C1929">
        <v>11</v>
      </c>
      <c r="D1929">
        <v>2034</v>
      </c>
      <c r="E1929">
        <v>266644</v>
      </c>
    </row>
    <row r="1930" spans="1:5" x14ac:dyDescent="0.25">
      <c r="A1930">
        <v>1</v>
      </c>
      <c r="B1930">
        <v>2</v>
      </c>
      <c r="C1930">
        <v>11</v>
      </c>
      <c r="D1930">
        <v>2035</v>
      </c>
      <c r="E1930">
        <v>270363</v>
      </c>
    </row>
    <row r="1931" spans="1:5" x14ac:dyDescent="0.25">
      <c r="A1931">
        <v>1</v>
      </c>
      <c r="B1931">
        <v>2</v>
      </c>
      <c r="C1931">
        <v>11</v>
      </c>
      <c r="D1931">
        <v>2036</v>
      </c>
      <c r="E1931">
        <v>274155</v>
      </c>
    </row>
    <row r="1932" spans="1:5" x14ac:dyDescent="0.25">
      <c r="A1932">
        <v>1</v>
      </c>
      <c r="B1932">
        <v>2</v>
      </c>
      <c r="C1932">
        <v>11</v>
      </c>
      <c r="D1932">
        <v>2037</v>
      </c>
      <c r="E1932">
        <v>277984</v>
      </c>
    </row>
    <row r="1933" spans="1:5" x14ac:dyDescent="0.25">
      <c r="A1933">
        <v>1</v>
      </c>
      <c r="B1933">
        <v>2</v>
      </c>
      <c r="C1933">
        <v>11</v>
      </c>
      <c r="D1933">
        <v>2038</v>
      </c>
      <c r="E1933">
        <v>281886</v>
      </c>
    </row>
    <row r="1934" spans="1:5" x14ac:dyDescent="0.25">
      <c r="A1934">
        <v>1</v>
      </c>
      <c r="B1934">
        <v>2</v>
      </c>
      <c r="C1934">
        <v>11</v>
      </c>
      <c r="D1934">
        <v>2039</v>
      </c>
      <c r="E1934">
        <v>285858</v>
      </c>
    </row>
    <row r="1935" spans="1:5" x14ac:dyDescent="0.25">
      <c r="A1935">
        <v>1</v>
      </c>
      <c r="B1935">
        <v>2</v>
      </c>
      <c r="C1935">
        <v>11</v>
      </c>
      <c r="D1935">
        <v>2040</v>
      </c>
      <c r="E1935">
        <v>289917</v>
      </c>
    </row>
    <row r="1936" spans="1:5" x14ac:dyDescent="0.25">
      <c r="A1936">
        <v>1</v>
      </c>
      <c r="B1936">
        <v>2</v>
      </c>
      <c r="C1936">
        <v>11</v>
      </c>
      <c r="D1936">
        <v>2041</v>
      </c>
      <c r="E1936">
        <v>294034</v>
      </c>
    </row>
    <row r="1937" spans="1:5" x14ac:dyDescent="0.25">
      <c r="A1937">
        <v>1</v>
      </c>
      <c r="B1937">
        <v>2</v>
      </c>
      <c r="C1937">
        <v>11</v>
      </c>
      <c r="D1937">
        <v>2042</v>
      </c>
      <c r="E1937">
        <v>298204</v>
      </c>
    </row>
    <row r="1938" spans="1:5" x14ac:dyDescent="0.25">
      <c r="A1938">
        <v>1</v>
      </c>
      <c r="B1938">
        <v>2</v>
      </c>
      <c r="C1938">
        <v>11</v>
      </c>
      <c r="D1938">
        <v>2043</v>
      </c>
      <c r="E1938">
        <v>302412</v>
      </c>
    </row>
    <row r="1939" spans="1:5" x14ac:dyDescent="0.25">
      <c r="A1939">
        <v>1</v>
      </c>
      <c r="B1939">
        <v>2</v>
      </c>
      <c r="C1939">
        <v>11</v>
      </c>
      <c r="D1939">
        <v>2044</v>
      </c>
      <c r="E1939">
        <v>306684</v>
      </c>
    </row>
    <row r="1940" spans="1:5" x14ac:dyDescent="0.25">
      <c r="A1940">
        <v>1</v>
      </c>
      <c r="B1940">
        <v>2</v>
      </c>
      <c r="C1940">
        <v>11</v>
      </c>
      <c r="D1940">
        <v>2045</v>
      </c>
      <c r="E1940">
        <v>310989</v>
      </c>
    </row>
    <row r="1941" spans="1:5" x14ac:dyDescent="0.25">
      <c r="A1941">
        <v>1</v>
      </c>
      <c r="B1941">
        <v>2</v>
      </c>
      <c r="C1941">
        <v>11</v>
      </c>
      <c r="D1941">
        <v>2046</v>
      </c>
      <c r="E1941">
        <v>315331</v>
      </c>
    </row>
    <row r="1942" spans="1:5" x14ac:dyDescent="0.25">
      <c r="A1942">
        <v>1</v>
      </c>
      <c r="B1942">
        <v>2</v>
      </c>
      <c r="C1942">
        <v>11</v>
      </c>
      <c r="D1942">
        <v>2047</v>
      </c>
      <c r="E1942">
        <v>319681</v>
      </c>
    </row>
    <row r="1943" spans="1:5" x14ac:dyDescent="0.25">
      <c r="A1943">
        <v>1</v>
      </c>
      <c r="B1943">
        <v>2</v>
      </c>
      <c r="C1943">
        <v>11</v>
      </c>
      <c r="D1943">
        <v>2048</v>
      </c>
      <c r="E1943">
        <v>324071</v>
      </c>
    </row>
    <row r="1944" spans="1:5" x14ac:dyDescent="0.25">
      <c r="A1944">
        <v>1</v>
      </c>
      <c r="B1944">
        <v>2</v>
      </c>
      <c r="C1944">
        <v>11</v>
      </c>
      <c r="D1944">
        <v>2049</v>
      </c>
      <c r="E1944">
        <v>328474</v>
      </c>
    </row>
    <row r="1945" spans="1:5" x14ac:dyDescent="0.25">
      <c r="A1945">
        <v>1</v>
      </c>
      <c r="B1945">
        <v>2</v>
      </c>
      <c r="C1945">
        <v>11</v>
      </c>
      <c r="D1945">
        <v>2050</v>
      </c>
      <c r="E1945">
        <v>332879</v>
      </c>
    </row>
    <row r="1946" spans="1:5" x14ac:dyDescent="0.25">
      <c r="A1946">
        <v>2</v>
      </c>
      <c r="B1946">
        <v>0</v>
      </c>
      <c r="C1946">
        <v>0</v>
      </c>
      <c r="D1946">
        <v>2024</v>
      </c>
      <c r="E1946">
        <v>169668447</v>
      </c>
    </row>
    <row r="1947" spans="1:5" x14ac:dyDescent="0.25">
      <c r="A1947">
        <v>2</v>
      </c>
      <c r="B1947">
        <v>0</v>
      </c>
      <c r="C1947">
        <v>0</v>
      </c>
      <c r="D1947">
        <v>2025</v>
      </c>
      <c r="E1947">
        <v>170472705</v>
      </c>
    </row>
    <row r="1948" spans="1:5" x14ac:dyDescent="0.25">
      <c r="A1948">
        <v>2</v>
      </c>
      <c r="B1948">
        <v>0</v>
      </c>
      <c r="C1948">
        <v>0</v>
      </c>
      <c r="D1948">
        <v>2026</v>
      </c>
      <c r="E1948">
        <v>171260652</v>
      </c>
    </row>
    <row r="1949" spans="1:5" x14ac:dyDescent="0.25">
      <c r="A1949">
        <v>2</v>
      </c>
      <c r="B1949">
        <v>0</v>
      </c>
      <c r="C1949">
        <v>0</v>
      </c>
      <c r="D1949">
        <v>2027</v>
      </c>
      <c r="E1949">
        <v>172031062</v>
      </c>
    </row>
    <row r="1950" spans="1:5" x14ac:dyDescent="0.25">
      <c r="A1950">
        <v>2</v>
      </c>
      <c r="B1950">
        <v>0</v>
      </c>
      <c r="C1950">
        <v>0</v>
      </c>
      <c r="D1950">
        <v>2028</v>
      </c>
      <c r="E1950">
        <v>172781612</v>
      </c>
    </row>
    <row r="1951" spans="1:5" x14ac:dyDescent="0.25">
      <c r="A1951">
        <v>2</v>
      </c>
      <c r="B1951">
        <v>0</v>
      </c>
      <c r="C1951">
        <v>0</v>
      </c>
      <c r="D1951">
        <v>2029</v>
      </c>
      <c r="E1951">
        <v>173510799</v>
      </c>
    </row>
    <row r="1952" spans="1:5" x14ac:dyDescent="0.25">
      <c r="A1952">
        <v>2</v>
      </c>
      <c r="B1952">
        <v>0</v>
      </c>
      <c r="C1952">
        <v>0</v>
      </c>
      <c r="D1952">
        <v>2030</v>
      </c>
      <c r="E1952">
        <v>174216122</v>
      </c>
    </row>
    <row r="1953" spans="1:5" x14ac:dyDescent="0.25">
      <c r="A1953">
        <v>2</v>
      </c>
      <c r="B1953">
        <v>0</v>
      </c>
      <c r="C1953">
        <v>0</v>
      </c>
      <c r="D1953">
        <v>2031</v>
      </c>
      <c r="E1953">
        <v>174894622</v>
      </c>
    </row>
    <row r="1954" spans="1:5" x14ac:dyDescent="0.25">
      <c r="A1954">
        <v>2</v>
      </c>
      <c r="B1954">
        <v>0</v>
      </c>
      <c r="C1954">
        <v>0</v>
      </c>
      <c r="D1954">
        <v>2032</v>
      </c>
      <c r="E1954">
        <v>175542732</v>
      </c>
    </row>
    <row r="1955" spans="1:5" x14ac:dyDescent="0.25">
      <c r="A1955">
        <v>2</v>
      </c>
      <c r="B1955">
        <v>0</v>
      </c>
      <c r="C1955">
        <v>0</v>
      </c>
      <c r="D1955">
        <v>2033</v>
      </c>
      <c r="E1955">
        <v>176165236</v>
      </c>
    </row>
    <row r="1956" spans="1:5" x14ac:dyDescent="0.25">
      <c r="A1956">
        <v>2</v>
      </c>
      <c r="B1956">
        <v>0</v>
      </c>
      <c r="C1956">
        <v>0</v>
      </c>
      <c r="D1956">
        <v>2034</v>
      </c>
      <c r="E1956">
        <v>176760710</v>
      </c>
    </row>
    <row r="1957" spans="1:5" x14ac:dyDescent="0.25">
      <c r="A1957">
        <v>2</v>
      </c>
      <c r="B1957">
        <v>0</v>
      </c>
      <c r="C1957">
        <v>0</v>
      </c>
      <c r="D1957">
        <v>2035</v>
      </c>
      <c r="E1957">
        <v>177327926</v>
      </c>
    </row>
    <row r="1958" spans="1:5" x14ac:dyDescent="0.25">
      <c r="A1958">
        <v>2</v>
      </c>
      <c r="B1958">
        <v>0</v>
      </c>
      <c r="C1958">
        <v>0</v>
      </c>
      <c r="D1958">
        <v>2036</v>
      </c>
      <c r="E1958">
        <v>177865841</v>
      </c>
    </row>
    <row r="1959" spans="1:5" x14ac:dyDescent="0.25">
      <c r="A1959">
        <v>2</v>
      </c>
      <c r="B1959">
        <v>0</v>
      </c>
      <c r="C1959">
        <v>0</v>
      </c>
      <c r="D1959">
        <v>2037</v>
      </c>
      <c r="E1959">
        <v>178373569</v>
      </c>
    </row>
    <row r="1960" spans="1:5" x14ac:dyDescent="0.25">
      <c r="A1960">
        <v>2</v>
      </c>
      <c r="B1960">
        <v>0</v>
      </c>
      <c r="C1960">
        <v>0</v>
      </c>
      <c r="D1960">
        <v>2038</v>
      </c>
      <c r="E1960">
        <v>178850416</v>
      </c>
    </row>
    <row r="1961" spans="1:5" x14ac:dyDescent="0.25">
      <c r="A1961">
        <v>2</v>
      </c>
      <c r="B1961">
        <v>0</v>
      </c>
      <c r="C1961">
        <v>0</v>
      </c>
      <c r="D1961">
        <v>2039</v>
      </c>
      <c r="E1961">
        <v>179296193</v>
      </c>
    </row>
    <row r="1962" spans="1:5" x14ac:dyDescent="0.25">
      <c r="A1962">
        <v>2</v>
      </c>
      <c r="B1962">
        <v>0</v>
      </c>
      <c r="C1962">
        <v>0</v>
      </c>
      <c r="D1962">
        <v>2040</v>
      </c>
      <c r="E1962">
        <v>179710932</v>
      </c>
    </row>
    <row r="1963" spans="1:5" x14ac:dyDescent="0.25">
      <c r="A1963">
        <v>2</v>
      </c>
      <c r="B1963">
        <v>0</v>
      </c>
      <c r="C1963">
        <v>0</v>
      </c>
      <c r="D1963">
        <v>2041</v>
      </c>
      <c r="E1963">
        <v>180094672</v>
      </c>
    </row>
    <row r="1964" spans="1:5" x14ac:dyDescent="0.25">
      <c r="A1964">
        <v>2</v>
      </c>
      <c r="B1964">
        <v>0</v>
      </c>
      <c r="C1964">
        <v>0</v>
      </c>
      <c r="D1964">
        <v>2042</v>
      </c>
      <c r="E1964">
        <v>180448436</v>
      </c>
    </row>
    <row r="1965" spans="1:5" x14ac:dyDescent="0.25">
      <c r="A1965">
        <v>2</v>
      </c>
      <c r="B1965">
        <v>0</v>
      </c>
      <c r="C1965">
        <v>0</v>
      </c>
      <c r="D1965">
        <v>2043</v>
      </c>
      <c r="E1965">
        <v>180773606</v>
      </c>
    </row>
    <row r="1966" spans="1:5" x14ac:dyDescent="0.25">
      <c r="A1966">
        <v>2</v>
      </c>
      <c r="B1966">
        <v>0</v>
      </c>
      <c r="C1966">
        <v>0</v>
      </c>
      <c r="D1966">
        <v>2044</v>
      </c>
      <c r="E1966">
        <v>181072220</v>
      </c>
    </row>
    <row r="1967" spans="1:5" x14ac:dyDescent="0.25">
      <c r="A1967">
        <v>2</v>
      </c>
      <c r="B1967">
        <v>0</v>
      </c>
      <c r="C1967">
        <v>0</v>
      </c>
      <c r="D1967">
        <v>2045</v>
      </c>
      <c r="E1967">
        <v>181346825</v>
      </c>
    </row>
    <row r="1968" spans="1:5" x14ac:dyDescent="0.25">
      <c r="A1968">
        <v>2</v>
      </c>
      <c r="B1968">
        <v>0</v>
      </c>
      <c r="C1968">
        <v>0</v>
      </c>
      <c r="D1968">
        <v>2046</v>
      </c>
      <c r="E1968">
        <v>181600063</v>
      </c>
    </row>
    <row r="1969" spans="1:5" x14ac:dyDescent="0.25">
      <c r="A1969">
        <v>2</v>
      </c>
      <c r="B1969">
        <v>0</v>
      </c>
      <c r="C1969">
        <v>0</v>
      </c>
      <c r="D1969">
        <v>2047</v>
      </c>
      <c r="E1969">
        <v>181833545</v>
      </c>
    </row>
    <row r="1970" spans="1:5" x14ac:dyDescent="0.25">
      <c r="A1970">
        <v>2</v>
      </c>
      <c r="B1970">
        <v>0</v>
      </c>
      <c r="C1970">
        <v>0</v>
      </c>
      <c r="D1970">
        <v>2048</v>
      </c>
      <c r="E1970">
        <v>182049855</v>
      </c>
    </row>
    <row r="1971" spans="1:5" x14ac:dyDescent="0.25">
      <c r="A1971">
        <v>2</v>
      </c>
      <c r="B1971">
        <v>0</v>
      </c>
      <c r="C1971">
        <v>0</v>
      </c>
      <c r="D1971">
        <v>2049</v>
      </c>
      <c r="E1971">
        <v>182251743</v>
      </c>
    </row>
    <row r="1972" spans="1:5" x14ac:dyDescent="0.25">
      <c r="A1972">
        <v>2</v>
      </c>
      <c r="B1972">
        <v>0</v>
      </c>
      <c r="C1972">
        <v>0</v>
      </c>
      <c r="D1972">
        <v>2050</v>
      </c>
      <c r="E1972">
        <v>182442081</v>
      </c>
    </row>
    <row r="1973" spans="1:5" x14ac:dyDescent="0.25">
      <c r="A1973">
        <v>2</v>
      </c>
      <c r="B1973">
        <v>0</v>
      </c>
      <c r="C1973">
        <v>1</v>
      </c>
      <c r="D1973">
        <v>2024</v>
      </c>
      <c r="E1973">
        <v>126628322</v>
      </c>
    </row>
    <row r="1974" spans="1:5" x14ac:dyDescent="0.25">
      <c r="A1974">
        <v>2</v>
      </c>
      <c r="B1974">
        <v>0</v>
      </c>
      <c r="C1974">
        <v>1</v>
      </c>
      <c r="D1974">
        <v>2025</v>
      </c>
      <c r="E1974">
        <v>126923315</v>
      </c>
    </row>
    <row r="1975" spans="1:5" x14ac:dyDescent="0.25">
      <c r="A1975">
        <v>2</v>
      </c>
      <c r="B1975">
        <v>0</v>
      </c>
      <c r="C1975">
        <v>1</v>
      </c>
      <c r="D1975">
        <v>2026</v>
      </c>
      <c r="E1975">
        <v>127200160</v>
      </c>
    </row>
    <row r="1976" spans="1:5" x14ac:dyDescent="0.25">
      <c r="A1976">
        <v>2</v>
      </c>
      <c r="B1976">
        <v>0</v>
      </c>
      <c r="C1976">
        <v>1</v>
      </c>
      <c r="D1976">
        <v>2027</v>
      </c>
      <c r="E1976">
        <v>127458439</v>
      </c>
    </row>
    <row r="1977" spans="1:5" x14ac:dyDescent="0.25">
      <c r="A1977">
        <v>2</v>
      </c>
      <c r="B1977">
        <v>0</v>
      </c>
      <c r="C1977">
        <v>1</v>
      </c>
      <c r="D1977">
        <v>2028</v>
      </c>
      <c r="E1977">
        <v>127697047</v>
      </c>
    </row>
    <row r="1978" spans="1:5" x14ac:dyDescent="0.25">
      <c r="A1978">
        <v>2</v>
      </c>
      <c r="B1978">
        <v>0</v>
      </c>
      <c r="C1978">
        <v>1</v>
      </c>
      <c r="D1978">
        <v>2029</v>
      </c>
      <c r="E1978">
        <v>127914765</v>
      </c>
    </row>
    <row r="1979" spans="1:5" x14ac:dyDescent="0.25">
      <c r="A1979">
        <v>2</v>
      </c>
      <c r="B1979">
        <v>0</v>
      </c>
      <c r="C1979">
        <v>1</v>
      </c>
      <c r="D1979">
        <v>2030</v>
      </c>
      <c r="E1979">
        <v>128110548</v>
      </c>
    </row>
    <row r="1980" spans="1:5" x14ac:dyDescent="0.25">
      <c r="A1980">
        <v>2</v>
      </c>
      <c r="B1980">
        <v>0</v>
      </c>
      <c r="C1980">
        <v>1</v>
      </c>
      <c r="D1980">
        <v>2031</v>
      </c>
      <c r="E1980">
        <v>128283117</v>
      </c>
    </row>
    <row r="1981" spans="1:5" x14ac:dyDescent="0.25">
      <c r="A1981">
        <v>2</v>
      </c>
      <c r="B1981">
        <v>0</v>
      </c>
      <c r="C1981">
        <v>1</v>
      </c>
      <c r="D1981">
        <v>2032</v>
      </c>
      <c r="E1981">
        <v>128430705</v>
      </c>
    </row>
    <row r="1982" spans="1:5" x14ac:dyDescent="0.25">
      <c r="A1982">
        <v>2</v>
      </c>
      <c r="B1982">
        <v>0</v>
      </c>
      <c r="C1982">
        <v>1</v>
      </c>
      <c r="D1982">
        <v>2033</v>
      </c>
      <c r="E1982">
        <v>128554084</v>
      </c>
    </row>
    <row r="1983" spans="1:5" x14ac:dyDescent="0.25">
      <c r="A1983">
        <v>2</v>
      </c>
      <c r="B1983">
        <v>0</v>
      </c>
      <c r="C1983">
        <v>1</v>
      </c>
      <c r="D1983">
        <v>2034</v>
      </c>
      <c r="E1983">
        <v>128652196</v>
      </c>
    </row>
    <row r="1984" spans="1:5" x14ac:dyDescent="0.25">
      <c r="A1984">
        <v>2</v>
      </c>
      <c r="B1984">
        <v>0</v>
      </c>
      <c r="C1984">
        <v>1</v>
      </c>
      <c r="D1984">
        <v>2035</v>
      </c>
      <c r="E1984">
        <v>128724113</v>
      </c>
    </row>
    <row r="1985" spans="1:5" x14ac:dyDescent="0.25">
      <c r="A1985">
        <v>2</v>
      </c>
      <c r="B1985">
        <v>0</v>
      </c>
      <c r="C1985">
        <v>1</v>
      </c>
      <c r="D1985">
        <v>2036</v>
      </c>
      <c r="E1985">
        <v>128769087</v>
      </c>
    </row>
    <row r="1986" spans="1:5" x14ac:dyDescent="0.25">
      <c r="A1986">
        <v>2</v>
      </c>
      <c r="B1986">
        <v>0</v>
      </c>
      <c r="C1986">
        <v>1</v>
      </c>
      <c r="D1986">
        <v>2037</v>
      </c>
      <c r="E1986">
        <v>128786478</v>
      </c>
    </row>
    <row r="1987" spans="1:5" x14ac:dyDescent="0.25">
      <c r="A1987">
        <v>2</v>
      </c>
      <c r="B1987">
        <v>0</v>
      </c>
      <c r="C1987">
        <v>1</v>
      </c>
      <c r="D1987">
        <v>2038</v>
      </c>
      <c r="E1987">
        <v>128775998</v>
      </c>
    </row>
    <row r="1988" spans="1:5" x14ac:dyDescent="0.25">
      <c r="A1988">
        <v>2</v>
      </c>
      <c r="B1988">
        <v>0</v>
      </c>
      <c r="C1988">
        <v>1</v>
      </c>
      <c r="D1988">
        <v>2039</v>
      </c>
      <c r="E1988">
        <v>128737571</v>
      </c>
    </row>
    <row r="1989" spans="1:5" x14ac:dyDescent="0.25">
      <c r="A1989">
        <v>2</v>
      </c>
      <c r="B1989">
        <v>0</v>
      </c>
      <c r="C1989">
        <v>1</v>
      </c>
      <c r="D1989">
        <v>2040</v>
      </c>
      <c r="E1989">
        <v>128671533</v>
      </c>
    </row>
    <row r="1990" spans="1:5" x14ac:dyDescent="0.25">
      <c r="A1990">
        <v>2</v>
      </c>
      <c r="B1990">
        <v>0</v>
      </c>
      <c r="C1990">
        <v>1</v>
      </c>
      <c r="D1990">
        <v>2041</v>
      </c>
      <c r="E1990">
        <v>128578185</v>
      </c>
    </row>
    <row r="1991" spans="1:5" x14ac:dyDescent="0.25">
      <c r="A1991">
        <v>2</v>
      </c>
      <c r="B1991">
        <v>0</v>
      </c>
      <c r="C1991">
        <v>1</v>
      </c>
      <c r="D1991">
        <v>2042</v>
      </c>
      <c r="E1991">
        <v>128458624</v>
      </c>
    </row>
    <row r="1992" spans="1:5" x14ac:dyDescent="0.25">
      <c r="A1992">
        <v>2</v>
      </c>
      <c r="B1992">
        <v>0</v>
      </c>
      <c r="C1992">
        <v>1</v>
      </c>
      <c r="D1992">
        <v>2043</v>
      </c>
      <c r="E1992">
        <v>128314233</v>
      </c>
    </row>
    <row r="1993" spans="1:5" x14ac:dyDescent="0.25">
      <c r="A1993">
        <v>2</v>
      </c>
      <c r="B1993">
        <v>0</v>
      </c>
      <c r="C1993">
        <v>1</v>
      </c>
      <c r="D1993">
        <v>2044</v>
      </c>
      <c r="E1993">
        <v>128147022</v>
      </c>
    </row>
    <row r="1994" spans="1:5" x14ac:dyDescent="0.25">
      <c r="A1994">
        <v>2</v>
      </c>
      <c r="B1994">
        <v>0</v>
      </c>
      <c r="C1994">
        <v>1</v>
      </c>
      <c r="D1994">
        <v>2045</v>
      </c>
      <c r="E1994">
        <v>127959343</v>
      </c>
    </row>
    <row r="1995" spans="1:5" x14ac:dyDescent="0.25">
      <c r="A1995">
        <v>2</v>
      </c>
      <c r="B1995">
        <v>0</v>
      </c>
      <c r="C1995">
        <v>1</v>
      </c>
      <c r="D1995">
        <v>2046</v>
      </c>
      <c r="E1995">
        <v>127753591</v>
      </c>
    </row>
    <row r="1996" spans="1:5" x14ac:dyDescent="0.25">
      <c r="A1996">
        <v>2</v>
      </c>
      <c r="B1996">
        <v>0</v>
      </c>
      <c r="C1996">
        <v>1</v>
      </c>
      <c r="D1996">
        <v>2047</v>
      </c>
      <c r="E1996">
        <v>127531211</v>
      </c>
    </row>
    <row r="1997" spans="1:5" x14ac:dyDescent="0.25">
      <c r="A1997">
        <v>2</v>
      </c>
      <c r="B1997">
        <v>0</v>
      </c>
      <c r="C1997">
        <v>1</v>
      </c>
      <c r="D1997">
        <v>2048</v>
      </c>
      <c r="E1997">
        <v>127294624</v>
      </c>
    </row>
    <row r="1998" spans="1:5" x14ac:dyDescent="0.25">
      <c r="A1998">
        <v>2</v>
      </c>
      <c r="B1998">
        <v>0</v>
      </c>
      <c r="C1998">
        <v>1</v>
      </c>
      <c r="D1998">
        <v>2049</v>
      </c>
      <c r="E1998">
        <v>127046328</v>
      </c>
    </row>
    <row r="1999" spans="1:5" x14ac:dyDescent="0.25">
      <c r="A1999">
        <v>2</v>
      </c>
      <c r="B1999">
        <v>0</v>
      </c>
      <c r="C1999">
        <v>1</v>
      </c>
      <c r="D1999">
        <v>2050</v>
      </c>
      <c r="E1999">
        <v>126788870</v>
      </c>
    </row>
    <row r="2000" spans="1:5" x14ac:dyDescent="0.25">
      <c r="A2000">
        <v>2</v>
      </c>
      <c r="B2000">
        <v>0</v>
      </c>
      <c r="C2000">
        <v>2</v>
      </c>
      <c r="D2000">
        <v>2024</v>
      </c>
      <c r="E2000">
        <v>23823715</v>
      </c>
    </row>
    <row r="2001" spans="1:5" x14ac:dyDescent="0.25">
      <c r="A2001">
        <v>2</v>
      </c>
      <c r="B2001">
        <v>0</v>
      </c>
      <c r="C2001">
        <v>2</v>
      </c>
      <c r="D2001">
        <v>2025</v>
      </c>
      <c r="E2001">
        <v>23970614</v>
      </c>
    </row>
    <row r="2002" spans="1:5" x14ac:dyDescent="0.25">
      <c r="A2002">
        <v>2</v>
      </c>
      <c r="B2002">
        <v>0</v>
      </c>
      <c r="C2002">
        <v>2</v>
      </c>
      <c r="D2002">
        <v>2026</v>
      </c>
      <c r="E2002">
        <v>24116697</v>
      </c>
    </row>
    <row r="2003" spans="1:5" x14ac:dyDescent="0.25">
      <c r="A2003">
        <v>2</v>
      </c>
      <c r="B2003">
        <v>0</v>
      </c>
      <c r="C2003">
        <v>2</v>
      </c>
      <c r="D2003">
        <v>2027</v>
      </c>
      <c r="E2003">
        <v>24261774</v>
      </c>
    </row>
    <row r="2004" spans="1:5" x14ac:dyDescent="0.25">
      <c r="A2004">
        <v>2</v>
      </c>
      <c r="B2004">
        <v>0</v>
      </c>
      <c r="C2004">
        <v>2</v>
      </c>
      <c r="D2004">
        <v>2028</v>
      </c>
      <c r="E2004">
        <v>24405223</v>
      </c>
    </row>
    <row r="2005" spans="1:5" x14ac:dyDescent="0.25">
      <c r="A2005">
        <v>2</v>
      </c>
      <c r="B2005">
        <v>0</v>
      </c>
      <c r="C2005">
        <v>2</v>
      </c>
      <c r="D2005">
        <v>2029</v>
      </c>
      <c r="E2005">
        <v>24546681</v>
      </c>
    </row>
    <row r="2006" spans="1:5" x14ac:dyDescent="0.25">
      <c r="A2006">
        <v>2</v>
      </c>
      <c r="B2006">
        <v>0</v>
      </c>
      <c r="C2006">
        <v>2</v>
      </c>
      <c r="D2006">
        <v>2030</v>
      </c>
      <c r="E2006">
        <v>24685651</v>
      </c>
    </row>
    <row r="2007" spans="1:5" x14ac:dyDescent="0.25">
      <c r="A2007">
        <v>2</v>
      </c>
      <c r="B2007">
        <v>0</v>
      </c>
      <c r="C2007">
        <v>2</v>
      </c>
      <c r="D2007">
        <v>2031</v>
      </c>
      <c r="E2007">
        <v>24821653</v>
      </c>
    </row>
    <row r="2008" spans="1:5" x14ac:dyDescent="0.25">
      <c r="A2008">
        <v>2</v>
      </c>
      <c r="B2008">
        <v>0</v>
      </c>
      <c r="C2008">
        <v>2</v>
      </c>
      <c r="D2008">
        <v>2032</v>
      </c>
      <c r="E2008">
        <v>24954190</v>
      </c>
    </row>
    <row r="2009" spans="1:5" x14ac:dyDescent="0.25">
      <c r="A2009">
        <v>2</v>
      </c>
      <c r="B2009">
        <v>0</v>
      </c>
      <c r="C2009">
        <v>2</v>
      </c>
      <c r="D2009">
        <v>2033</v>
      </c>
      <c r="E2009">
        <v>25084259</v>
      </c>
    </row>
    <row r="2010" spans="1:5" x14ac:dyDescent="0.25">
      <c r="A2010">
        <v>2</v>
      </c>
      <c r="B2010">
        <v>0</v>
      </c>
      <c r="C2010">
        <v>2</v>
      </c>
      <c r="D2010">
        <v>2034</v>
      </c>
      <c r="E2010">
        <v>25211722</v>
      </c>
    </row>
    <row r="2011" spans="1:5" x14ac:dyDescent="0.25">
      <c r="A2011">
        <v>2</v>
      </c>
      <c r="B2011">
        <v>0</v>
      </c>
      <c r="C2011">
        <v>2</v>
      </c>
      <c r="D2011">
        <v>2035</v>
      </c>
      <c r="E2011">
        <v>25336629</v>
      </c>
    </row>
    <row r="2012" spans="1:5" x14ac:dyDescent="0.25">
      <c r="A2012">
        <v>2</v>
      </c>
      <c r="B2012">
        <v>0</v>
      </c>
      <c r="C2012">
        <v>2</v>
      </c>
      <c r="D2012">
        <v>2036</v>
      </c>
      <c r="E2012">
        <v>25458934</v>
      </c>
    </row>
    <row r="2013" spans="1:5" x14ac:dyDescent="0.25">
      <c r="A2013">
        <v>2</v>
      </c>
      <c r="B2013">
        <v>0</v>
      </c>
      <c r="C2013">
        <v>2</v>
      </c>
      <c r="D2013">
        <v>2037</v>
      </c>
      <c r="E2013">
        <v>25578679</v>
      </c>
    </row>
    <row r="2014" spans="1:5" x14ac:dyDescent="0.25">
      <c r="A2014">
        <v>2</v>
      </c>
      <c r="B2014">
        <v>0</v>
      </c>
      <c r="C2014">
        <v>2</v>
      </c>
      <c r="D2014">
        <v>2038</v>
      </c>
      <c r="E2014">
        <v>25695868</v>
      </c>
    </row>
    <row r="2015" spans="1:5" x14ac:dyDescent="0.25">
      <c r="A2015">
        <v>2</v>
      </c>
      <c r="B2015">
        <v>0</v>
      </c>
      <c r="C2015">
        <v>2</v>
      </c>
      <c r="D2015">
        <v>2039</v>
      </c>
      <c r="E2015">
        <v>25810485</v>
      </c>
    </row>
    <row r="2016" spans="1:5" x14ac:dyDescent="0.25">
      <c r="A2016">
        <v>2</v>
      </c>
      <c r="B2016">
        <v>0</v>
      </c>
      <c r="C2016">
        <v>2</v>
      </c>
      <c r="D2016">
        <v>2040</v>
      </c>
      <c r="E2016">
        <v>25922612</v>
      </c>
    </row>
    <row r="2017" spans="1:5" x14ac:dyDescent="0.25">
      <c r="A2017">
        <v>2</v>
      </c>
      <c r="B2017">
        <v>0</v>
      </c>
      <c r="C2017">
        <v>2</v>
      </c>
      <c r="D2017">
        <v>2041</v>
      </c>
      <c r="E2017">
        <v>26032255</v>
      </c>
    </row>
    <row r="2018" spans="1:5" x14ac:dyDescent="0.25">
      <c r="A2018">
        <v>2</v>
      </c>
      <c r="B2018">
        <v>0</v>
      </c>
      <c r="C2018">
        <v>2</v>
      </c>
      <c r="D2018">
        <v>2042</v>
      </c>
      <c r="E2018">
        <v>26139433</v>
      </c>
    </row>
    <row r="2019" spans="1:5" x14ac:dyDescent="0.25">
      <c r="A2019">
        <v>2</v>
      </c>
      <c r="B2019">
        <v>0</v>
      </c>
      <c r="C2019">
        <v>2</v>
      </c>
      <c r="D2019">
        <v>2043</v>
      </c>
      <c r="E2019">
        <v>26244150</v>
      </c>
    </row>
    <row r="2020" spans="1:5" x14ac:dyDescent="0.25">
      <c r="A2020">
        <v>2</v>
      </c>
      <c r="B2020">
        <v>0</v>
      </c>
      <c r="C2020">
        <v>2</v>
      </c>
      <c r="D2020">
        <v>2044</v>
      </c>
      <c r="E2020">
        <v>26346539</v>
      </c>
    </row>
    <row r="2021" spans="1:5" x14ac:dyDescent="0.25">
      <c r="A2021">
        <v>2</v>
      </c>
      <c r="B2021">
        <v>0</v>
      </c>
      <c r="C2021">
        <v>2</v>
      </c>
      <c r="D2021">
        <v>2045</v>
      </c>
      <c r="E2021">
        <v>26446824</v>
      </c>
    </row>
    <row r="2022" spans="1:5" x14ac:dyDescent="0.25">
      <c r="A2022">
        <v>2</v>
      </c>
      <c r="B2022">
        <v>0</v>
      </c>
      <c r="C2022">
        <v>2</v>
      </c>
      <c r="D2022">
        <v>2046</v>
      </c>
      <c r="E2022">
        <v>26545229</v>
      </c>
    </row>
    <row r="2023" spans="1:5" x14ac:dyDescent="0.25">
      <c r="A2023">
        <v>2</v>
      </c>
      <c r="B2023">
        <v>0</v>
      </c>
      <c r="C2023">
        <v>2</v>
      </c>
      <c r="D2023">
        <v>2047</v>
      </c>
      <c r="E2023">
        <v>26641964</v>
      </c>
    </row>
    <row r="2024" spans="1:5" x14ac:dyDescent="0.25">
      <c r="A2024">
        <v>2</v>
      </c>
      <c r="B2024">
        <v>0</v>
      </c>
      <c r="C2024">
        <v>2</v>
      </c>
      <c r="D2024">
        <v>2048</v>
      </c>
      <c r="E2024">
        <v>26737252</v>
      </c>
    </row>
    <row r="2025" spans="1:5" x14ac:dyDescent="0.25">
      <c r="A2025">
        <v>2</v>
      </c>
      <c r="B2025">
        <v>0</v>
      </c>
      <c r="C2025">
        <v>2</v>
      </c>
      <c r="D2025">
        <v>2049</v>
      </c>
      <c r="E2025">
        <v>26831329</v>
      </c>
    </row>
    <row r="2026" spans="1:5" x14ac:dyDescent="0.25">
      <c r="A2026">
        <v>2</v>
      </c>
      <c r="B2026">
        <v>0</v>
      </c>
      <c r="C2026">
        <v>2</v>
      </c>
      <c r="D2026">
        <v>2050</v>
      </c>
      <c r="E2026">
        <v>26924551</v>
      </c>
    </row>
    <row r="2027" spans="1:5" x14ac:dyDescent="0.25">
      <c r="A2027">
        <v>2</v>
      </c>
      <c r="B2027">
        <v>0</v>
      </c>
      <c r="C2027">
        <v>3</v>
      </c>
      <c r="D2027">
        <v>2024</v>
      </c>
      <c r="E2027">
        <v>2195775</v>
      </c>
    </row>
    <row r="2028" spans="1:5" x14ac:dyDescent="0.25">
      <c r="A2028">
        <v>2</v>
      </c>
      <c r="B2028">
        <v>0</v>
      </c>
      <c r="C2028">
        <v>3</v>
      </c>
      <c r="D2028">
        <v>2025</v>
      </c>
      <c r="E2028">
        <v>2210946</v>
      </c>
    </row>
    <row r="2029" spans="1:5" x14ac:dyDescent="0.25">
      <c r="A2029">
        <v>2</v>
      </c>
      <c r="B2029">
        <v>0</v>
      </c>
      <c r="C2029">
        <v>3</v>
      </c>
      <c r="D2029">
        <v>2026</v>
      </c>
      <c r="E2029">
        <v>2225897</v>
      </c>
    </row>
    <row r="2030" spans="1:5" x14ac:dyDescent="0.25">
      <c r="A2030">
        <v>2</v>
      </c>
      <c r="B2030">
        <v>0</v>
      </c>
      <c r="C2030">
        <v>3</v>
      </c>
      <c r="D2030">
        <v>2027</v>
      </c>
      <c r="E2030">
        <v>2240649</v>
      </c>
    </row>
    <row r="2031" spans="1:5" x14ac:dyDescent="0.25">
      <c r="A2031">
        <v>2</v>
      </c>
      <c r="B2031">
        <v>0</v>
      </c>
      <c r="C2031">
        <v>3</v>
      </c>
      <c r="D2031">
        <v>2028</v>
      </c>
      <c r="E2031">
        <v>2255175</v>
      </c>
    </row>
    <row r="2032" spans="1:5" x14ac:dyDescent="0.25">
      <c r="A2032">
        <v>2</v>
      </c>
      <c r="B2032">
        <v>0</v>
      </c>
      <c r="C2032">
        <v>3</v>
      </c>
      <c r="D2032">
        <v>2029</v>
      </c>
      <c r="E2032">
        <v>2269414</v>
      </c>
    </row>
    <row r="2033" spans="1:5" x14ac:dyDescent="0.25">
      <c r="A2033">
        <v>2</v>
      </c>
      <c r="B2033">
        <v>0</v>
      </c>
      <c r="C2033">
        <v>3</v>
      </c>
      <c r="D2033">
        <v>2030</v>
      </c>
      <c r="E2033">
        <v>2283376</v>
      </c>
    </row>
    <row r="2034" spans="1:5" x14ac:dyDescent="0.25">
      <c r="A2034">
        <v>2</v>
      </c>
      <c r="B2034">
        <v>0</v>
      </c>
      <c r="C2034">
        <v>3</v>
      </c>
      <c r="D2034">
        <v>2031</v>
      </c>
      <c r="E2034">
        <v>2297105</v>
      </c>
    </row>
    <row r="2035" spans="1:5" x14ac:dyDescent="0.25">
      <c r="A2035">
        <v>2</v>
      </c>
      <c r="B2035">
        <v>0</v>
      </c>
      <c r="C2035">
        <v>3</v>
      </c>
      <c r="D2035">
        <v>2032</v>
      </c>
      <c r="E2035">
        <v>2310528</v>
      </c>
    </row>
    <row r="2036" spans="1:5" x14ac:dyDescent="0.25">
      <c r="A2036">
        <v>2</v>
      </c>
      <c r="B2036">
        <v>0</v>
      </c>
      <c r="C2036">
        <v>3</v>
      </c>
      <c r="D2036">
        <v>2033</v>
      </c>
      <c r="E2036">
        <v>2323690</v>
      </c>
    </row>
    <row r="2037" spans="1:5" x14ac:dyDescent="0.25">
      <c r="A2037">
        <v>2</v>
      </c>
      <c r="B2037">
        <v>0</v>
      </c>
      <c r="C2037">
        <v>3</v>
      </c>
      <c r="D2037">
        <v>2034</v>
      </c>
      <c r="E2037">
        <v>2336576</v>
      </c>
    </row>
    <row r="2038" spans="1:5" x14ac:dyDescent="0.25">
      <c r="A2038">
        <v>2</v>
      </c>
      <c r="B2038">
        <v>0</v>
      </c>
      <c r="C2038">
        <v>3</v>
      </c>
      <c r="D2038">
        <v>2035</v>
      </c>
      <c r="E2038">
        <v>2349181</v>
      </c>
    </row>
    <row r="2039" spans="1:5" x14ac:dyDescent="0.25">
      <c r="A2039">
        <v>2</v>
      </c>
      <c r="B2039">
        <v>0</v>
      </c>
      <c r="C2039">
        <v>3</v>
      </c>
      <c r="D2039">
        <v>2036</v>
      </c>
      <c r="E2039">
        <v>2361475</v>
      </c>
    </row>
    <row r="2040" spans="1:5" x14ac:dyDescent="0.25">
      <c r="A2040">
        <v>2</v>
      </c>
      <c r="B2040">
        <v>0</v>
      </c>
      <c r="C2040">
        <v>3</v>
      </c>
      <c r="D2040">
        <v>2037</v>
      </c>
      <c r="E2040">
        <v>2373459</v>
      </c>
    </row>
    <row r="2041" spans="1:5" x14ac:dyDescent="0.25">
      <c r="A2041">
        <v>2</v>
      </c>
      <c r="B2041">
        <v>0</v>
      </c>
      <c r="C2041">
        <v>3</v>
      </c>
      <c r="D2041">
        <v>2038</v>
      </c>
      <c r="E2041">
        <v>2385126</v>
      </c>
    </row>
    <row r="2042" spans="1:5" x14ac:dyDescent="0.25">
      <c r="A2042">
        <v>2</v>
      </c>
      <c r="B2042">
        <v>0</v>
      </c>
      <c r="C2042">
        <v>3</v>
      </c>
      <c r="D2042">
        <v>2039</v>
      </c>
      <c r="E2042">
        <v>2396473</v>
      </c>
    </row>
    <row r="2043" spans="1:5" x14ac:dyDescent="0.25">
      <c r="A2043">
        <v>2</v>
      </c>
      <c r="B2043">
        <v>0</v>
      </c>
      <c r="C2043">
        <v>3</v>
      </c>
      <c r="D2043">
        <v>2040</v>
      </c>
      <c r="E2043">
        <v>2407481</v>
      </c>
    </row>
    <row r="2044" spans="1:5" x14ac:dyDescent="0.25">
      <c r="A2044">
        <v>2</v>
      </c>
      <c r="B2044">
        <v>0</v>
      </c>
      <c r="C2044">
        <v>3</v>
      </c>
      <c r="D2044">
        <v>2041</v>
      </c>
      <c r="E2044">
        <v>2418044</v>
      </c>
    </row>
    <row r="2045" spans="1:5" x14ac:dyDescent="0.25">
      <c r="A2045">
        <v>2</v>
      </c>
      <c r="B2045">
        <v>0</v>
      </c>
      <c r="C2045">
        <v>3</v>
      </c>
      <c r="D2045">
        <v>2042</v>
      </c>
      <c r="E2045">
        <v>2428193</v>
      </c>
    </row>
    <row r="2046" spans="1:5" x14ac:dyDescent="0.25">
      <c r="A2046">
        <v>2</v>
      </c>
      <c r="B2046">
        <v>0</v>
      </c>
      <c r="C2046">
        <v>3</v>
      </c>
      <c r="D2046">
        <v>2043</v>
      </c>
      <c r="E2046">
        <v>2437859</v>
      </c>
    </row>
    <row r="2047" spans="1:5" x14ac:dyDescent="0.25">
      <c r="A2047">
        <v>2</v>
      </c>
      <c r="B2047">
        <v>0</v>
      </c>
      <c r="C2047">
        <v>3</v>
      </c>
      <c r="D2047">
        <v>2044</v>
      </c>
      <c r="E2047">
        <v>2447024</v>
      </c>
    </row>
    <row r="2048" spans="1:5" x14ac:dyDescent="0.25">
      <c r="A2048">
        <v>2</v>
      </c>
      <c r="B2048">
        <v>0</v>
      </c>
      <c r="C2048">
        <v>3</v>
      </c>
      <c r="D2048">
        <v>2045</v>
      </c>
      <c r="E2048">
        <v>2455700</v>
      </c>
    </row>
    <row r="2049" spans="1:5" x14ac:dyDescent="0.25">
      <c r="A2049">
        <v>2</v>
      </c>
      <c r="B2049">
        <v>0</v>
      </c>
      <c r="C2049">
        <v>3</v>
      </c>
      <c r="D2049">
        <v>2046</v>
      </c>
      <c r="E2049">
        <v>2463852</v>
      </c>
    </row>
    <row r="2050" spans="1:5" x14ac:dyDescent="0.25">
      <c r="A2050">
        <v>2</v>
      </c>
      <c r="B2050">
        <v>0</v>
      </c>
      <c r="C2050">
        <v>3</v>
      </c>
      <c r="D2050">
        <v>2047</v>
      </c>
      <c r="E2050">
        <v>2471503</v>
      </c>
    </row>
    <row r="2051" spans="1:5" x14ac:dyDescent="0.25">
      <c r="A2051">
        <v>2</v>
      </c>
      <c r="B2051">
        <v>0</v>
      </c>
      <c r="C2051">
        <v>3</v>
      </c>
      <c r="D2051">
        <v>2048</v>
      </c>
      <c r="E2051">
        <v>2478637</v>
      </c>
    </row>
    <row r="2052" spans="1:5" x14ac:dyDescent="0.25">
      <c r="A2052">
        <v>2</v>
      </c>
      <c r="B2052">
        <v>0</v>
      </c>
      <c r="C2052">
        <v>3</v>
      </c>
      <c r="D2052">
        <v>2049</v>
      </c>
      <c r="E2052">
        <v>2485262</v>
      </c>
    </row>
    <row r="2053" spans="1:5" x14ac:dyDescent="0.25">
      <c r="A2053">
        <v>2</v>
      </c>
      <c r="B2053">
        <v>0</v>
      </c>
      <c r="C2053">
        <v>3</v>
      </c>
      <c r="D2053">
        <v>2050</v>
      </c>
      <c r="E2053">
        <v>2491366</v>
      </c>
    </row>
    <row r="2054" spans="1:5" x14ac:dyDescent="0.25">
      <c r="A2054">
        <v>2</v>
      </c>
      <c r="B2054">
        <v>0</v>
      </c>
      <c r="C2054">
        <v>4</v>
      </c>
      <c r="D2054">
        <v>2024</v>
      </c>
      <c r="E2054">
        <v>11261356</v>
      </c>
    </row>
    <row r="2055" spans="1:5" x14ac:dyDescent="0.25">
      <c r="A2055">
        <v>2</v>
      </c>
      <c r="B2055">
        <v>0</v>
      </c>
      <c r="C2055">
        <v>4</v>
      </c>
      <c r="D2055">
        <v>2025</v>
      </c>
      <c r="E2055">
        <v>11470562</v>
      </c>
    </row>
    <row r="2056" spans="1:5" x14ac:dyDescent="0.25">
      <c r="A2056">
        <v>2</v>
      </c>
      <c r="B2056">
        <v>0</v>
      </c>
      <c r="C2056">
        <v>4</v>
      </c>
      <c r="D2056">
        <v>2026</v>
      </c>
      <c r="E2056">
        <v>11680299</v>
      </c>
    </row>
    <row r="2057" spans="1:5" x14ac:dyDescent="0.25">
      <c r="A2057">
        <v>2</v>
      </c>
      <c r="B2057">
        <v>0</v>
      </c>
      <c r="C2057">
        <v>4</v>
      </c>
      <c r="D2057">
        <v>2027</v>
      </c>
      <c r="E2057">
        <v>11889982</v>
      </c>
    </row>
    <row r="2058" spans="1:5" x14ac:dyDescent="0.25">
      <c r="A2058">
        <v>2</v>
      </c>
      <c r="B2058">
        <v>0</v>
      </c>
      <c r="C2058">
        <v>4</v>
      </c>
      <c r="D2058">
        <v>2028</v>
      </c>
      <c r="E2058">
        <v>12099130</v>
      </c>
    </row>
    <row r="2059" spans="1:5" x14ac:dyDescent="0.25">
      <c r="A2059">
        <v>2</v>
      </c>
      <c r="B2059">
        <v>0</v>
      </c>
      <c r="C2059">
        <v>4</v>
      </c>
      <c r="D2059">
        <v>2029</v>
      </c>
      <c r="E2059">
        <v>12307904</v>
      </c>
    </row>
    <row r="2060" spans="1:5" x14ac:dyDescent="0.25">
      <c r="A2060">
        <v>2</v>
      </c>
      <c r="B2060">
        <v>0</v>
      </c>
      <c r="C2060">
        <v>4</v>
      </c>
      <c r="D2060">
        <v>2030</v>
      </c>
      <c r="E2060">
        <v>12515421</v>
      </c>
    </row>
    <row r="2061" spans="1:5" x14ac:dyDescent="0.25">
      <c r="A2061">
        <v>2</v>
      </c>
      <c r="B2061">
        <v>0</v>
      </c>
      <c r="C2061">
        <v>4</v>
      </c>
      <c r="D2061">
        <v>2031</v>
      </c>
      <c r="E2061">
        <v>12720468</v>
      </c>
    </row>
    <row r="2062" spans="1:5" x14ac:dyDescent="0.25">
      <c r="A2062">
        <v>2</v>
      </c>
      <c r="B2062">
        <v>0</v>
      </c>
      <c r="C2062">
        <v>4</v>
      </c>
      <c r="D2062">
        <v>2032</v>
      </c>
      <c r="E2062">
        <v>12922014</v>
      </c>
    </row>
    <row r="2063" spans="1:5" x14ac:dyDescent="0.25">
      <c r="A2063">
        <v>2</v>
      </c>
      <c r="B2063">
        <v>0</v>
      </c>
      <c r="C2063">
        <v>4</v>
      </c>
      <c r="D2063">
        <v>2033</v>
      </c>
      <c r="E2063">
        <v>13122950</v>
      </c>
    </row>
    <row r="2064" spans="1:5" x14ac:dyDescent="0.25">
      <c r="A2064">
        <v>2</v>
      </c>
      <c r="B2064">
        <v>0</v>
      </c>
      <c r="C2064">
        <v>4</v>
      </c>
      <c r="D2064">
        <v>2034</v>
      </c>
      <c r="E2064">
        <v>13323109</v>
      </c>
    </row>
    <row r="2065" spans="1:5" x14ac:dyDescent="0.25">
      <c r="A2065">
        <v>2</v>
      </c>
      <c r="B2065">
        <v>0</v>
      </c>
      <c r="C2065">
        <v>4</v>
      </c>
      <c r="D2065">
        <v>2035</v>
      </c>
      <c r="E2065">
        <v>13522352</v>
      </c>
    </row>
    <row r="2066" spans="1:5" x14ac:dyDescent="0.25">
      <c r="A2066">
        <v>2</v>
      </c>
      <c r="B2066">
        <v>0</v>
      </c>
      <c r="C2066">
        <v>4</v>
      </c>
      <c r="D2066">
        <v>2036</v>
      </c>
      <c r="E2066">
        <v>13720568</v>
      </c>
    </row>
    <row r="2067" spans="1:5" x14ac:dyDescent="0.25">
      <c r="A2067">
        <v>2</v>
      </c>
      <c r="B2067">
        <v>0</v>
      </c>
      <c r="C2067">
        <v>4</v>
      </c>
      <c r="D2067">
        <v>2037</v>
      </c>
      <c r="E2067">
        <v>13917593</v>
      </c>
    </row>
    <row r="2068" spans="1:5" x14ac:dyDescent="0.25">
      <c r="A2068">
        <v>2</v>
      </c>
      <c r="B2068">
        <v>0</v>
      </c>
      <c r="C2068">
        <v>4</v>
      </c>
      <c r="D2068">
        <v>2038</v>
      </c>
      <c r="E2068">
        <v>14113324</v>
      </c>
    </row>
    <row r="2069" spans="1:5" x14ac:dyDescent="0.25">
      <c r="A2069">
        <v>2</v>
      </c>
      <c r="B2069">
        <v>0</v>
      </c>
      <c r="C2069">
        <v>4</v>
      </c>
      <c r="D2069">
        <v>2039</v>
      </c>
      <c r="E2069">
        <v>14307665</v>
      </c>
    </row>
    <row r="2070" spans="1:5" x14ac:dyDescent="0.25">
      <c r="A2070">
        <v>2</v>
      </c>
      <c r="B2070">
        <v>0</v>
      </c>
      <c r="C2070">
        <v>4</v>
      </c>
      <c r="D2070">
        <v>2040</v>
      </c>
      <c r="E2070">
        <v>14500580</v>
      </c>
    </row>
    <row r="2071" spans="1:5" x14ac:dyDescent="0.25">
      <c r="A2071">
        <v>2</v>
      </c>
      <c r="B2071">
        <v>0</v>
      </c>
      <c r="C2071">
        <v>4</v>
      </c>
      <c r="D2071">
        <v>2041</v>
      </c>
      <c r="E2071">
        <v>14692024</v>
      </c>
    </row>
    <row r="2072" spans="1:5" x14ac:dyDescent="0.25">
      <c r="A2072">
        <v>2</v>
      </c>
      <c r="B2072">
        <v>0</v>
      </c>
      <c r="C2072">
        <v>4</v>
      </c>
      <c r="D2072">
        <v>2042</v>
      </c>
      <c r="E2072">
        <v>14882043</v>
      </c>
    </row>
    <row r="2073" spans="1:5" x14ac:dyDescent="0.25">
      <c r="A2073">
        <v>2</v>
      </c>
      <c r="B2073">
        <v>0</v>
      </c>
      <c r="C2073">
        <v>4</v>
      </c>
      <c r="D2073">
        <v>2043</v>
      </c>
      <c r="E2073">
        <v>15070656</v>
      </c>
    </row>
    <row r="2074" spans="1:5" x14ac:dyDescent="0.25">
      <c r="A2074">
        <v>2</v>
      </c>
      <c r="B2074">
        <v>0</v>
      </c>
      <c r="C2074">
        <v>4</v>
      </c>
      <c r="D2074">
        <v>2044</v>
      </c>
      <c r="E2074">
        <v>15257852</v>
      </c>
    </row>
    <row r="2075" spans="1:5" x14ac:dyDescent="0.25">
      <c r="A2075">
        <v>2</v>
      </c>
      <c r="B2075">
        <v>0</v>
      </c>
      <c r="C2075">
        <v>4</v>
      </c>
      <c r="D2075">
        <v>2045</v>
      </c>
      <c r="E2075">
        <v>15443710</v>
      </c>
    </row>
    <row r="2076" spans="1:5" x14ac:dyDescent="0.25">
      <c r="A2076">
        <v>2</v>
      </c>
      <c r="B2076">
        <v>0</v>
      </c>
      <c r="C2076">
        <v>4</v>
      </c>
      <c r="D2076">
        <v>2046</v>
      </c>
      <c r="E2076">
        <v>15628198</v>
      </c>
    </row>
    <row r="2077" spans="1:5" x14ac:dyDescent="0.25">
      <c r="A2077">
        <v>2</v>
      </c>
      <c r="B2077">
        <v>0</v>
      </c>
      <c r="C2077">
        <v>4</v>
      </c>
      <c r="D2077">
        <v>2047</v>
      </c>
      <c r="E2077">
        <v>15811285</v>
      </c>
    </row>
    <row r="2078" spans="1:5" x14ac:dyDescent="0.25">
      <c r="A2078">
        <v>2</v>
      </c>
      <c r="B2078">
        <v>0</v>
      </c>
      <c r="C2078">
        <v>4</v>
      </c>
      <c r="D2078">
        <v>2048</v>
      </c>
      <c r="E2078">
        <v>15992956</v>
      </c>
    </row>
    <row r="2079" spans="1:5" x14ac:dyDescent="0.25">
      <c r="A2079">
        <v>2</v>
      </c>
      <c r="B2079">
        <v>0</v>
      </c>
      <c r="C2079">
        <v>4</v>
      </c>
      <c r="D2079">
        <v>2049</v>
      </c>
      <c r="E2079">
        <v>16173133</v>
      </c>
    </row>
    <row r="2080" spans="1:5" x14ac:dyDescent="0.25">
      <c r="A2080">
        <v>2</v>
      </c>
      <c r="B2080">
        <v>0</v>
      </c>
      <c r="C2080">
        <v>4</v>
      </c>
      <c r="D2080">
        <v>2050</v>
      </c>
      <c r="E2080">
        <v>16351775</v>
      </c>
    </row>
    <row r="2081" spans="1:5" x14ac:dyDescent="0.25">
      <c r="A2081">
        <v>2</v>
      </c>
      <c r="B2081">
        <v>0</v>
      </c>
      <c r="C2081">
        <v>5</v>
      </c>
      <c r="D2081">
        <v>2024</v>
      </c>
      <c r="E2081">
        <v>444931</v>
      </c>
    </row>
    <row r="2082" spans="1:5" x14ac:dyDescent="0.25">
      <c r="A2082">
        <v>2</v>
      </c>
      <c r="B2082">
        <v>0</v>
      </c>
      <c r="C2082">
        <v>5</v>
      </c>
      <c r="D2082">
        <v>2025</v>
      </c>
      <c r="E2082">
        <v>451435</v>
      </c>
    </row>
    <row r="2083" spans="1:5" x14ac:dyDescent="0.25">
      <c r="A2083">
        <v>2</v>
      </c>
      <c r="B2083">
        <v>0</v>
      </c>
      <c r="C2083">
        <v>5</v>
      </c>
      <c r="D2083">
        <v>2026</v>
      </c>
      <c r="E2083">
        <v>457892</v>
      </c>
    </row>
    <row r="2084" spans="1:5" x14ac:dyDescent="0.25">
      <c r="A2084">
        <v>2</v>
      </c>
      <c r="B2084">
        <v>0</v>
      </c>
      <c r="C2084">
        <v>5</v>
      </c>
      <c r="D2084">
        <v>2027</v>
      </c>
      <c r="E2084">
        <v>464281</v>
      </c>
    </row>
    <row r="2085" spans="1:5" x14ac:dyDescent="0.25">
      <c r="A2085">
        <v>2</v>
      </c>
      <c r="B2085">
        <v>0</v>
      </c>
      <c r="C2085">
        <v>5</v>
      </c>
      <c r="D2085">
        <v>2028</v>
      </c>
      <c r="E2085">
        <v>470586</v>
      </c>
    </row>
    <row r="2086" spans="1:5" x14ac:dyDescent="0.25">
      <c r="A2086">
        <v>2</v>
      </c>
      <c r="B2086">
        <v>0</v>
      </c>
      <c r="C2086">
        <v>5</v>
      </c>
      <c r="D2086">
        <v>2029</v>
      </c>
      <c r="E2086">
        <v>476821</v>
      </c>
    </row>
    <row r="2087" spans="1:5" x14ac:dyDescent="0.25">
      <c r="A2087">
        <v>2</v>
      </c>
      <c r="B2087">
        <v>0</v>
      </c>
      <c r="C2087">
        <v>5</v>
      </c>
      <c r="D2087">
        <v>2030</v>
      </c>
      <c r="E2087">
        <v>482970</v>
      </c>
    </row>
    <row r="2088" spans="1:5" x14ac:dyDescent="0.25">
      <c r="A2088">
        <v>2</v>
      </c>
      <c r="B2088">
        <v>0</v>
      </c>
      <c r="C2088">
        <v>5</v>
      </c>
      <c r="D2088">
        <v>2031</v>
      </c>
      <c r="E2088">
        <v>489043</v>
      </c>
    </row>
    <row r="2089" spans="1:5" x14ac:dyDescent="0.25">
      <c r="A2089">
        <v>2</v>
      </c>
      <c r="B2089">
        <v>0</v>
      </c>
      <c r="C2089">
        <v>5</v>
      </c>
      <c r="D2089">
        <v>2032</v>
      </c>
      <c r="E2089">
        <v>494999</v>
      </c>
    </row>
    <row r="2090" spans="1:5" x14ac:dyDescent="0.25">
      <c r="A2090">
        <v>2</v>
      </c>
      <c r="B2090">
        <v>0</v>
      </c>
      <c r="C2090">
        <v>5</v>
      </c>
      <c r="D2090">
        <v>2033</v>
      </c>
      <c r="E2090">
        <v>500893</v>
      </c>
    </row>
    <row r="2091" spans="1:5" x14ac:dyDescent="0.25">
      <c r="A2091">
        <v>2</v>
      </c>
      <c r="B2091">
        <v>0</v>
      </c>
      <c r="C2091">
        <v>5</v>
      </c>
      <c r="D2091">
        <v>2034</v>
      </c>
      <c r="E2091">
        <v>506785</v>
      </c>
    </row>
    <row r="2092" spans="1:5" x14ac:dyDescent="0.25">
      <c r="A2092">
        <v>2</v>
      </c>
      <c r="B2092">
        <v>0</v>
      </c>
      <c r="C2092">
        <v>5</v>
      </c>
      <c r="D2092">
        <v>2035</v>
      </c>
      <c r="E2092">
        <v>512628</v>
      </c>
    </row>
    <row r="2093" spans="1:5" x14ac:dyDescent="0.25">
      <c r="A2093">
        <v>2</v>
      </c>
      <c r="B2093">
        <v>0</v>
      </c>
      <c r="C2093">
        <v>5</v>
      </c>
      <c r="D2093">
        <v>2036</v>
      </c>
      <c r="E2093">
        <v>518446</v>
      </c>
    </row>
    <row r="2094" spans="1:5" x14ac:dyDescent="0.25">
      <c r="A2094">
        <v>2</v>
      </c>
      <c r="B2094">
        <v>0</v>
      </c>
      <c r="C2094">
        <v>5</v>
      </c>
      <c r="D2094">
        <v>2037</v>
      </c>
      <c r="E2094">
        <v>524208</v>
      </c>
    </row>
    <row r="2095" spans="1:5" x14ac:dyDescent="0.25">
      <c r="A2095">
        <v>2</v>
      </c>
      <c r="B2095">
        <v>0</v>
      </c>
      <c r="C2095">
        <v>5</v>
      </c>
      <c r="D2095">
        <v>2038</v>
      </c>
      <c r="E2095">
        <v>529930</v>
      </c>
    </row>
    <row r="2096" spans="1:5" x14ac:dyDescent="0.25">
      <c r="A2096">
        <v>2</v>
      </c>
      <c r="B2096">
        <v>0</v>
      </c>
      <c r="C2096">
        <v>5</v>
      </c>
      <c r="D2096">
        <v>2039</v>
      </c>
      <c r="E2096">
        <v>535643</v>
      </c>
    </row>
    <row r="2097" spans="1:5" x14ac:dyDescent="0.25">
      <c r="A2097">
        <v>2</v>
      </c>
      <c r="B2097">
        <v>0</v>
      </c>
      <c r="C2097">
        <v>5</v>
      </c>
      <c r="D2097">
        <v>2040</v>
      </c>
      <c r="E2097">
        <v>541297</v>
      </c>
    </row>
    <row r="2098" spans="1:5" x14ac:dyDescent="0.25">
      <c r="A2098">
        <v>2</v>
      </c>
      <c r="B2098">
        <v>0</v>
      </c>
      <c r="C2098">
        <v>5</v>
      </c>
      <c r="D2098">
        <v>2041</v>
      </c>
      <c r="E2098">
        <v>546907</v>
      </c>
    </row>
    <row r="2099" spans="1:5" x14ac:dyDescent="0.25">
      <c r="A2099">
        <v>2</v>
      </c>
      <c r="B2099">
        <v>0</v>
      </c>
      <c r="C2099">
        <v>5</v>
      </c>
      <c r="D2099">
        <v>2042</v>
      </c>
      <c r="E2099">
        <v>552462</v>
      </c>
    </row>
    <row r="2100" spans="1:5" x14ac:dyDescent="0.25">
      <c r="A2100">
        <v>2</v>
      </c>
      <c r="B2100">
        <v>0</v>
      </c>
      <c r="C2100">
        <v>5</v>
      </c>
      <c r="D2100">
        <v>2043</v>
      </c>
      <c r="E2100">
        <v>557971</v>
      </c>
    </row>
    <row r="2101" spans="1:5" x14ac:dyDescent="0.25">
      <c r="A2101">
        <v>2</v>
      </c>
      <c r="B2101">
        <v>0</v>
      </c>
      <c r="C2101">
        <v>5</v>
      </c>
      <c r="D2101">
        <v>2044</v>
      </c>
      <c r="E2101">
        <v>563418</v>
      </c>
    </row>
    <row r="2102" spans="1:5" x14ac:dyDescent="0.25">
      <c r="A2102">
        <v>2</v>
      </c>
      <c r="B2102">
        <v>0</v>
      </c>
      <c r="C2102">
        <v>5</v>
      </c>
      <c r="D2102">
        <v>2045</v>
      </c>
      <c r="E2102">
        <v>568819</v>
      </c>
    </row>
    <row r="2103" spans="1:5" x14ac:dyDescent="0.25">
      <c r="A2103">
        <v>2</v>
      </c>
      <c r="B2103">
        <v>0</v>
      </c>
      <c r="C2103">
        <v>5</v>
      </c>
      <c r="D2103">
        <v>2046</v>
      </c>
      <c r="E2103">
        <v>574160</v>
      </c>
    </row>
    <row r="2104" spans="1:5" x14ac:dyDescent="0.25">
      <c r="A2104">
        <v>2</v>
      </c>
      <c r="B2104">
        <v>0</v>
      </c>
      <c r="C2104">
        <v>5</v>
      </c>
      <c r="D2104">
        <v>2047</v>
      </c>
      <c r="E2104">
        <v>579434</v>
      </c>
    </row>
    <row r="2105" spans="1:5" x14ac:dyDescent="0.25">
      <c r="A2105">
        <v>2</v>
      </c>
      <c r="B2105">
        <v>0</v>
      </c>
      <c r="C2105">
        <v>5</v>
      </c>
      <c r="D2105">
        <v>2048</v>
      </c>
      <c r="E2105">
        <v>584635</v>
      </c>
    </row>
    <row r="2106" spans="1:5" x14ac:dyDescent="0.25">
      <c r="A2106">
        <v>2</v>
      </c>
      <c r="B2106">
        <v>0</v>
      </c>
      <c r="C2106">
        <v>5</v>
      </c>
      <c r="D2106">
        <v>2049</v>
      </c>
      <c r="E2106">
        <v>589755</v>
      </c>
    </row>
    <row r="2107" spans="1:5" x14ac:dyDescent="0.25">
      <c r="A2107">
        <v>2</v>
      </c>
      <c r="B2107">
        <v>0</v>
      </c>
      <c r="C2107">
        <v>5</v>
      </c>
      <c r="D2107">
        <v>2050</v>
      </c>
      <c r="E2107">
        <v>594785</v>
      </c>
    </row>
    <row r="2108" spans="1:5" x14ac:dyDescent="0.25">
      <c r="A2108">
        <v>2</v>
      </c>
      <c r="B2108">
        <v>0</v>
      </c>
      <c r="C2108">
        <v>6</v>
      </c>
      <c r="D2108">
        <v>2024</v>
      </c>
      <c r="E2108">
        <v>5314348</v>
      </c>
    </row>
    <row r="2109" spans="1:5" x14ac:dyDescent="0.25">
      <c r="A2109">
        <v>2</v>
      </c>
      <c r="B2109">
        <v>0</v>
      </c>
      <c r="C2109">
        <v>6</v>
      </c>
      <c r="D2109">
        <v>2025</v>
      </c>
      <c r="E2109">
        <v>5445833</v>
      </c>
    </row>
    <row r="2110" spans="1:5" x14ac:dyDescent="0.25">
      <c r="A2110">
        <v>2</v>
      </c>
      <c r="B2110">
        <v>0</v>
      </c>
      <c r="C2110">
        <v>6</v>
      </c>
      <c r="D2110">
        <v>2026</v>
      </c>
      <c r="E2110">
        <v>5579707</v>
      </c>
    </row>
    <row r="2111" spans="1:5" x14ac:dyDescent="0.25">
      <c r="A2111">
        <v>2</v>
      </c>
      <c r="B2111">
        <v>0</v>
      </c>
      <c r="C2111">
        <v>6</v>
      </c>
      <c r="D2111">
        <v>2027</v>
      </c>
      <c r="E2111">
        <v>5715937</v>
      </c>
    </row>
    <row r="2112" spans="1:5" x14ac:dyDescent="0.25">
      <c r="A2112">
        <v>2</v>
      </c>
      <c r="B2112">
        <v>0</v>
      </c>
      <c r="C2112">
        <v>6</v>
      </c>
      <c r="D2112">
        <v>2028</v>
      </c>
      <c r="E2112">
        <v>5854451</v>
      </c>
    </row>
    <row r="2113" spans="1:5" x14ac:dyDescent="0.25">
      <c r="A2113">
        <v>2</v>
      </c>
      <c r="B2113">
        <v>0</v>
      </c>
      <c r="C2113">
        <v>6</v>
      </c>
      <c r="D2113">
        <v>2029</v>
      </c>
      <c r="E2113">
        <v>5995214</v>
      </c>
    </row>
    <row r="2114" spans="1:5" x14ac:dyDescent="0.25">
      <c r="A2114">
        <v>2</v>
      </c>
      <c r="B2114">
        <v>0</v>
      </c>
      <c r="C2114">
        <v>6</v>
      </c>
      <c r="D2114">
        <v>2030</v>
      </c>
      <c r="E2114">
        <v>6138156</v>
      </c>
    </row>
    <row r="2115" spans="1:5" x14ac:dyDescent="0.25">
      <c r="A2115">
        <v>2</v>
      </c>
      <c r="B2115">
        <v>0</v>
      </c>
      <c r="C2115">
        <v>6</v>
      </c>
      <c r="D2115">
        <v>2031</v>
      </c>
      <c r="E2115">
        <v>6283236</v>
      </c>
    </row>
    <row r="2116" spans="1:5" x14ac:dyDescent="0.25">
      <c r="A2116">
        <v>2</v>
      </c>
      <c r="B2116">
        <v>0</v>
      </c>
      <c r="C2116">
        <v>6</v>
      </c>
      <c r="D2116">
        <v>2032</v>
      </c>
      <c r="E2116">
        <v>6430296</v>
      </c>
    </row>
    <row r="2117" spans="1:5" x14ac:dyDescent="0.25">
      <c r="A2117">
        <v>2</v>
      </c>
      <c r="B2117">
        <v>0</v>
      </c>
      <c r="C2117">
        <v>6</v>
      </c>
      <c r="D2117">
        <v>2033</v>
      </c>
      <c r="E2117">
        <v>6579360</v>
      </c>
    </row>
    <row r="2118" spans="1:5" x14ac:dyDescent="0.25">
      <c r="A2118">
        <v>2</v>
      </c>
      <c r="B2118">
        <v>0</v>
      </c>
      <c r="C2118">
        <v>6</v>
      </c>
      <c r="D2118">
        <v>2034</v>
      </c>
      <c r="E2118">
        <v>6730322</v>
      </c>
    </row>
    <row r="2119" spans="1:5" x14ac:dyDescent="0.25">
      <c r="A2119">
        <v>2</v>
      </c>
      <c r="B2119">
        <v>0</v>
      </c>
      <c r="C2119">
        <v>6</v>
      </c>
      <c r="D2119">
        <v>2035</v>
      </c>
      <c r="E2119">
        <v>6883023</v>
      </c>
    </row>
    <row r="2120" spans="1:5" x14ac:dyDescent="0.25">
      <c r="A2120">
        <v>2</v>
      </c>
      <c r="B2120">
        <v>0</v>
      </c>
      <c r="C2120">
        <v>6</v>
      </c>
      <c r="D2120">
        <v>2036</v>
      </c>
      <c r="E2120">
        <v>7037331</v>
      </c>
    </row>
    <row r="2121" spans="1:5" x14ac:dyDescent="0.25">
      <c r="A2121">
        <v>2</v>
      </c>
      <c r="B2121">
        <v>0</v>
      </c>
      <c r="C2121">
        <v>6</v>
      </c>
      <c r="D2121">
        <v>2037</v>
      </c>
      <c r="E2121">
        <v>7193152</v>
      </c>
    </row>
    <row r="2122" spans="1:5" x14ac:dyDescent="0.25">
      <c r="A2122">
        <v>2</v>
      </c>
      <c r="B2122">
        <v>0</v>
      </c>
      <c r="C2122">
        <v>6</v>
      </c>
      <c r="D2122">
        <v>2038</v>
      </c>
      <c r="E2122">
        <v>7350170</v>
      </c>
    </row>
    <row r="2123" spans="1:5" x14ac:dyDescent="0.25">
      <c r="A2123">
        <v>2</v>
      </c>
      <c r="B2123">
        <v>0</v>
      </c>
      <c r="C2123">
        <v>6</v>
      </c>
      <c r="D2123">
        <v>2039</v>
      </c>
      <c r="E2123">
        <v>7508356</v>
      </c>
    </row>
    <row r="2124" spans="1:5" x14ac:dyDescent="0.25">
      <c r="A2124">
        <v>2</v>
      </c>
      <c r="B2124">
        <v>0</v>
      </c>
      <c r="C2124">
        <v>6</v>
      </c>
      <c r="D2124">
        <v>2040</v>
      </c>
      <c r="E2124">
        <v>7667429</v>
      </c>
    </row>
    <row r="2125" spans="1:5" x14ac:dyDescent="0.25">
      <c r="A2125">
        <v>2</v>
      </c>
      <c r="B2125">
        <v>0</v>
      </c>
      <c r="C2125">
        <v>6</v>
      </c>
      <c r="D2125">
        <v>2041</v>
      </c>
      <c r="E2125">
        <v>7827257</v>
      </c>
    </row>
    <row r="2126" spans="1:5" x14ac:dyDescent="0.25">
      <c r="A2126">
        <v>2</v>
      </c>
      <c r="B2126">
        <v>0</v>
      </c>
      <c r="C2126">
        <v>6</v>
      </c>
      <c r="D2126">
        <v>2042</v>
      </c>
      <c r="E2126">
        <v>7987681</v>
      </c>
    </row>
    <row r="2127" spans="1:5" x14ac:dyDescent="0.25">
      <c r="A2127">
        <v>2</v>
      </c>
      <c r="B2127">
        <v>0</v>
      </c>
      <c r="C2127">
        <v>6</v>
      </c>
      <c r="D2127">
        <v>2043</v>
      </c>
      <c r="E2127">
        <v>8148737</v>
      </c>
    </row>
    <row r="2128" spans="1:5" x14ac:dyDescent="0.25">
      <c r="A2128">
        <v>2</v>
      </c>
      <c r="B2128">
        <v>0</v>
      </c>
      <c r="C2128">
        <v>6</v>
      </c>
      <c r="D2128">
        <v>2044</v>
      </c>
      <c r="E2128">
        <v>8310365</v>
      </c>
    </row>
    <row r="2129" spans="1:5" x14ac:dyDescent="0.25">
      <c r="A2129">
        <v>2</v>
      </c>
      <c r="B2129">
        <v>0</v>
      </c>
      <c r="C2129">
        <v>6</v>
      </c>
      <c r="D2129">
        <v>2045</v>
      </c>
      <c r="E2129">
        <v>8472429</v>
      </c>
    </row>
    <row r="2130" spans="1:5" x14ac:dyDescent="0.25">
      <c r="A2130">
        <v>2</v>
      </c>
      <c r="B2130">
        <v>0</v>
      </c>
      <c r="C2130">
        <v>6</v>
      </c>
      <c r="D2130">
        <v>2046</v>
      </c>
      <c r="E2130">
        <v>8635033</v>
      </c>
    </row>
    <row r="2131" spans="1:5" x14ac:dyDescent="0.25">
      <c r="A2131">
        <v>2</v>
      </c>
      <c r="B2131">
        <v>0</v>
      </c>
      <c r="C2131">
        <v>6</v>
      </c>
      <c r="D2131">
        <v>2047</v>
      </c>
      <c r="E2131">
        <v>8798148</v>
      </c>
    </row>
    <row r="2132" spans="1:5" x14ac:dyDescent="0.25">
      <c r="A2132">
        <v>2</v>
      </c>
      <c r="B2132">
        <v>0</v>
      </c>
      <c r="C2132">
        <v>6</v>
      </c>
      <c r="D2132">
        <v>2048</v>
      </c>
      <c r="E2132">
        <v>8961751</v>
      </c>
    </row>
    <row r="2133" spans="1:5" x14ac:dyDescent="0.25">
      <c r="A2133">
        <v>2</v>
      </c>
      <c r="B2133">
        <v>0</v>
      </c>
      <c r="C2133">
        <v>6</v>
      </c>
      <c r="D2133">
        <v>2049</v>
      </c>
      <c r="E2133">
        <v>9125936</v>
      </c>
    </row>
    <row r="2134" spans="1:5" x14ac:dyDescent="0.25">
      <c r="A2134">
        <v>2</v>
      </c>
      <c r="B2134">
        <v>0</v>
      </c>
      <c r="C2134">
        <v>6</v>
      </c>
      <c r="D2134">
        <v>2050</v>
      </c>
      <c r="E2134">
        <v>9290734</v>
      </c>
    </row>
    <row r="2135" spans="1:5" x14ac:dyDescent="0.25">
      <c r="A2135">
        <v>2</v>
      </c>
      <c r="B2135">
        <v>0</v>
      </c>
      <c r="C2135">
        <v>7</v>
      </c>
      <c r="D2135">
        <v>2024</v>
      </c>
      <c r="E2135">
        <v>131361337</v>
      </c>
    </row>
    <row r="2136" spans="1:5" x14ac:dyDescent="0.25">
      <c r="A2136">
        <v>2</v>
      </c>
      <c r="B2136">
        <v>0</v>
      </c>
      <c r="C2136">
        <v>7</v>
      </c>
      <c r="D2136">
        <v>2025</v>
      </c>
      <c r="E2136">
        <v>131779883</v>
      </c>
    </row>
    <row r="2137" spans="1:5" x14ac:dyDescent="0.25">
      <c r="A2137">
        <v>2</v>
      </c>
      <c r="B2137">
        <v>0</v>
      </c>
      <c r="C2137">
        <v>7</v>
      </c>
      <c r="D2137">
        <v>2026</v>
      </c>
      <c r="E2137">
        <v>132182671</v>
      </c>
    </row>
    <row r="2138" spans="1:5" x14ac:dyDescent="0.25">
      <c r="A2138">
        <v>2</v>
      </c>
      <c r="B2138">
        <v>0</v>
      </c>
      <c r="C2138">
        <v>7</v>
      </c>
      <c r="D2138">
        <v>2027</v>
      </c>
      <c r="E2138">
        <v>132569235</v>
      </c>
    </row>
    <row r="2139" spans="1:5" x14ac:dyDescent="0.25">
      <c r="A2139">
        <v>2</v>
      </c>
      <c r="B2139">
        <v>0</v>
      </c>
      <c r="C2139">
        <v>7</v>
      </c>
      <c r="D2139">
        <v>2028</v>
      </c>
      <c r="E2139">
        <v>132938431</v>
      </c>
    </row>
    <row r="2140" spans="1:5" x14ac:dyDescent="0.25">
      <c r="A2140">
        <v>2</v>
      </c>
      <c r="B2140">
        <v>0</v>
      </c>
      <c r="C2140">
        <v>7</v>
      </c>
      <c r="D2140">
        <v>2029</v>
      </c>
      <c r="E2140">
        <v>133288981</v>
      </c>
    </row>
    <row r="2141" spans="1:5" x14ac:dyDescent="0.25">
      <c r="A2141">
        <v>2</v>
      </c>
      <c r="B2141">
        <v>0</v>
      </c>
      <c r="C2141">
        <v>7</v>
      </c>
      <c r="D2141">
        <v>2030</v>
      </c>
      <c r="E2141">
        <v>133619797</v>
      </c>
    </row>
    <row r="2142" spans="1:5" x14ac:dyDescent="0.25">
      <c r="A2142">
        <v>2</v>
      </c>
      <c r="B2142">
        <v>0</v>
      </c>
      <c r="C2142">
        <v>7</v>
      </c>
      <c r="D2142">
        <v>2031</v>
      </c>
      <c r="E2142">
        <v>133929520</v>
      </c>
    </row>
    <row r="2143" spans="1:5" x14ac:dyDescent="0.25">
      <c r="A2143">
        <v>2</v>
      </c>
      <c r="B2143">
        <v>0</v>
      </c>
      <c r="C2143">
        <v>7</v>
      </c>
      <c r="D2143">
        <v>2032</v>
      </c>
      <c r="E2143">
        <v>134216241</v>
      </c>
    </row>
    <row r="2144" spans="1:5" x14ac:dyDescent="0.25">
      <c r="A2144">
        <v>2</v>
      </c>
      <c r="B2144">
        <v>0</v>
      </c>
      <c r="C2144">
        <v>7</v>
      </c>
      <c r="D2144">
        <v>2033</v>
      </c>
      <c r="E2144">
        <v>134480737</v>
      </c>
    </row>
    <row r="2145" spans="1:5" x14ac:dyDescent="0.25">
      <c r="A2145">
        <v>2</v>
      </c>
      <c r="B2145">
        <v>0</v>
      </c>
      <c r="C2145">
        <v>7</v>
      </c>
      <c r="D2145">
        <v>2034</v>
      </c>
      <c r="E2145">
        <v>134721872</v>
      </c>
    </row>
    <row r="2146" spans="1:5" x14ac:dyDescent="0.25">
      <c r="A2146">
        <v>2</v>
      </c>
      <c r="B2146">
        <v>0</v>
      </c>
      <c r="C2146">
        <v>7</v>
      </c>
      <c r="D2146">
        <v>2035</v>
      </c>
      <c r="E2146">
        <v>134938555</v>
      </c>
    </row>
    <row r="2147" spans="1:5" x14ac:dyDescent="0.25">
      <c r="A2147">
        <v>2</v>
      </c>
      <c r="B2147">
        <v>0</v>
      </c>
      <c r="C2147">
        <v>7</v>
      </c>
      <c r="D2147">
        <v>2036</v>
      </c>
      <c r="E2147">
        <v>135129901</v>
      </c>
    </row>
    <row r="2148" spans="1:5" x14ac:dyDescent="0.25">
      <c r="A2148">
        <v>2</v>
      </c>
      <c r="B2148">
        <v>0</v>
      </c>
      <c r="C2148">
        <v>7</v>
      </c>
      <c r="D2148">
        <v>2037</v>
      </c>
      <c r="E2148">
        <v>135295197</v>
      </c>
    </row>
    <row r="2149" spans="1:5" x14ac:dyDescent="0.25">
      <c r="A2149">
        <v>2</v>
      </c>
      <c r="B2149">
        <v>0</v>
      </c>
      <c r="C2149">
        <v>7</v>
      </c>
      <c r="D2149">
        <v>2038</v>
      </c>
      <c r="E2149">
        <v>135433872</v>
      </c>
    </row>
    <row r="2150" spans="1:5" x14ac:dyDescent="0.25">
      <c r="A2150">
        <v>2</v>
      </c>
      <c r="B2150">
        <v>0</v>
      </c>
      <c r="C2150">
        <v>7</v>
      </c>
      <c r="D2150">
        <v>2039</v>
      </c>
      <c r="E2150">
        <v>135545797</v>
      </c>
    </row>
    <row r="2151" spans="1:5" x14ac:dyDescent="0.25">
      <c r="A2151">
        <v>2</v>
      </c>
      <c r="B2151">
        <v>0</v>
      </c>
      <c r="C2151">
        <v>7</v>
      </c>
      <c r="D2151">
        <v>2040</v>
      </c>
      <c r="E2151">
        <v>135631103</v>
      </c>
    </row>
    <row r="2152" spans="1:5" x14ac:dyDescent="0.25">
      <c r="A2152">
        <v>2</v>
      </c>
      <c r="B2152">
        <v>0</v>
      </c>
      <c r="C2152">
        <v>7</v>
      </c>
      <c r="D2152">
        <v>2041</v>
      </c>
      <c r="E2152">
        <v>135689941</v>
      </c>
    </row>
    <row r="2153" spans="1:5" x14ac:dyDescent="0.25">
      <c r="A2153">
        <v>2</v>
      </c>
      <c r="B2153">
        <v>0</v>
      </c>
      <c r="C2153">
        <v>7</v>
      </c>
      <c r="D2153">
        <v>2042</v>
      </c>
      <c r="E2153">
        <v>135723231</v>
      </c>
    </row>
    <row r="2154" spans="1:5" x14ac:dyDescent="0.25">
      <c r="A2154">
        <v>2</v>
      </c>
      <c r="B2154">
        <v>0</v>
      </c>
      <c r="C2154">
        <v>7</v>
      </c>
      <c r="D2154">
        <v>2043</v>
      </c>
      <c r="E2154">
        <v>135732447</v>
      </c>
    </row>
    <row r="2155" spans="1:5" x14ac:dyDescent="0.25">
      <c r="A2155">
        <v>2</v>
      </c>
      <c r="B2155">
        <v>0</v>
      </c>
      <c r="C2155">
        <v>7</v>
      </c>
      <c r="D2155">
        <v>2044</v>
      </c>
      <c r="E2155">
        <v>135719501</v>
      </c>
    </row>
    <row r="2156" spans="1:5" x14ac:dyDescent="0.25">
      <c r="A2156">
        <v>2</v>
      </c>
      <c r="B2156">
        <v>0</v>
      </c>
      <c r="C2156">
        <v>7</v>
      </c>
      <c r="D2156">
        <v>2045</v>
      </c>
      <c r="E2156">
        <v>135686639</v>
      </c>
    </row>
    <row r="2157" spans="1:5" x14ac:dyDescent="0.25">
      <c r="A2157">
        <v>2</v>
      </c>
      <c r="B2157">
        <v>0</v>
      </c>
      <c r="C2157">
        <v>7</v>
      </c>
      <c r="D2157">
        <v>2046</v>
      </c>
      <c r="E2157">
        <v>135636326</v>
      </c>
    </row>
    <row r="2158" spans="1:5" x14ac:dyDescent="0.25">
      <c r="A2158">
        <v>2</v>
      </c>
      <c r="B2158">
        <v>0</v>
      </c>
      <c r="C2158">
        <v>7</v>
      </c>
      <c r="D2158">
        <v>2047</v>
      </c>
      <c r="E2158">
        <v>135569977</v>
      </c>
    </row>
    <row r="2159" spans="1:5" x14ac:dyDescent="0.25">
      <c r="A2159">
        <v>2</v>
      </c>
      <c r="B2159">
        <v>0</v>
      </c>
      <c r="C2159">
        <v>7</v>
      </c>
      <c r="D2159">
        <v>2048</v>
      </c>
      <c r="E2159">
        <v>135490017</v>
      </c>
    </row>
    <row r="2160" spans="1:5" x14ac:dyDescent="0.25">
      <c r="A2160">
        <v>2</v>
      </c>
      <c r="B2160">
        <v>0</v>
      </c>
      <c r="C2160">
        <v>7</v>
      </c>
      <c r="D2160">
        <v>2049</v>
      </c>
      <c r="E2160">
        <v>135398992</v>
      </c>
    </row>
    <row r="2161" spans="1:5" x14ac:dyDescent="0.25">
      <c r="A2161">
        <v>2</v>
      </c>
      <c r="B2161">
        <v>0</v>
      </c>
      <c r="C2161">
        <v>7</v>
      </c>
      <c r="D2161">
        <v>2050</v>
      </c>
      <c r="E2161">
        <v>135299520</v>
      </c>
    </row>
    <row r="2162" spans="1:5" x14ac:dyDescent="0.25">
      <c r="A2162">
        <v>2</v>
      </c>
      <c r="B2162">
        <v>0</v>
      </c>
      <c r="C2162">
        <v>8</v>
      </c>
      <c r="D2162">
        <v>2024</v>
      </c>
      <c r="E2162">
        <v>26345636</v>
      </c>
    </row>
    <row r="2163" spans="1:5" x14ac:dyDescent="0.25">
      <c r="A2163">
        <v>2</v>
      </c>
      <c r="B2163">
        <v>0</v>
      </c>
      <c r="C2163">
        <v>8</v>
      </c>
      <c r="D2163">
        <v>2025</v>
      </c>
      <c r="E2163">
        <v>26567622</v>
      </c>
    </row>
    <row r="2164" spans="1:5" x14ac:dyDescent="0.25">
      <c r="A2164">
        <v>2</v>
      </c>
      <c r="B2164">
        <v>0</v>
      </c>
      <c r="C2164">
        <v>8</v>
      </c>
      <c r="D2164">
        <v>2026</v>
      </c>
      <c r="E2164">
        <v>26790535</v>
      </c>
    </row>
    <row r="2165" spans="1:5" x14ac:dyDescent="0.25">
      <c r="A2165">
        <v>2</v>
      </c>
      <c r="B2165">
        <v>0</v>
      </c>
      <c r="C2165">
        <v>8</v>
      </c>
      <c r="D2165">
        <v>2027</v>
      </c>
      <c r="E2165">
        <v>27014234</v>
      </c>
    </row>
    <row r="2166" spans="1:5" x14ac:dyDescent="0.25">
      <c r="A2166">
        <v>2</v>
      </c>
      <c r="B2166">
        <v>0</v>
      </c>
      <c r="C2166">
        <v>8</v>
      </c>
      <c r="D2166">
        <v>2028</v>
      </c>
      <c r="E2166">
        <v>27238017</v>
      </c>
    </row>
    <row r="2167" spans="1:5" x14ac:dyDescent="0.25">
      <c r="A2167">
        <v>2</v>
      </c>
      <c r="B2167">
        <v>0</v>
      </c>
      <c r="C2167">
        <v>8</v>
      </c>
      <c r="D2167">
        <v>2029</v>
      </c>
      <c r="E2167">
        <v>27461514</v>
      </c>
    </row>
    <row r="2168" spans="1:5" x14ac:dyDescent="0.25">
      <c r="A2168">
        <v>2</v>
      </c>
      <c r="B2168">
        <v>0</v>
      </c>
      <c r="C2168">
        <v>8</v>
      </c>
      <c r="D2168">
        <v>2030</v>
      </c>
      <c r="E2168">
        <v>27684145</v>
      </c>
    </row>
    <row r="2169" spans="1:5" x14ac:dyDescent="0.25">
      <c r="A2169">
        <v>2</v>
      </c>
      <c r="B2169">
        <v>0</v>
      </c>
      <c r="C2169">
        <v>8</v>
      </c>
      <c r="D2169">
        <v>2031</v>
      </c>
      <c r="E2169">
        <v>27905387</v>
      </c>
    </row>
    <row r="2170" spans="1:5" x14ac:dyDescent="0.25">
      <c r="A2170">
        <v>2</v>
      </c>
      <c r="B2170">
        <v>0</v>
      </c>
      <c r="C2170">
        <v>8</v>
      </c>
      <c r="D2170">
        <v>2032</v>
      </c>
      <c r="E2170">
        <v>28124717</v>
      </c>
    </row>
    <row r="2171" spans="1:5" x14ac:dyDescent="0.25">
      <c r="A2171">
        <v>2</v>
      </c>
      <c r="B2171">
        <v>0</v>
      </c>
      <c r="C2171">
        <v>8</v>
      </c>
      <c r="D2171">
        <v>2033</v>
      </c>
      <c r="E2171">
        <v>28342999</v>
      </c>
    </row>
    <row r="2172" spans="1:5" x14ac:dyDescent="0.25">
      <c r="A2172">
        <v>2</v>
      </c>
      <c r="B2172">
        <v>0</v>
      </c>
      <c r="C2172">
        <v>8</v>
      </c>
      <c r="D2172">
        <v>2034</v>
      </c>
      <c r="E2172">
        <v>28560042</v>
      </c>
    </row>
    <row r="2173" spans="1:5" x14ac:dyDescent="0.25">
      <c r="A2173">
        <v>2</v>
      </c>
      <c r="B2173">
        <v>0</v>
      </c>
      <c r="C2173">
        <v>8</v>
      </c>
      <c r="D2173">
        <v>2035</v>
      </c>
      <c r="E2173">
        <v>28775777</v>
      </c>
    </row>
    <row r="2174" spans="1:5" x14ac:dyDescent="0.25">
      <c r="A2174">
        <v>2</v>
      </c>
      <c r="B2174">
        <v>0</v>
      </c>
      <c r="C2174">
        <v>8</v>
      </c>
      <c r="D2174">
        <v>2036</v>
      </c>
      <c r="E2174">
        <v>28990128</v>
      </c>
    </row>
    <row r="2175" spans="1:5" x14ac:dyDescent="0.25">
      <c r="A2175">
        <v>2</v>
      </c>
      <c r="B2175">
        <v>0</v>
      </c>
      <c r="C2175">
        <v>8</v>
      </c>
      <c r="D2175">
        <v>2037</v>
      </c>
      <c r="E2175">
        <v>29203022</v>
      </c>
    </row>
    <row r="2176" spans="1:5" x14ac:dyDescent="0.25">
      <c r="A2176">
        <v>2</v>
      </c>
      <c r="B2176">
        <v>0</v>
      </c>
      <c r="C2176">
        <v>8</v>
      </c>
      <c r="D2176">
        <v>2038</v>
      </c>
      <c r="E2176">
        <v>29414339</v>
      </c>
    </row>
    <row r="2177" spans="1:5" x14ac:dyDescent="0.25">
      <c r="A2177">
        <v>2</v>
      </c>
      <c r="B2177">
        <v>0</v>
      </c>
      <c r="C2177">
        <v>8</v>
      </c>
      <c r="D2177">
        <v>2039</v>
      </c>
      <c r="E2177">
        <v>29624077</v>
      </c>
    </row>
    <row r="2178" spans="1:5" x14ac:dyDescent="0.25">
      <c r="A2178">
        <v>2</v>
      </c>
      <c r="B2178">
        <v>0</v>
      </c>
      <c r="C2178">
        <v>8</v>
      </c>
      <c r="D2178">
        <v>2040</v>
      </c>
      <c r="E2178">
        <v>29832122</v>
      </c>
    </row>
    <row r="2179" spans="1:5" x14ac:dyDescent="0.25">
      <c r="A2179">
        <v>2</v>
      </c>
      <c r="B2179">
        <v>0</v>
      </c>
      <c r="C2179">
        <v>8</v>
      </c>
      <c r="D2179">
        <v>2041</v>
      </c>
      <c r="E2179">
        <v>30038384</v>
      </c>
    </row>
    <row r="2180" spans="1:5" x14ac:dyDescent="0.25">
      <c r="A2180">
        <v>2</v>
      </c>
      <c r="B2180">
        <v>0</v>
      </c>
      <c r="C2180">
        <v>8</v>
      </c>
      <c r="D2180">
        <v>2042</v>
      </c>
      <c r="E2180">
        <v>30242855</v>
      </c>
    </row>
    <row r="2181" spans="1:5" x14ac:dyDescent="0.25">
      <c r="A2181">
        <v>2</v>
      </c>
      <c r="B2181">
        <v>0</v>
      </c>
      <c r="C2181">
        <v>8</v>
      </c>
      <c r="D2181">
        <v>2043</v>
      </c>
      <c r="E2181">
        <v>30445476</v>
      </c>
    </row>
    <row r="2182" spans="1:5" x14ac:dyDescent="0.25">
      <c r="A2182">
        <v>2</v>
      </c>
      <c r="B2182">
        <v>0</v>
      </c>
      <c r="C2182">
        <v>8</v>
      </c>
      <c r="D2182">
        <v>2044</v>
      </c>
      <c r="E2182">
        <v>30646405</v>
      </c>
    </row>
    <row r="2183" spans="1:5" x14ac:dyDescent="0.25">
      <c r="A2183">
        <v>2</v>
      </c>
      <c r="B2183">
        <v>0</v>
      </c>
      <c r="C2183">
        <v>8</v>
      </c>
      <c r="D2183">
        <v>2045</v>
      </c>
      <c r="E2183">
        <v>30845793</v>
      </c>
    </row>
    <row r="2184" spans="1:5" x14ac:dyDescent="0.25">
      <c r="A2184">
        <v>2</v>
      </c>
      <c r="B2184">
        <v>0</v>
      </c>
      <c r="C2184">
        <v>8</v>
      </c>
      <c r="D2184">
        <v>2046</v>
      </c>
      <c r="E2184">
        <v>31043959</v>
      </c>
    </row>
    <row r="2185" spans="1:5" x14ac:dyDescent="0.25">
      <c r="A2185">
        <v>2</v>
      </c>
      <c r="B2185">
        <v>0</v>
      </c>
      <c r="C2185">
        <v>8</v>
      </c>
      <c r="D2185">
        <v>2047</v>
      </c>
      <c r="E2185">
        <v>31241051</v>
      </c>
    </row>
    <row r="2186" spans="1:5" x14ac:dyDescent="0.25">
      <c r="A2186">
        <v>2</v>
      </c>
      <c r="B2186">
        <v>0</v>
      </c>
      <c r="C2186">
        <v>8</v>
      </c>
      <c r="D2186">
        <v>2048</v>
      </c>
      <c r="E2186">
        <v>31437319</v>
      </c>
    </row>
    <row r="2187" spans="1:5" x14ac:dyDescent="0.25">
      <c r="A2187">
        <v>2</v>
      </c>
      <c r="B2187">
        <v>0</v>
      </c>
      <c r="C2187">
        <v>8</v>
      </c>
      <c r="D2187">
        <v>2049</v>
      </c>
      <c r="E2187">
        <v>31633052</v>
      </c>
    </row>
    <row r="2188" spans="1:5" x14ac:dyDescent="0.25">
      <c r="A2188">
        <v>2</v>
      </c>
      <c r="B2188">
        <v>0</v>
      </c>
      <c r="C2188">
        <v>8</v>
      </c>
      <c r="D2188">
        <v>2050</v>
      </c>
      <c r="E2188">
        <v>31828640</v>
      </c>
    </row>
    <row r="2189" spans="1:5" x14ac:dyDescent="0.25">
      <c r="A2189">
        <v>2</v>
      </c>
      <c r="B2189">
        <v>0</v>
      </c>
      <c r="C2189">
        <v>9</v>
      </c>
      <c r="D2189">
        <v>2024</v>
      </c>
      <c r="E2189">
        <v>3701551</v>
      </c>
    </row>
    <row r="2190" spans="1:5" x14ac:dyDescent="0.25">
      <c r="A2190">
        <v>2</v>
      </c>
      <c r="B2190">
        <v>0</v>
      </c>
      <c r="C2190">
        <v>9</v>
      </c>
      <c r="D2190">
        <v>2025</v>
      </c>
      <c r="E2190">
        <v>3732964</v>
      </c>
    </row>
    <row r="2191" spans="1:5" x14ac:dyDescent="0.25">
      <c r="A2191">
        <v>2</v>
      </c>
      <c r="B2191">
        <v>0</v>
      </c>
      <c r="C2191">
        <v>9</v>
      </c>
      <c r="D2191">
        <v>2026</v>
      </c>
      <c r="E2191">
        <v>3764181</v>
      </c>
    </row>
    <row r="2192" spans="1:5" x14ac:dyDescent="0.25">
      <c r="A2192">
        <v>2</v>
      </c>
      <c r="B2192">
        <v>0</v>
      </c>
      <c r="C2192">
        <v>9</v>
      </c>
      <c r="D2192">
        <v>2027</v>
      </c>
      <c r="E2192">
        <v>3795216</v>
      </c>
    </row>
    <row r="2193" spans="1:5" x14ac:dyDescent="0.25">
      <c r="A2193">
        <v>2</v>
      </c>
      <c r="B2193">
        <v>0</v>
      </c>
      <c r="C2193">
        <v>9</v>
      </c>
      <c r="D2193">
        <v>2028</v>
      </c>
      <c r="E2193">
        <v>3825952</v>
      </c>
    </row>
    <row r="2194" spans="1:5" x14ac:dyDescent="0.25">
      <c r="A2194">
        <v>2</v>
      </c>
      <c r="B2194">
        <v>0</v>
      </c>
      <c r="C2194">
        <v>9</v>
      </c>
      <c r="D2194">
        <v>2029</v>
      </c>
      <c r="E2194">
        <v>3856357</v>
      </c>
    </row>
    <row r="2195" spans="1:5" x14ac:dyDescent="0.25">
      <c r="A2195">
        <v>2</v>
      </c>
      <c r="B2195">
        <v>0</v>
      </c>
      <c r="C2195">
        <v>9</v>
      </c>
      <c r="D2195">
        <v>2030</v>
      </c>
      <c r="E2195">
        <v>3886350</v>
      </c>
    </row>
    <row r="2196" spans="1:5" x14ac:dyDescent="0.25">
      <c r="A2196">
        <v>2</v>
      </c>
      <c r="B2196">
        <v>0</v>
      </c>
      <c r="C2196">
        <v>9</v>
      </c>
      <c r="D2196">
        <v>2031</v>
      </c>
      <c r="E2196">
        <v>3916028</v>
      </c>
    </row>
    <row r="2197" spans="1:5" x14ac:dyDescent="0.25">
      <c r="A2197">
        <v>2</v>
      </c>
      <c r="B2197">
        <v>0</v>
      </c>
      <c r="C2197">
        <v>9</v>
      </c>
      <c r="D2197">
        <v>2032</v>
      </c>
      <c r="E2197">
        <v>3945252</v>
      </c>
    </row>
    <row r="2198" spans="1:5" x14ac:dyDescent="0.25">
      <c r="A2198">
        <v>2</v>
      </c>
      <c r="B2198">
        <v>0</v>
      </c>
      <c r="C2198">
        <v>9</v>
      </c>
      <c r="D2198">
        <v>2033</v>
      </c>
      <c r="E2198">
        <v>3974073</v>
      </c>
    </row>
    <row r="2199" spans="1:5" x14ac:dyDescent="0.25">
      <c r="A2199">
        <v>2</v>
      </c>
      <c r="B2199">
        <v>0</v>
      </c>
      <c r="C2199">
        <v>9</v>
      </c>
      <c r="D2199">
        <v>2034</v>
      </c>
      <c r="E2199">
        <v>4002443</v>
      </c>
    </row>
    <row r="2200" spans="1:5" x14ac:dyDescent="0.25">
      <c r="A2200">
        <v>2</v>
      </c>
      <c r="B2200">
        <v>0</v>
      </c>
      <c r="C2200">
        <v>9</v>
      </c>
      <c r="D2200">
        <v>2035</v>
      </c>
      <c r="E2200">
        <v>4030383</v>
      </c>
    </row>
    <row r="2201" spans="1:5" x14ac:dyDescent="0.25">
      <c r="A2201">
        <v>2</v>
      </c>
      <c r="B2201">
        <v>0</v>
      </c>
      <c r="C2201">
        <v>9</v>
      </c>
      <c r="D2201">
        <v>2036</v>
      </c>
      <c r="E2201">
        <v>4057767</v>
      </c>
    </row>
    <row r="2202" spans="1:5" x14ac:dyDescent="0.25">
      <c r="A2202">
        <v>2</v>
      </c>
      <c r="B2202">
        <v>0</v>
      </c>
      <c r="C2202">
        <v>9</v>
      </c>
      <c r="D2202">
        <v>2037</v>
      </c>
      <c r="E2202">
        <v>4084635</v>
      </c>
    </row>
    <row r="2203" spans="1:5" x14ac:dyDescent="0.25">
      <c r="A2203">
        <v>2</v>
      </c>
      <c r="B2203">
        <v>0</v>
      </c>
      <c r="C2203">
        <v>9</v>
      </c>
      <c r="D2203">
        <v>2038</v>
      </c>
      <c r="E2203">
        <v>4110871</v>
      </c>
    </row>
    <row r="2204" spans="1:5" x14ac:dyDescent="0.25">
      <c r="A2204">
        <v>2</v>
      </c>
      <c r="B2204">
        <v>0</v>
      </c>
      <c r="C2204">
        <v>9</v>
      </c>
      <c r="D2204">
        <v>2039</v>
      </c>
      <c r="E2204">
        <v>4136490</v>
      </c>
    </row>
    <row r="2205" spans="1:5" x14ac:dyDescent="0.25">
      <c r="A2205">
        <v>2</v>
      </c>
      <c r="B2205">
        <v>0</v>
      </c>
      <c r="C2205">
        <v>9</v>
      </c>
      <c r="D2205">
        <v>2040</v>
      </c>
      <c r="E2205">
        <v>4161446</v>
      </c>
    </row>
    <row r="2206" spans="1:5" x14ac:dyDescent="0.25">
      <c r="A2206">
        <v>2</v>
      </c>
      <c r="B2206">
        <v>0</v>
      </c>
      <c r="C2206">
        <v>9</v>
      </c>
      <c r="D2206">
        <v>2041</v>
      </c>
      <c r="E2206">
        <v>4185652</v>
      </c>
    </row>
    <row r="2207" spans="1:5" x14ac:dyDescent="0.25">
      <c r="A2207">
        <v>2</v>
      </c>
      <c r="B2207">
        <v>0</v>
      </c>
      <c r="C2207">
        <v>9</v>
      </c>
      <c r="D2207">
        <v>2042</v>
      </c>
      <c r="E2207">
        <v>4209058</v>
      </c>
    </row>
    <row r="2208" spans="1:5" x14ac:dyDescent="0.25">
      <c r="A2208">
        <v>2</v>
      </c>
      <c r="B2208">
        <v>0</v>
      </c>
      <c r="C2208">
        <v>9</v>
      </c>
      <c r="D2208">
        <v>2043</v>
      </c>
      <c r="E2208">
        <v>4231678</v>
      </c>
    </row>
    <row r="2209" spans="1:5" x14ac:dyDescent="0.25">
      <c r="A2209">
        <v>2</v>
      </c>
      <c r="B2209">
        <v>0</v>
      </c>
      <c r="C2209">
        <v>9</v>
      </c>
      <c r="D2209">
        <v>2044</v>
      </c>
      <c r="E2209">
        <v>4253497</v>
      </c>
    </row>
    <row r="2210" spans="1:5" x14ac:dyDescent="0.25">
      <c r="A2210">
        <v>2</v>
      </c>
      <c r="B2210">
        <v>0</v>
      </c>
      <c r="C2210">
        <v>9</v>
      </c>
      <c r="D2210">
        <v>2045</v>
      </c>
      <c r="E2210">
        <v>4274498</v>
      </c>
    </row>
    <row r="2211" spans="1:5" x14ac:dyDescent="0.25">
      <c r="A2211">
        <v>2</v>
      </c>
      <c r="B2211">
        <v>0</v>
      </c>
      <c r="C2211">
        <v>9</v>
      </c>
      <c r="D2211">
        <v>2046</v>
      </c>
      <c r="E2211">
        <v>4294716</v>
      </c>
    </row>
    <row r="2212" spans="1:5" x14ac:dyDescent="0.25">
      <c r="A2212">
        <v>2</v>
      </c>
      <c r="B2212">
        <v>0</v>
      </c>
      <c r="C2212">
        <v>9</v>
      </c>
      <c r="D2212">
        <v>2047</v>
      </c>
      <c r="E2212">
        <v>4314155</v>
      </c>
    </row>
    <row r="2213" spans="1:5" x14ac:dyDescent="0.25">
      <c r="A2213">
        <v>2</v>
      </c>
      <c r="B2213">
        <v>0</v>
      </c>
      <c r="C2213">
        <v>9</v>
      </c>
      <c r="D2213">
        <v>2048</v>
      </c>
      <c r="E2213">
        <v>4332803</v>
      </c>
    </row>
    <row r="2214" spans="1:5" x14ac:dyDescent="0.25">
      <c r="A2214">
        <v>2</v>
      </c>
      <c r="B2214">
        <v>0</v>
      </c>
      <c r="C2214">
        <v>9</v>
      </c>
      <c r="D2214">
        <v>2049</v>
      </c>
      <c r="E2214">
        <v>4350690</v>
      </c>
    </row>
    <row r="2215" spans="1:5" x14ac:dyDescent="0.25">
      <c r="A2215">
        <v>2</v>
      </c>
      <c r="B2215">
        <v>0</v>
      </c>
      <c r="C2215">
        <v>9</v>
      </c>
      <c r="D2215">
        <v>2050</v>
      </c>
      <c r="E2215">
        <v>4367903</v>
      </c>
    </row>
    <row r="2216" spans="1:5" x14ac:dyDescent="0.25">
      <c r="A2216">
        <v>2</v>
      </c>
      <c r="B2216">
        <v>0</v>
      </c>
      <c r="C2216">
        <v>10</v>
      </c>
      <c r="D2216">
        <v>2024</v>
      </c>
      <c r="E2216">
        <v>13221076</v>
      </c>
    </row>
    <row r="2217" spans="1:5" x14ac:dyDescent="0.25">
      <c r="A2217">
        <v>2</v>
      </c>
      <c r="B2217">
        <v>0</v>
      </c>
      <c r="C2217">
        <v>10</v>
      </c>
      <c r="D2217">
        <v>2025</v>
      </c>
      <c r="E2217">
        <v>13483957</v>
      </c>
    </row>
    <row r="2218" spans="1:5" x14ac:dyDescent="0.25">
      <c r="A2218">
        <v>2</v>
      </c>
      <c r="B2218">
        <v>0</v>
      </c>
      <c r="C2218">
        <v>10</v>
      </c>
      <c r="D2218">
        <v>2026</v>
      </c>
      <c r="E2218">
        <v>13748210</v>
      </c>
    </row>
    <row r="2219" spans="1:5" x14ac:dyDescent="0.25">
      <c r="A2219">
        <v>2</v>
      </c>
      <c r="B2219">
        <v>0</v>
      </c>
      <c r="C2219">
        <v>10</v>
      </c>
      <c r="D2219">
        <v>2027</v>
      </c>
      <c r="E2219">
        <v>14013257</v>
      </c>
    </row>
    <row r="2220" spans="1:5" x14ac:dyDescent="0.25">
      <c r="A2220">
        <v>2</v>
      </c>
      <c r="B2220">
        <v>0</v>
      </c>
      <c r="C2220">
        <v>10</v>
      </c>
      <c r="D2220">
        <v>2028</v>
      </c>
      <c r="E2220">
        <v>14278585</v>
      </c>
    </row>
    <row r="2221" spans="1:5" x14ac:dyDescent="0.25">
      <c r="A2221">
        <v>2</v>
      </c>
      <c r="B2221">
        <v>0</v>
      </c>
      <c r="C2221">
        <v>10</v>
      </c>
      <c r="D2221">
        <v>2029</v>
      </c>
      <c r="E2221">
        <v>14544378</v>
      </c>
    </row>
    <row r="2222" spans="1:5" x14ac:dyDescent="0.25">
      <c r="A2222">
        <v>2</v>
      </c>
      <c r="B2222">
        <v>0</v>
      </c>
      <c r="C2222">
        <v>10</v>
      </c>
      <c r="D2222">
        <v>2030</v>
      </c>
      <c r="E2222">
        <v>14809766</v>
      </c>
    </row>
    <row r="2223" spans="1:5" x14ac:dyDescent="0.25">
      <c r="A2223">
        <v>2</v>
      </c>
      <c r="B2223">
        <v>0</v>
      </c>
      <c r="C2223">
        <v>10</v>
      </c>
      <c r="D2223">
        <v>2031</v>
      </c>
      <c r="E2223">
        <v>15073567</v>
      </c>
    </row>
    <row r="2224" spans="1:5" x14ac:dyDescent="0.25">
      <c r="A2224">
        <v>2</v>
      </c>
      <c r="B2224">
        <v>0</v>
      </c>
      <c r="C2224">
        <v>10</v>
      </c>
      <c r="D2224">
        <v>2032</v>
      </c>
      <c r="E2224">
        <v>15334679</v>
      </c>
    </row>
    <row r="2225" spans="1:5" x14ac:dyDescent="0.25">
      <c r="A2225">
        <v>2</v>
      </c>
      <c r="B2225">
        <v>0</v>
      </c>
      <c r="C2225">
        <v>10</v>
      </c>
      <c r="D2225">
        <v>2033</v>
      </c>
      <c r="E2225">
        <v>15596138</v>
      </c>
    </row>
    <row r="2226" spans="1:5" x14ac:dyDescent="0.25">
      <c r="A2226">
        <v>2</v>
      </c>
      <c r="B2226">
        <v>0</v>
      </c>
      <c r="C2226">
        <v>10</v>
      </c>
      <c r="D2226">
        <v>2034</v>
      </c>
      <c r="E2226">
        <v>15857761</v>
      </c>
    </row>
    <row r="2227" spans="1:5" x14ac:dyDescent="0.25">
      <c r="A2227">
        <v>2</v>
      </c>
      <c r="B2227">
        <v>0</v>
      </c>
      <c r="C2227">
        <v>10</v>
      </c>
      <c r="D2227">
        <v>2035</v>
      </c>
      <c r="E2227">
        <v>16119328</v>
      </c>
    </row>
    <row r="2228" spans="1:5" x14ac:dyDescent="0.25">
      <c r="A2228">
        <v>2</v>
      </c>
      <c r="B2228">
        <v>0</v>
      </c>
      <c r="C2228">
        <v>10</v>
      </c>
      <c r="D2228">
        <v>2036</v>
      </c>
      <c r="E2228">
        <v>16380682</v>
      </c>
    </row>
    <row r="2229" spans="1:5" x14ac:dyDescent="0.25">
      <c r="A2229">
        <v>2</v>
      </c>
      <c r="B2229">
        <v>0</v>
      </c>
      <c r="C2229">
        <v>10</v>
      </c>
      <c r="D2229">
        <v>2037</v>
      </c>
      <c r="E2229">
        <v>16641655</v>
      </c>
    </row>
    <row r="2230" spans="1:5" x14ac:dyDescent="0.25">
      <c r="A2230">
        <v>2</v>
      </c>
      <c r="B2230">
        <v>0</v>
      </c>
      <c r="C2230">
        <v>10</v>
      </c>
      <c r="D2230">
        <v>2038</v>
      </c>
      <c r="E2230">
        <v>16902021</v>
      </c>
    </row>
    <row r="2231" spans="1:5" x14ac:dyDescent="0.25">
      <c r="A2231">
        <v>2</v>
      </c>
      <c r="B2231">
        <v>0</v>
      </c>
      <c r="C2231">
        <v>10</v>
      </c>
      <c r="D2231">
        <v>2039</v>
      </c>
      <c r="E2231">
        <v>17161663</v>
      </c>
    </row>
    <row r="2232" spans="1:5" x14ac:dyDescent="0.25">
      <c r="A2232">
        <v>2</v>
      </c>
      <c r="B2232">
        <v>0</v>
      </c>
      <c r="C2232">
        <v>10</v>
      </c>
      <c r="D2232">
        <v>2040</v>
      </c>
      <c r="E2232">
        <v>17420422</v>
      </c>
    </row>
    <row r="2233" spans="1:5" x14ac:dyDescent="0.25">
      <c r="A2233">
        <v>2</v>
      </c>
      <c r="B2233">
        <v>0</v>
      </c>
      <c r="C2233">
        <v>10</v>
      </c>
      <c r="D2233">
        <v>2041</v>
      </c>
      <c r="E2233">
        <v>17678210</v>
      </c>
    </row>
    <row r="2234" spans="1:5" x14ac:dyDescent="0.25">
      <c r="A2234">
        <v>2</v>
      </c>
      <c r="B2234">
        <v>0</v>
      </c>
      <c r="C2234">
        <v>10</v>
      </c>
      <c r="D2234">
        <v>2042</v>
      </c>
      <c r="E2234">
        <v>17934989</v>
      </c>
    </row>
    <row r="2235" spans="1:5" x14ac:dyDescent="0.25">
      <c r="A2235">
        <v>2</v>
      </c>
      <c r="B2235">
        <v>0</v>
      </c>
      <c r="C2235">
        <v>10</v>
      </c>
      <c r="D2235">
        <v>2043</v>
      </c>
      <c r="E2235">
        <v>18190806</v>
      </c>
    </row>
    <row r="2236" spans="1:5" x14ac:dyDescent="0.25">
      <c r="A2236">
        <v>2</v>
      </c>
      <c r="B2236">
        <v>0</v>
      </c>
      <c r="C2236">
        <v>10</v>
      </c>
      <c r="D2236">
        <v>2044</v>
      </c>
      <c r="E2236">
        <v>18445542</v>
      </c>
    </row>
    <row r="2237" spans="1:5" x14ac:dyDescent="0.25">
      <c r="A2237">
        <v>2</v>
      </c>
      <c r="B2237">
        <v>0</v>
      </c>
      <c r="C2237">
        <v>10</v>
      </c>
      <c r="D2237">
        <v>2045</v>
      </c>
      <c r="E2237">
        <v>18699277</v>
      </c>
    </row>
    <row r="2238" spans="1:5" x14ac:dyDescent="0.25">
      <c r="A2238">
        <v>2</v>
      </c>
      <c r="B2238">
        <v>0</v>
      </c>
      <c r="C2238">
        <v>10</v>
      </c>
      <c r="D2238">
        <v>2046</v>
      </c>
      <c r="E2238">
        <v>18951932</v>
      </c>
    </row>
    <row r="2239" spans="1:5" x14ac:dyDescent="0.25">
      <c r="A2239">
        <v>2</v>
      </c>
      <c r="B2239">
        <v>0</v>
      </c>
      <c r="C2239">
        <v>10</v>
      </c>
      <c r="D2239">
        <v>2047</v>
      </c>
      <c r="E2239">
        <v>19203511</v>
      </c>
    </row>
    <row r="2240" spans="1:5" x14ac:dyDescent="0.25">
      <c r="A2240">
        <v>2</v>
      </c>
      <c r="B2240">
        <v>0</v>
      </c>
      <c r="C2240">
        <v>10</v>
      </c>
      <c r="D2240">
        <v>2048</v>
      </c>
      <c r="E2240">
        <v>19453879</v>
      </c>
    </row>
    <row r="2241" spans="1:5" x14ac:dyDescent="0.25">
      <c r="A2241">
        <v>2</v>
      </c>
      <c r="B2241">
        <v>0</v>
      </c>
      <c r="C2241">
        <v>10</v>
      </c>
      <c r="D2241">
        <v>2049</v>
      </c>
      <c r="E2241">
        <v>19703053</v>
      </c>
    </row>
    <row r="2242" spans="1:5" x14ac:dyDescent="0.25">
      <c r="A2242">
        <v>2</v>
      </c>
      <c r="B2242">
        <v>0</v>
      </c>
      <c r="C2242">
        <v>10</v>
      </c>
      <c r="D2242">
        <v>2050</v>
      </c>
      <c r="E2242">
        <v>19950945</v>
      </c>
    </row>
    <row r="2243" spans="1:5" x14ac:dyDescent="0.25">
      <c r="A2243">
        <v>2</v>
      </c>
      <c r="B2243">
        <v>0</v>
      </c>
      <c r="C2243">
        <v>11</v>
      </c>
      <c r="D2243">
        <v>2024</v>
      </c>
      <c r="E2243">
        <v>902497</v>
      </c>
    </row>
    <row r="2244" spans="1:5" x14ac:dyDescent="0.25">
      <c r="A2244">
        <v>2</v>
      </c>
      <c r="B2244">
        <v>0</v>
      </c>
      <c r="C2244">
        <v>11</v>
      </c>
      <c r="D2244">
        <v>2025</v>
      </c>
      <c r="E2244">
        <v>917432</v>
      </c>
    </row>
    <row r="2245" spans="1:5" x14ac:dyDescent="0.25">
      <c r="A2245">
        <v>2</v>
      </c>
      <c r="B2245">
        <v>0</v>
      </c>
      <c r="C2245">
        <v>11</v>
      </c>
      <c r="D2245">
        <v>2026</v>
      </c>
      <c r="E2245">
        <v>932451</v>
      </c>
    </row>
    <row r="2246" spans="1:5" x14ac:dyDescent="0.25">
      <c r="A2246">
        <v>2</v>
      </c>
      <c r="B2246">
        <v>0</v>
      </c>
      <c r="C2246">
        <v>11</v>
      </c>
      <c r="D2246">
        <v>2027</v>
      </c>
      <c r="E2246">
        <v>947478</v>
      </c>
    </row>
    <row r="2247" spans="1:5" x14ac:dyDescent="0.25">
      <c r="A2247">
        <v>2</v>
      </c>
      <c r="B2247">
        <v>0</v>
      </c>
      <c r="C2247">
        <v>11</v>
      </c>
      <c r="D2247">
        <v>2028</v>
      </c>
      <c r="E2247">
        <v>962494</v>
      </c>
    </row>
    <row r="2248" spans="1:5" x14ac:dyDescent="0.25">
      <c r="A2248">
        <v>2</v>
      </c>
      <c r="B2248">
        <v>0</v>
      </c>
      <c r="C2248">
        <v>11</v>
      </c>
      <c r="D2248">
        <v>2029</v>
      </c>
      <c r="E2248">
        <v>977519</v>
      </c>
    </row>
    <row r="2249" spans="1:5" x14ac:dyDescent="0.25">
      <c r="A2249">
        <v>2</v>
      </c>
      <c r="B2249">
        <v>0</v>
      </c>
      <c r="C2249">
        <v>11</v>
      </c>
      <c r="D2249">
        <v>2030</v>
      </c>
      <c r="E2249">
        <v>992559</v>
      </c>
    </row>
    <row r="2250" spans="1:5" x14ac:dyDescent="0.25">
      <c r="A2250">
        <v>2</v>
      </c>
      <c r="B2250">
        <v>0</v>
      </c>
      <c r="C2250">
        <v>11</v>
      </c>
      <c r="D2250">
        <v>2031</v>
      </c>
      <c r="E2250">
        <v>1007610</v>
      </c>
    </row>
    <row r="2251" spans="1:5" x14ac:dyDescent="0.25">
      <c r="A2251">
        <v>2</v>
      </c>
      <c r="B2251">
        <v>0</v>
      </c>
      <c r="C2251">
        <v>11</v>
      </c>
      <c r="D2251">
        <v>2032</v>
      </c>
      <c r="E2251">
        <v>1022616</v>
      </c>
    </row>
    <row r="2252" spans="1:5" x14ac:dyDescent="0.25">
      <c r="A2252">
        <v>2</v>
      </c>
      <c r="B2252">
        <v>0</v>
      </c>
      <c r="C2252">
        <v>11</v>
      </c>
      <c r="D2252">
        <v>2033</v>
      </c>
      <c r="E2252">
        <v>1037670</v>
      </c>
    </row>
    <row r="2253" spans="1:5" x14ac:dyDescent="0.25">
      <c r="A2253">
        <v>2</v>
      </c>
      <c r="B2253">
        <v>0</v>
      </c>
      <c r="C2253">
        <v>11</v>
      </c>
      <c r="D2253">
        <v>2034</v>
      </c>
      <c r="E2253">
        <v>1052796</v>
      </c>
    </row>
    <row r="2254" spans="1:5" x14ac:dyDescent="0.25">
      <c r="A2254">
        <v>2</v>
      </c>
      <c r="B2254">
        <v>0</v>
      </c>
      <c r="C2254">
        <v>11</v>
      </c>
      <c r="D2254">
        <v>2035</v>
      </c>
      <c r="E2254">
        <v>1067978</v>
      </c>
    </row>
    <row r="2255" spans="1:5" x14ac:dyDescent="0.25">
      <c r="A2255">
        <v>2</v>
      </c>
      <c r="B2255">
        <v>0</v>
      </c>
      <c r="C2255">
        <v>11</v>
      </c>
      <c r="D2255">
        <v>2036</v>
      </c>
      <c r="E2255">
        <v>1083187</v>
      </c>
    </row>
    <row r="2256" spans="1:5" x14ac:dyDescent="0.25">
      <c r="A2256">
        <v>2</v>
      </c>
      <c r="B2256">
        <v>0</v>
      </c>
      <c r="C2256">
        <v>11</v>
      </c>
      <c r="D2256">
        <v>2037</v>
      </c>
      <c r="E2256">
        <v>1098443</v>
      </c>
    </row>
    <row r="2257" spans="1:5" x14ac:dyDescent="0.25">
      <c r="A2257">
        <v>2</v>
      </c>
      <c r="B2257">
        <v>0</v>
      </c>
      <c r="C2257">
        <v>11</v>
      </c>
      <c r="D2257">
        <v>2038</v>
      </c>
      <c r="E2257">
        <v>1113666</v>
      </c>
    </row>
    <row r="2258" spans="1:5" x14ac:dyDescent="0.25">
      <c r="A2258">
        <v>2</v>
      </c>
      <c r="B2258">
        <v>0</v>
      </c>
      <c r="C2258">
        <v>11</v>
      </c>
      <c r="D2258">
        <v>2039</v>
      </c>
      <c r="E2258">
        <v>1128935</v>
      </c>
    </row>
    <row r="2259" spans="1:5" x14ac:dyDescent="0.25">
      <c r="A2259">
        <v>2</v>
      </c>
      <c r="B2259">
        <v>0</v>
      </c>
      <c r="C2259">
        <v>11</v>
      </c>
      <c r="D2259">
        <v>2040</v>
      </c>
      <c r="E2259">
        <v>1144159</v>
      </c>
    </row>
    <row r="2260" spans="1:5" x14ac:dyDescent="0.25">
      <c r="A2260">
        <v>2</v>
      </c>
      <c r="B2260">
        <v>0</v>
      </c>
      <c r="C2260">
        <v>11</v>
      </c>
      <c r="D2260">
        <v>2041</v>
      </c>
      <c r="E2260">
        <v>1159345</v>
      </c>
    </row>
    <row r="2261" spans="1:5" x14ac:dyDescent="0.25">
      <c r="A2261">
        <v>2</v>
      </c>
      <c r="B2261">
        <v>0</v>
      </c>
      <c r="C2261">
        <v>11</v>
      </c>
      <c r="D2261">
        <v>2042</v>
      </c>
      <c r="E2261">
        <v>1174474</v>
      </c>
    </row>
    <row r="2262" spans="1:5" x14ac:dyDescent="0.25">
      <c r="A2262">
        <v>2</v>
      </c>
      <c r="B2262">
        <v>0</v>
      </c>
      <c r="C2262">
        <v>11</v>
      </c>
      <c r="D2262">
        <v>2043</v>
      </c>
      <c r="E2262">
        <v>1189588</v>
      </c>
    </row>
    <row r="2263" spans="1:5" x14ac:dyDescent="0.25">
      <c r="A2263">
        <v>2</v>
      </c>
      <c r="B2263">
        <v>0</v>
      </c>
      <c r="C2263">
        <v>11</v>
      </c>
      <c r="D2263">
        <v>2044</v>
      </c>
      <c r="E2263">
        <v>1204637</v>
      </c>
    </row>
    <row r="2264" spans="1:5" x14ac:dyDescent="0.25">
      <c r="A2264">
        <v>2</v>
      </c>
      <c r="B2264">
        <v>0</v>
      </c>
      <c r="C2264">
        <v>11</v>
      </c>
      <c r="D2264">
        <v>2045</v>
      </c>
      <c r="E2264">
        <v>1219594</v>
      </c>
    </row>
    <row r="2265" spans="1:5" x14ac:dyDescent="0.25">
      <c r="A2265">
        <v>2</v>
      </c>
      <c r="B2265">
        <v>0</v>
      </c>
      <c r="C2265">
        <v>11</v>
      </c>
      <c r="D2265">
        <v>2046</v>
      </c>
      <c r="E2265">
        <v>1234478</v>
      </c>
    </row>
    <row r="2266" spans="1:5" x14ac:dyDescent="0.25">
      <c r="A2266">
        <v>2</v>
      </c>
      <c r="B2266">
        <v>0</v>
      </c>
      <c r="C2266">
        <v>11</v>
      </c>
      <c r="D2266">
        <v>2047</v>
      </c>
      <c r="E2266">
        <v>1249338</v>
      </c>
    </row>
    <row r="2267" spans="1:5" x14ac:dyDescent="0.25">
      <c r="A2267">
        <v>2</v>
      </c>
      <c r="B2267">
        <v>0</v>
      </c>
      <c r="C2267">
        <v>11</v>
      </c>
      <c r="D2267">
        <v>2048</v>
      </c>
      <c r="E2267">
        <v>1264061</v>
      </c>
    </row>
    <row r="2268" spans="1:5" x14ac:dyDescent="0.25">
      <c r="A2268">
        <v>2</v>
      </c>
      <c r="B2268">
        <v>0</v>
      </c>
      <c r="C2268">
        <v>11</v>
      </c>
      <c r="D2268">
        <v>2049</v>
      </c>
      <c r="E2268">
        <v>1278719</v>
      </c>
    </row>
    <row r="2269" spans="1:5" x14ac:dyDescent="0.25">
      <c r="A2269">
        <v>2</v>
      </c>
      <c r="B2269">
        <v>0</v>
      </c>
      <c r="C2269">
        <v>11</v>
      </c>
      <c r="D2269">
        <v>2050</v>
      </c>
      <c r="E2269">
        <v>1293317</v>
      </c>
    </row>
    <row r="2270" spans="1:5" x14ac:dyDescent="0.25">
      <c r="A2270">
        <v>2</v>
      </c>
      <c r="B2270">
        <v>1</v>
      </c>
      <c r="C2270">
        <v>0</v>
      </c>
      <c r="D2270">
        <v>2024</v>
      </c>
      <c r="E2270">
        <v>137262155</v>
      </c>
    </row>
    <row r="2271" spans="1:5" x14ac:dyDescent="0.25">
      <c r="A2271">
        <v>2</v>
      </c>
      <c r="B2271">
        <v>1</v>
      </c>
      <c r="C2271">
        <v>0</v>
      </c>
      <c r="D2271">
        <v>2025</v>
      </c>
      <c r="E2271">
        <v>137558452</v>
      </c>
    </row>
    <row r="2272" spans="1:5" x14ac:dyDescent="0.25">
      <c r="A2272">
        <v>2</v>
      </c>
      <c r="B2272">
        <v>1</v>
      </c>
      <c r="C2272">
        <v>0</v>
      </c>
      <c r="D2272">
        <v>2026</v>
      </c>
      <c r="E2272">
        <v>137837490</v>
      </c>
    </row>
    <row r="2273" spans="1:5" x14ac:dyDescent="0.25">
      <c r="A2273">
        <v>2</v>
      </c>
      <c r="B2273">
        <v>1</v>
      </c>
      <c r="C2273">
        <v>0</v>
      </c>
      <c r="D2273">
        <v>2027</v>
      </c>
      <c r="E2273">
        <v>138097582</v>
      </c>
    </row>
    <row r="2274" spans="1:5" x14ac:dyDescent="0.25">
      <c r="A2274">
        <v>2</v>
      </c>
      <c r="B2274">
        <v>1</v>
      </c>
      <c r="C2274">
        <v>0</v>
      </c>
      <c r="D2274">
        <v>2028</v>
      </c>
      <c r="E2274">
        <v>138336494</v>
      </c>
    </row>
    <row r="2275" spans="1:5" x14ac:dyDescent="0.25">
      <c r="A2275">
        <v>2</v>
      </c>
      <c r="B2275">
        <v>1</v>
      </c>
      <c r="C2275">
        <v>0</v>
      </c>
      <c r="D2275">
        <v>2029</v>
      </c>
      <c r="E2275">
        <v>138553416</v>
      </c>
    </row>
    <row r="2276" spans="1:5" x14ac:dyDescent="0.25">
      <c r="A2276">
        <v>2</v>
      </c>
      <c r="B2276">
        <v>1</v>
      </c>
      <c r="C2276">
        <v>0</v>
      </c>
      <c r="D2276">
        <v>2030</v>
      </c>
      <c r="E2276">
        <v>138745750</v>
      </c>
    </row>
    <row r="2277" spans="1:5" x14ac:dyDescent="0.25">
      <c r="A2277">
        <v>2</v>
      </c>
      <c r="B2277">
        <v>1</v>
      </c>
      <c r="C2277">
        <v>0</v>
      </c>
      <c r="D2277">
        <v>2031</v>
      </c>
      <c r="E2277">
        <v>138910561</v>
      </c>
    </row>
    <row r="2278" spans="1:5" x14ac:dyDescent="0.25">
      <c r="A2278">
        <v>2</v>
      </c>
      <c r="B2278">
        <v>1</v>
      </c>
      <c r="C2278">
        <v>0</v>
      </c>
      <c r="D2278">
        <v>2032</v>
      </c>
      <c r="E2278">
        <v>139044737</v>
      </c>
    </row>
    <row r="2279" spans="1:5" x14ac:dyDescent="0.25">
      <c r="A2279">
        <v>2</v>
      </c>
      <c r="B2279">
        <v>1</v>
      </c>
      <c r="C2279">
        <v>0</v>
      </c>
      <c r="D2279">
        <v>2033</v>
      </c>
      <c r="E2279">
        <v>139153552</v>
      </c>
    </row>
    <row r="2280" spans="1:5" x14ac:dyDescent="0.25">
      <c r="A2280">
        <v>2</v>
      </c>
      <c r="B2280">
        <v>1</v>
      </c>
      <c r="C2280">
        <v>0</v>
      </c>
      <c r="D2280">
        <v>2034</v>
      </c>
      <c r="E2280">
        <v>139236237</v>
      </c>
    </row>
    <row r="2281" spans="1:5" x14ac:dyDescent="0.25">
      <c r="A2281">
        <v>2</v>
      </c>
      <c r="B2281">
        <v>1</v>
      </c>
      <c r="C2281">
        <v>0</v>
      </c>
      <c r="D2281">
        <v>2035</v>
      </c>
      <c r="E2281">
        <v>139292192</v>
      </c>
    </row>
    <row r="2282" spans="1:5" x14ac:dyDescent="0.25">
      <c r="A2282">
        <v>2</v>
      </c>
      <c r="B2282">
        <v>1</v>
      </c>
      <c r="C2282">
        <v>0</v>
      </c>
      <c r="D2282">
        <v>2036</v>
      </c>
      <c r="E2282">
        <v>139321146</v>
      </c>
    </row>
    <row r="2283" spans="1:5" x14ac:dyDescent="0.25">
      <c r="A2283">
        <v>2</v>
      </c>
      <c r="B2283">
        <v>1</v>
      </c>
      <c r="C2283">
        <v>0</v>
      </c>
      <c r="D2283">
        <v>2037</v>
      </c>
      <c r="E2283">
        <v>139322864</v>
      </c>
    </row>
    <row r="2284" spans="1:5" x14ac:dyDescent="0.25">
      <c r="A2284">
        <v>2</v>
      </c>
      <c r="B2284">
        <v>1</v>
      </c>
      <c r="C2284">
        <v>0</v>
      </c>
      <c r="D2284">
        <v>2038</v>
      </c>
      <c r="E2284">
        <v>139297468</v>
      </c>
    </row>
    <row r="2285" spans="1:5" x14ac:dyDescent="0.25">
      <c r="A2285">
        <v>2</v>
      </c>
      <c r="B2285">
        <v>1</v>
      </c>
      <c r="C2285">
        <v>0</v>
      </c>
      <c r="D2285">
        <v>2039</v>
      </c>
      <c r="E2285">
        <v>139245462</v>
      </c>
    </row>
    <row r="2286" spans="1:5" x14ac:dyDescent="0.25">
      <c r="A2286">
        <v>2</v>
      </c>
      <c r="B2286">
        <v>1</v>
      </c>
      <c r="C2286">
        <v>0</v>
      </c>
      <c r="D2286">
        <v>2040</v>
      </c>
      <c r="E2286">
        <v>139167717</v>
      </c>
    </row>
    <row r="2287" spans="1:5" x14ac:dyDescent="0.25">
      <c r="A2287">
        <v>2</v>
      </c>
      <c r="B2287">
        <v>1</v>
      </c>
      <c r="C2287">
        <v>0</v>
      </c>
      <c r="D2287">
        <v>2041</v>
      </c>
      <c r="E2287">
        <v>139065365</v>
      </c>
    </row>
    <row r="2288" spans="1:5" x14ac:dyDescent="0.25">
      <c r="A2288">
        <v>2</v>
      </c>
      <c r="B2288">
        <v>1</v>
      </c>
      <c r="C2288">
        <v>0</v>
      </c>
      <c r="D2288">
        <v>2042</v>
      </c>
      <c r="E2288">
        <v>138940116</v>
      </c>
    </row>
    <row r="2289" spans="1:5" x14ac:dyDescent="0.25">
      <c r="A2289">
        <v>2</v>
      </c>
      <c r="B2289">
        <v>1</v>
      </c>
      <c r="C2289">
        <v>0</v>
      </c>
      <c r="D2289">
        <v>2043</v>
      </c>
      <c r="E2289">
        <v>138793858</v>
      </c>
    </row>
    <row r="2290" spans="1:5" x14ac:dyDescent="0.25">
      <c r="A2290">
        <v>2</v>
      </c>
      <c r="B2290">
        <v>1</v>
      </c>
      <c r="C2290">
        <v>0</v>
      </c>
      <c r="D2290">
        <v>2044</v>
      </c>
      <c r="E2290">
        <v>138628987</v>
      </c>
    </row>
    <row r="2291" spans="1:5" x14ac:dyDescent="0.25">
      <c r="A2291">
        <v>2</v>
      </c>
      <c r="B2291">
        <v>1</v>
      </c>
      <c r="C2291">
        <v>0</v>
      </c>
      <c r="D2291">
        <v>2045</v>
      </c>
      <c r="E2291">
        <v>138448275</v>
      </c>
    </row>
    <row r="2292" spans="1:5" x14ac:dyDescent="0.25">
      <c r="A2292">
        <v>2</v>
      </c>
      <c r="B2292">
        <v>1</v>
      </c>
      <c r="C2292">
        <v>0</v>
      </c>
      <c r="D2292">
        <v>2046</v>
      </c>
      <c r="E2292">
        <v>138254391</v>
      </c>
    </row>
    <row r="2293" spans="1:5" x14ac:dyDescent="0.25">
      <c r="A2293">
        <v>2</v>
      </c>
      <c r="B2293">
        <v>1</v>
      </c>
      <c r="C2293">
        <v>0</v>
      </c>
      <c r="D2293">
        <v>2047</v>
      </c>
      <c r="E2293">
        <v>138048993</v>
      </c>
    </row>
    <row r="2294" spans="1:5" x14ac:dyDescent="0.25">
      <c r="A2294">
        <v>2</v>
      </c>
      <c r="B2294">
        <v>1</v>
      </c>
      <c r="C2294">
        <v>0</v>
      </c>
      <c r="D2294">
        <v>2048</v>
      </c>
      <c r="E2294">
        <v>137834599</v>
      </c>
    </row>
    <row r="2295" spans="1:5" x14ac:dyDescent="0.25">
      <c r="A2295">
        <v>2</v>
      </c>
      <c r="B2295">
        <v>1</v>
      </c>
      <c r="C2295">
        <v>0</v>
      </c>
      <c r="D2295">
        <v>2049</v>
      </c>
      <c r="E2295">
        <v>137613859</v>
      </c>
    </row>
    <row r="2296" spans="1:5" x14ac:dyDescent="0.25">
      <c r="A2296">
        <v>2</v>
      </c>
      <c r="B2296">
        <v>1</v>
      </c>
      <c r="C2296">
        <v>0</v>
      </c>
      <c r="D2296">
        <v>2050</v>
      </c>
      <c r="E2296">
        <v>137389365</v>
      </c>
    </row>
    <row r="2297" spans="1:5" x14ac:dyDescent="0.25">
      <c r="A2297">
        <v>2</v>
      </c>
      <c r="B2297">
        <v>1</v>
      </c>
      <c r="C2297">
        <v>1</v>
      </c>
      <c r="D2297">
        <v>2024</v>
      </c>
      <c r="E2297">
        <v>98483326</v>
      </c>
    </row>
    <row r="2298" spans="1:5" x14ac:dyDescent="0.25">
      <c r="A2298">
        <v>2</v>
      </c>
      <c r="B2298">
        <v>1</v>
      </c>
      <c r="C2298">
        <v>1</v>
      </c>
      <c r="D2298">
        <v>2025</v>
      </c>
      <c r="E2298">
        <v>98344170</v>
      </c>
    </row>
    <row r="2299" spans="1:5" x14ac:dyDescent="0.25">
      <c r="A2299">
        <v>2</v>
      </c>
      <c r="B2299">
        <v>1</v>
      </c>
      <c r="C2299">
        <v>1</v>
      </c>
      <c r="D2299">
        <v>2026</v>
      </c>
      <c r="E2299">
        <v>98186259</v>
      </c>
    </row>
    <row r="2300" spans="1:5" x14ac:dyDescent="0.25">
      <c r="A2300">
        <v>2</v>
      </c>
      <c r="B2300">
        <v>1</v>
      </c>
      <c r="C2300">
        <v>1</v>
      </c>
      <c r="D2300">
        <v>2027</v>
      </c>
      <c r="E2300">
        <v>98008818</v>
      </c>
    </row>
    <row r="2301" spans="1:5" x14ac:dyDescent="0.25">
      <c r="A2301">
        <v>2</v>
      </c>
      <c r="B2301">
        <v>1</v>
      </c>
      <c r="C2301">
        <v>1</v>
      </c>
      <c r="D2301">
        <v>2028</v>
      </c>
      <c r="E2301">
        <v>97810787</v>
      </c>
    </row>
    <row r="2302" spans="1:5" x14ac:dyDescent="0.25">
      <c r="A2302">
        <v>2</v>
      </c>
      <c r="B2302">
        <v>1</v>
      </c>
      <c r="C2302">
        <v>1</v>
      </c>
      <c r="D2302">
        <v>2029</v>
      </c>
      <c r="E2302">
        <v>97591610</v>
      </c>
    </row>
    <row r="2303" spans="1:5" x14ac:dyDescent="0.25">
      <c r="A2303">
        <v>2</v>
      </c>
      <c r="B2303">
        <v>1</v>
      </c>
      <c r="C2303">
        <v>1</v>
      </c>
      <c r="D2303">
        <v>2030</v>
      </c>
      <c r="E2303">
        <v>97350232</v>
      </c>
    </row>
    <row r="2304" spans="1:5" x14ac:dyDescent="0.25">
      <c r="A2304">
        <v>2</v>
      </c>
      <c r="B2304">
        <v>1</v>
      </c>
      <c r="C2304">
        <v>1</v>
      </c>
      <c r="D2304">
        <v>2031</v>
      </c>
      <c r="E2304">
        <v>97085526</v>
      </c>
    </row>
    <row r="2305" spans="1:5" x14ac:dyDescent="0.25">
      <c r="A2305">
        <v>2</v>
      </c>
      <c r="B2305">
        <v>1</v>
      </c>
      <c r="C2305">
        <v>1</v>
      </c>
      <c r="D2305">
        <v>2032</v>
      </c>
      <c r="E2305">
        <v>96796151</v>
      </c>
    </row>
    <row r="2306" spans="1:5" x14ac:dyDescent="0.25">
      <c r="A2306">
        <v>2</v>
      </c>
      <c r="B2306">
        <v>1</v>
      </c>
      <c r="C2306">
        <v>1</v>
      </c>
      <c r="D2306">
        <v>2033</v>
      </c>
      <c r="E2306">
        <v>96483571</v>
      </c>
    </row>
    <row r="2307" spans="1:5" x14ac:dyDescent="0.25">
      <c r="A2307">
        <v>2</v>
      </c>
      <c r="B2307">
        <v>1</v>
      </c>
      <c r="C2307">
        <v>1</v>
      </c>
      <c r="D2307">
        <v>2034</v>
      </c>
      <c r="E2307">
        <v>96147336</v>
      </c>
    </row>
    <row r="2308" spans="1:5" x14ac:dyDescent="0.25">
      <c r="A2308">
        <v>2</v>
      </c>
      <c r="B2308">
        <v>1</v>
      </c>
      <c r="C2308">
        <v>1</v>
      </c>
      <c r="D2308">
        <v>2035</v>
      </c>
      <c r="E2308">
        <v>95787132</v>
      </c>
    </row>
    <row r="2309" spans="1:5" x14ac:dyDescent="0.25">
      <c r="A2309">
        <v>2</v>
      </c>
      <c r="B2309">
        <v>1</v>
      </c>
      <c r="C2309">
        <v>1</v>
      </c>
      <c r="D2309">
        <v>2036</v>
      </c>
      <c r="E2309">
        <v>95402902</v>
      </c>
    </row>
    <row r="2310" spans="1:5" x14ac:dyDescent="0.25">
      <c r="A2310">
        <v>2</v>
      </c>
      <c r="B2310">
        <v>1</v>
      </c>
      <c r="C2310">
        <v>1</v>
      </c>
      <c r="D2310">
        <v>2037</v>
      </c>
      <c r="E2310">
        <v>94994735</v>
      </c>
    </row>
    <row r="2311" spans="1:5" x14ac:dyDescent="0.25">
      <c r="A2311">
        <v>2</v>
      </c>
      <c r="B2311">
        <v>1</v>
      </c>
      <c r="C2311">
        <v>1</v>
      </c>
      <c r="D2311">
        <v>2038</v>
      </c>
      <c r="E2311">
        <v>94563023</v>
      </c>
    </row>
    <row r="2312" spans="1:5" x14ac:dyDescent="0.25">
      <c r="A2312">
        <v>2</v>
      </c>
      <c r="B2312">
        <v>1</v>
      </c>
      <c r="C2312">
        <v>1</v>
      </c>
      <c r="D2312">
        <v>2039</v>
      </c>
      <c r="E2312">
        <v>94108442</v>
      </c>
    </row>
    <row r="2313" spans="1:5" x14ac:dyDescent="0.25">
      <c r="A2313">
        <v>2</v>
      </c>
      <c r="B2313">
        <v>1</v>
      </c>
      <c r="C2313">
        <v>1</v>
      </c>
      <c r="D2313">
        <v>2040</v>
      </c>
      <c r="E2313">
        <v>93631986</v>
      </c>
    </row>
    <row r="2314" spans="1:5" x14ac:dyDescent="0.25">
      <c r="A2314">
        <v>2</v>
      </c>
      <c r="B2314">
        <v>1</v>
      </c>
      <c r="C2314">
        <v>1</v>
      </c>
      <c r="D2314">
        <v>2041</v>
      </c>
      <c r="E2314">
        <v>93134896</v>
      </c>
    </row>
    <row r="2315" spans="1:5" x14ac:dyDescent="0.25">
      <c r="A2315">
        <v>2</v>
      </c>
      <c r="B2315">
        <v>1</v>
      </c>
      <c r="C2315">
        <v>1</v>
      </c>
      <c r="D2315">
        <v>2042</v>
      </c>
      <c r="E2315">
        <v>92618774</v>
      </c>
    </row>
    <row r="2316" spans="1:5" x14ac:dyDescent="0.25">
      <c r="A2316">
        <v>2</v>
      </c>
      <c r="B2316">
        <v>1</v>
      </c>
      <c r="C2316">
        <v>1</v>
      </c>
      <c r="D2316">
        <v>2043</v>
      </c>
      <c r="E2316">
        <v>92085390</v>
      </c>
    </row>
    <row r="2317" spans="1:5" x14ac:dyDescent="0.25">
      <c r="A2317">
        <v>2</v>
      </c>
      <c r="B2317">
        <v>1</v>
      </c>
      <c r="C2317">
        <v>1</v>
      </c>
      <c r="D2317">
        <v>2044</v>
      </c>
      <c r="E2317">
        <v>91536976</v>
      </c>
    </row>
    <row r="2318" spans="1:5" x14ac:dyDescent="0.25">
      <c r="A2318">
        <v>2</v>
      </c>
      <c r="B2318">
        <v>1</v>
      </c>
      <c r="C2318">
        <v>1</v>
      </c>
      <c r="D2318">
        <v>2045</v>
      </c>
      <c r="E2318">
        <v>90976005</v>
      </c>
    </row>
    <row r="2319" spans="1:5" x14ac:dyDescent="0.25">
      <c r="A2319">
        <v>2</v>
      </c>
      <c r="B2319">
        <v>1</v>
      </c>
      <c r="C2319">
        <v>1</v>
      </c>
      <c r="D2319">
        <v>2046</v>
      </c>
      <c r="E2319">
        <v>90404853</v>
      </c>
    </row>
    <row r="2320" spans="1:5" x14ac:dyDescent="0.25">
      <c r="A2320">
        <v>2</v>
      </c>
      <c r="B2320">
        <v>1</v>
      </c>
      <c r="C2320">
        <v>1</v>
      </c>
      <c r="D2320">
        <v>2047</v>
      </c>
      <c r="E2320">
        <v>89824925</v>
      </c>
    </row>
    <row r="2321" spans="1:5" x14ac:dyDescent="0.25">
      <c r="A2321">
        <v>2</v>
      </c>
      <c r="B2321">
        <v>1</v>
      </c>
      <c r="C2321">
        <v>1</v>
      </c>
      <c r="D2321">
        <v>2048</v>
      </c>
      <c r="E2321">
        <v>89238494</v>
      </c>
    </row>
    <row r="2322" spans="1:5" x14ac:dyDescent="0.25">
      <c r="A2322">
        <v>2</v>
      </c>
      <c r="B2322">
        <v>1</v>
      </c>
      <c r="C2322">
        <v>1</v>
      </c>
      <c r="D2322">
        <v>2049</v>
      </c>
      <c r="E2322">
        <v>88647879</v>
      </c>
    </row>
    <row r="2323" spans="1:5" x14ac:dyDescent="0.25">
      <c r="A2323">
        <v>2</v>
      </c>
      <c r="B2323">
        <v>1</v>
      </c>
      <c r="C2323">
        <v>1</v>
      </c>
      <c r="D2323">
        <v>2050</v>
      </c>
      <c r="E2323">
        <v>88055358</v>
      </c>
    </row>
    <row r="2324" spans="1:5" x14ac:dyDescent="0.25">
      <c r="A2324">
        <v>2</v>
      </c>
      <c r="B2324">
        <v>1</v>
      </c>
      <c r="C2324">
        <v>2</v>
      </c>
      <c r="D2324">
        <v>2024</v>
      </c>
      <c r="E2324">
        <v>22087708</v>
      </c>
    </row>
    <row r="2325" spans="1:5" x14ac:dyDescent="0.25">
      <c r="A2325">
        <v>2</v>
      </c>
      <c r="B2325">
        <v>1</v>
      </c>
      <c r="C2325">
        <v>2</v>
      </c>
      <c r="D2325">
        <v>2025</v>
      </c>
      <c r="E2325">
        <v>22208153</v>
      </c>
    </row>
    <row r="2326" spans="1:5" x14ac:dyDescent="0.25">
      <c r="A2326">
        <v>2</v>
      </c>
      <c r="B2326">
        <v>1</v>
      </c>
      <c r="C2326">
        <v>2</v>
      </c>
      <c r="D2326">
        <v>2026</v>
      </c>
      <c r="E2326">
        <v>22327817</v>
      </c>
    </row>
    <row r="2327" spans="1:5" x14ac:dyDescent="0.25">
      <c r="A2327">
        <v>2</v>
      </c>
      <c r="B2327">
        <v>1</v>
      </c>
      <c r="C2327">
        <v>2</v>
      </c>
      <c r="D2327">
        <v>2027</v>
      </c>
      <c r="E2327">
        <v>22446437</v>
      </c>
    </row>
    <row r="2328" spans="1:5" x14ac:dyDescent="0.25">
      <c r="A2328">
        <v>2</v>
      </c>
      <c r="B2328">
        <v>1</v>
      </c>
      <c r="C2328">
        <v>2</v>
      </c>
      <c r="D2328">
        <v>2028</v>
      </c>
      <c r="E2328">
        <v>22563447</v>
      </c>
    </row>
    <row r="2329" spans="1:5" x14ac:dyDescent="0.25">
      <c r="A2329">
        <v>2</v>
      </c>
      <c r="B2329">
        <v>1</v>
      </c>
      <c r="C2329">
        <v>2</v>
      </c>
      <c r="D2329">
        <v>2029</v>
      </c>
      <c r="E2329">
        <v>22678496</v>
      </c>
    </row>
    <row r="2330" spans="1:5" x14ac:dyDescent="0.25">
      <c r="A2330">
        <v>2</v>
      </c>
      <c r="B2330">
        <v>1</v>
      </c>
      <c r="C2330">
        <v>2</v>
      </c>
      <c r="D2330">
        <v>2030</v>
      </c>
      <c r="E2330">
        <v>22791014</v>
      </c>
    </row>
    <row r="2331" spans="1:5" x14ac:dyDescent="0.25">
      <c r="A2331">
        <v>2</v>
      </c>
      <c r="B2331">
        <v>1</v>
      </c>
      <c r="C2331">
        <v>2</v>
      </c>
      <c r="D2331">
        <v>2031</v>
      </c>
      <c r="E2331">
        <v>22900528</v>
      </c>
    </row>
    <row r="2332" spans="1:5" x14ac:dyDescent="0.25">
      <c r="A2332">
        <v>2</v>
      </c>
      <c r="B2332">
        <v>1</v>
      </c>
      <c r="C2332">
        <v>2</v>
      </c>
      <c r="D2332">
        <v>2032</v>
      </c>
      <c r="E2332">
        <v>23006495</v>
      </c>
    </row>
    <row r="2333" spans="1:5" x14ac:dyDescent="0.25">
      <c r="A2333">
        <v>2</v>
      </c>
      <c r="B2333">
        <v>1</v>
      </c>
      <c r="C2333">
        <v>2</v>
      </c>
      <c r="D2333">
        <v>2033</v>
      </c>
      <c r="E2333">
        <v>23109860</v>
      </c>
    </row>
    <row r="2334" spans="1:5" x14ac:dyDescent="0.25">
      <c r="A2334">
        <v>2</v>
      </c>
      <c r="B2334">
        <v>1</v>
      </c>
      <c r="C2334">
        <v>2</v>
      </c>
      <c r="D2334">
        <v>2034</v>
      </c>
      <c r="E2334">
        <v>23210490</v>
      </c>
    </row>
    <row r="2335" spans="1:5" x14ac:dyDescent="0.25">
      <c r="A2335">
        <v>2</v>
      </c>
      <c r="B2335">
        <v>1</v>
      </c>
      <c r="C2335">
        <v>2</v>
      </c>
      <c r="D2335">
        <v>2035</v>
      </c>
      <c r="E2335">
        <v>23308429</v>
      </c>
    </row>
    <row r="2336" spans="1:5" x14ac:dyDescent="0.25">
      <c r="A2336">
        <v>2</v>
      </c>
      <c r="B2336">
        <v>1</v>
      </c>
      <c r="C2336">
        <v>2</v>
      </c>
      <c r="D2336">
        <v>2036</v>
      </c>
      <c r="E2336">
        <v>23403666</v>
      </c>
    </row>
    <row r="2337" spans="1:5" x14ac:dyDescent="0.25">
      <c r="A2337">
        <v>2</v>
      </c>
      <c r="B2337">
        <v>1</v>
      </c>
      <c r="C2337">
        <v>2</v>
      </c>
      <c r="D2337">
        <v>2037</v>
      </c>
      <c r="E2337">
        <v>23496210</v>
      </c>
    </row>
    <row r="2338" spans="1:5" x14ac:dyDescent="0.25">
      <c r="A2338">
        <v>2</v>
      </c>
      <c r="B2338">
        <v>1</v>
      </c>
      <c r="C2338">
        <v>2</v>
      </c>
      <c r="D2338">
        <v>2038</v>
      </c>
      <c r="E2338">
        <v>23586093</v>
      </c>
    </row>
    <row r="2339" spans="1:5" x14ac:dyDescent="0.25">
      <c r="A2339">
        <v>2</v>
      </c>
      <c r="B2339">
        <v>1</v>
      </c>
      <c r="C2339">
        <v>2</v>
      </c>
      <c r="D2339">
        <v>2039</v>
      </c>
      <c r="E2339">
        <v>23673322</v>
      </c>
    </row>
    <row r="2340" spans="1:5" x14ac:dyDescent="0.25">
      <c r="A2340">
        <v>2</v>
      </c>
      <c r="B2340">
        <v>1</v>
      </c>
      <c r="C2340">
        <v>2</v>
      </c>
      <c r="D2340">
        <v>2040</v>
      </c>
      <c r="E2340">
        <v>23757985</v>
      </c>
    </row>
    <row r="2341" spans="1:5" x14ac:dyDescent="0.25">
      <c r="A2341">
        <v>2</v>
      </c>
      <c r="B2341">
        <v>1</v>
      </c>
      <c r="C2341">
        <v>2</v>
      </c>
      <c r="D2341">
        <v>2041</v>
      </c>
      <c r="E2341">
        <v>23840172</v>
      </c>
    </row>
    <row r="2342" spans="1:5" x14ac:dyDescent="0.25">
      <c r="A2342">
        <v>2</v>
      </c>
      <c r="B2342">
        <v>1</v>
      </c>
      <c r="C2342">
        <v>2</v>
      </c>
      <c r="D2342">
        <v>2042</v>
      </c>
      <c r="E2342">
        <v>23919963</v>
      </c>
    </row>
    <row r="2343" spans="1:5" x14ac:dyDescent="0.25">
      <c r="A2343">
        <v>2</v>
      </c>
      <c r="B2343">
        <v>1</v>
      </c>
      <c r="C2343">
        <v>2</v>
      </c>
      <c r="D2343">
        <v>2043</v>
      </c>
      <c r="E2343">
        <v>23997430</v>
      </c>
    </row>
    <row r="2344" spans="1:5" x14ac:dyDescent="0.25">
      <c r="A2344">
        <v>2</v>
      </c>
      <c r="B2344">
        <v>1</v>
      </c>
      <c r="C2344">
        <v>2</v>
      </c>
      <c r="D2344">
        <v>2044</v>
      </c>
      <c r="E2344">
        <v>24072757</v>
      </c>
    </row>
    <row r="2345" spans="1:5" x14ac:dyDescent="0.25">
      <c r="A2345">
        <v>2</v>
      </c>
      <c r="B2345">
        <v>1</v>
      </c>
      <c r="C2345">
        <v>2</v>
      </c>
      <c r="D2345">
        <v>2045</v>
      </c>
      <c r="E2345">
        <v>24146232</v>
      </c>
    </row>
    <row r="2346" spans="1:5" x14ac:dyDescent="0.25">
      <c r="A2346">
        <v>2</v>
      </c>
      <c r="B2346">
        <v>1</v>
      </c>
      <c r="C2346">
        <v>2</v>
      </c>
      <c r="D2346">
        <v>2046</v>
      </c>
      <c r="E2346">
        <v>24218092</v>
      </c>
    </row>
    <row r="2347" spans="1:5" x14ac:dyDescent="0.25">
      <c r="A2347">
        <v>2</v>
      </c>
      <c r="B2347">
        <v>1</v>
      </c>
      <c r="C2347">
        <v>2</v>
      </c>
      <c r="D2347">
        <v>2047</v>
      </c>
      <c r="E2347">
        <v>24288567</v>
      </c>
    </row>
    <row r="2348" spans="1:5" x14ac:dyDescent="0.25">
      <c r="A2348">
        <v>2</v>
      </c>
      <c r="B2348">
        <v>1</v>
      </c>
      <c r="C2348">
        <v>2</v>
      </c>
      <c r="D2348">
        <v>2048</v>
      </c>
      <c r="E2348">
        <v>24357942</v>
      </c>
    </row>
    <row r="2349" spans="1:5" x14ac:dyDescent="0.25">
      <c r="A2349">
        <v>2</v>
      </c>
      <c r="B2349">
        <v>1</v>
      </c>
      <c r="C2349">
        <v>2</v>
      </c>
      <c r="D2349">
        <v>2049</v>
      </c>
      <c r="E2349">
        <v>24426488</v>
      </c>
    </row>
    <row r="2350" spans="1:5" x14ac:dyDescent="0.25">
      <c r="A2350">
        <v>2</v>
      </c>
      <c r="B2350">
        <v>1</v>
      </c>
      <c r="C2350">
        <v>2</v>
      </c>
      <c r="D2350">
        <v>2050</v>
      </c>
      <c r="E2350">
        <v>24494540</v>
      </c>
    </row>
    <row r="2351" spans="1:5" x14ac:dyDescent="0.25">
      <c r="A2351">
        <v>2</v>
      </c>
      <c r="B2351">
        <v>1</v>
      </c>
      <c r="C2351">
        <v>3</v>
      </c>
      <c r="D2351">
        <v>2024</v>
      </c>
      <c r="E2351">
        <v>1230285</v>
      </c>
    </row>
    <row r="2352" spans="1:5" x14ac:dyDescent="0.25">
      <c r="A2352">
        <v>2</v>
      </c>
      <c r="B2352">
        <v>1</v>
      </c>
      <c r="C2352">
        <v>3</v>
      </c>
      <c r="D2352">
        <v>2025</v>
      </c>
      <c r="E2352">
        <v>1233447</v>
      </c>
    </row>
    <row r="2353" spans="1:5" x14ac:dyDescent="0.25">
      <c r="A2353">
        <v>2</v>
      </c>
      <c r="B2353">
        <v>1</v>
      </c>
      <c r="C2353">
        <v>3</v>
      </c>
      <c r="D2353">
        <v>2026</v>
      </c>
      <c r="E2353">
        <v>1236457</v>
      </c>
    </row>
    <row r="2354" spans="1:5" x14ac:dyDescent="0.25">
      <c r="A2354">
        <v>2</v>
      </c>
      <c r="B2354">
        <v>1</v>
      </c>
      <c r="C2354">
        <v>3</v>
      </c>
      <c r="D2354">
        <v>2027</v>
      </c>
      <c r="E2354">
        <v>1239322</v>
      </c>
    </row>
    <row r="2355" spans="1:5" x14ac:dyDescent="0.25">
      <c r="A2355">
        <v>2</v>
      </c>
      <c r="B2355">
        <v>1</v>
      </c>
      <c r="C2355">
        <v>3</v>
      </c>
      <c r="D2355">
        <v>2028</v>
      </c>
      <c r="E2355">
        <v>1242025</v>
      </c>
    </row>
    <row r="2356" spans="1:5" x14ac:dyDescent="0.25">
      <c r="A2356">
        <v>2</v>
      </c>
      <c r="B2356">
        <v>1</v>
      </c>
      <c r="C2356">
        <v>3</v>
      </c>
      <c r="D2356">
        <v>2029</v>
      </c>
      <c r="E2356">
        <v>1244527</v>
      </c>
    </row>
    <row r="2357" spans="1:5" x14ac:dyDescent="0.25">
      <c r="A2357">
        <v>2</v>
      </c>
      <c r="B2357">
        <v>1</v>
      </c>
      <c r="C2357">
        <v>3</v>
      </c>
      <c r="D2357">
        <v>2030</v>
      </c>
      <c r="E2357">
        <v>1246808</v>
      </c>
    </row>
    <row r="2358" spans="1:5" x14ac:dyDescent="0.25">
      <c r="A2358">
        <v>2</v>
      </c>
      <c r="B2358">
        <v>1</v>
      </c>
      <c r="C2358">
        <v>3</v>
      </c>
      <c r="D2358">
        <v>2031</v>
      </c>
      <c r="E2358">
        <v>1248864</v>
      </c>
    </row>
    <row r="2359" spans="1:5" x14ac:dyDescent="0.25">
      <c r="A2359">
        <v>2</v>
      </c>
      <c r="B2359">
        <v>1</v>
      </c>
      <c r="C2359">
        <v>3</v>
      </c>
      <c r="D2359">
        <v>2032</v>
      </c>
      <c r="E2359">
        <v>1250657</v>
      </c>
    </row>
    <row r="2360" spans="1:5" x14ac:dyDescent="0.25">
      <c r="A2360">
        <v>2</v>
      </c>
      <c r="B2360">
        <v>1</v>
      </c>
      <c r="C2360">
        <v>3</v>
      </c>
      <c r="D2360">
        <v>2033</v>
      </c>
      <c r="E2360">
        <v>1252167</v>
      </c>
    </row>
    <row r="2361" spans="1:5" x14ac:dyDescent="0.25">
      <c r="A2361">
        <v>2</v>
      </c>
      <c r="B2361">
        <v>1</v>
      </c>
      <c r="C2361">
        <v>3</v>
      </c>
      <c r="D2361">
        <v>2034</v>
      </c>
      <c r="E2361">
        <v>1253388</v>
      </c>
    </row>
    <row r="2362" spans="1:5" x14ac:dyDescent="0.25">
      <c r="A2362">
        <v>2</v>
      </c>
      <c r="B2362">
        <v>1</v>
      </c>
      <c r="C2362">
        <v>3</v>
      </c>
      <c r="D2362">
        <v>2035</v>
      </c>
      <c r="E2362">
        <v>1254308</v>
      </c>
    </row>
    <row r="2363" spans="1:5" x14ac:dyDescent="0.25">
      <c r="A2363">
        <v>2</v>
      </c>
      <c r="B2363">
        <v>1</v>
      </c>
      <c r="C2363">
        <v>3</v>
      </c>
      <c r="D2363">
        <v>2036</v>
      </c>
      <c r="E2363">
        <v>1254897</v>
      </c>
    </row>
    <row r="2364" spans="1:5" x14ac:dyDescent="0.25">
      <c r="A2364">
        <v>2</v>
      </c>
      <c r="B2364">
        <v>1</v>
      </c>
      <c r="C2364">
        <v>3</v>
      </c>
      <c r="D2364">
        <v>2037</v>
      </c>
      <c r="E2364">
        <v>1255147</v>
      </c>
    </row>
    <row r="2365" spans="1:5" x14ac:dyDescent="0.25">
      <c r="A2365">
        <v>2</v>
      </c>
      <c r="B2365">
        <v>1</v>
      </c>
      <c r="C2365">
        <v>3</v>
      </c>
      <c r="D2365">
        <v>2038</v>
      </c>
      <c r="E2365">
        <v>1255052</v>
      </c>
    </row>
    <row r="2366" spans="1:5" x14ac:dyDescent="0.25">
      <c r="A2366">
        <v>2</v>
      </c>
      <c r="B2366">
        <v>1</v>
      </c>
      <c r="C2366">
        <v>3</v>
      </c>
      <c r="D2366">
        <v>2039</v>
      </c>
      <c r="E2366">
        <v>1254610</v>
      </c>
    </row>
    <row r="2367" spans="1:5" x14ac:dyDescent="0.25">
      <c r="A2367">
        <v>2</v>
      </c>
      <c r="B2367">
        <v>1</v>
      </c>
      <c r="C2367">
        <v>3</v>
      </c>
      <c r="D2367">
        <v>2040</v>
      </c>
      <c r="E2367">
        <v>1253817</v>
      </c>
    </row>
    <row r="2368" spans="1:5" x14ac:dyDescent="0.25">
      <c r="A2368">
        <v>2</v>
      </c>
      <c r="B2368">
        <v>1</v>
      </c>
      <c r="C2368">
        <v>3</v>
      </c>
      <c r="D2368">
        <v>2041</v>
      </c>
      <c r="E2368">
        <v>1252653</v>
      </c>
    </row>
    <row r="2369" spans="1:5" x14ac:dyDescent="0.25">
      <c r="A2369">
        <v>2</v>
      </c>
      <c r="B2369">
        <v>1</v>
      </c>
      <c r="C2369">
        <v>3</v>
      </c>
      <c r="D2369">
        <v>2042</v>
      </c>
      <c r="E2369">
        <v>1251148</v>
      </c>
    </row>
    <row r="2370" spans="1:5" x14ac:dyDescent="0.25">
      <c r="A2370">
        <v>2</v>
      </c>
      <c r="B2370">
        <v>1</v>
      </c>
      <c r="C2370">
        <v>3</v>
      </c>
      <c r="D2370">
        <v>2043</v>
      </c>
      <c r="E2370">
        <v>1249307</v>
      </c>
    </row>
    <row r="2371" spans="1:5" x14ac:dyDescent="0.25">
      <c r="A2371">
        <v>2</v>
      </c>
      <c r="B2371">
        <v>1</v>
      </c>
      <c r="C2371">
        <v>3</v>
      </c>
      <c r="D2371">
        <v>2044</v>
      </c>
      <c r="E2371">
        <v>1247154</v>
      </c>
    </row>
    <row r="2372" spans="1:5" x14ac:dyDescent="0.25">
      <c r="A2372">
        <v>2</v>
      </c>
      <c r="B2372">
        <v>1</v>
      </c>
      <c r="C2372">
        <v>3</v>
      </c>
      <c r="D2372">
        <v>2045</v>
      </c>
      <c r="E2372">
        <v>1244701</v>
      </c>
    </row>
    <row r="2373" spans="1:5" x14ac:dyDescent="0.25">
      <c r="A2373">
        <v>2</v>
      </c>
      <c r="B2373">
        <v>1</v>
      </c>
      <c r="C2373">
        <v>3</v>
      </c>
      <c r="D2373">
        <v>2046</v>
      </c>
      <c r="E2373">
        <v>1241966</v>
      </c>
    </row>
    <row r="2374" spans="1:5" x14ac:dyDescent="0.25">
      <c r="A2374">
        <v>2</v>
      </c>
      <c r="B2374">
        <v>1</v>
      </c>
      <c r="C2374">
        <v>3</v>
      </c>
      <c r="D2374">
        <v>2047</v>
      </c>
      <c r="E2374">
        <v>1238967</v>
      </c>
    </row>
    <row r="2375" spans="1:5" x14ac:dyDescent="0.25">
      <c r="A2375">
        <v>2</v>
      </c>
      <c r="B2375">
        <v>1</v>
      </c>
      <c r="C2375">
        <v>3</v>
      </c>
      <c r="D2375">
        <v>2048</v>
      </c>
      <c r="E2375">
        <v>1235728</v>
      </c>
    </row>
    <row r="2376" spans="1:5" x14ac:dyDescent="0.25">
      <c r="A2376">
        <v>2</v>
      </c>
      <c r="B2376">
        <v>1</v>
      </c>
      <c r="C2376">
        <v>3</v>
      </c>
      <c r="D2376">
        <v>2049</v>
      </c>
      <c r="E2376">
        <v>1232267</v>
      </c>
    </row>
    <row r="2377" spans="1:5" x14ac:dyDescent="0.25">
      <c r="A2377">
        <v>2</v>
      </c>
      <c r="B2377">
        <v>1</v>
      </c>
      <c r="C2377">
        <v>3</v>
      </c>
      <c r="D2377">
        <v>2050</v>
      </c>
      <c r="E2377">
        <v>1228606</v>
      </c>
    </row>
    <row r="2378" spans="1:5" x14ac:dyDescent="0.25">
      <c r="A2378">
        <v>2</v>
      </c>
      <c r="B2378">
        <v>1</v>
      </c>
      <c r="C2378">
        <v>4</v>
      </c>
      <c r="D2378">
        <v>2024</v>
      </c>
      <c r="E2378">
        <v>10914437</v>
      </c>
    </row>
    <row r="2379" spans="1:5" x14ac:dyDescent="0.25">
      <c r="A2379">
        <v>2</v>
      </c>
      <c r="B2379">
        <v>1</v>
      </c>
      <c r="C2379">
        <v>4</v>
      </c>
      <c r="D2379">
        <v>2025</v>
      </c>
      <c r="E2379">
        <v>11118939</v>
      </c>
    </row>
    <row r="2380" spans="1:5" x14ac:dyDescent="0.25">
      <c r="A2380">
        <v>2</v>
      </c>
      <c r="B2380">
        <v>1</v>
      </c>
      <c r="C2380">
        <v>4</v>
      </c>
      <c r="D2380">
        <v>2026</v>
      </c>
      <c r="E2380">
        <v>11323968</v>
      </c>
    </row>
    <row r="2381" spans="1:5" x14ac:dyDescent="0.25">
      <c r="A2381">
        <v>2</v>
      </c>
      <c r="B2381">
        <v>1</v>
      </c>
      <c r="C2381">
        <v>4</v>
      </c>
      <c r="D2381">
        <v>2027</v>
      </c>
      <c r="E2381">
        <v>11528938</v>
      </c>
    </row>
    <row r="2382" spans="1:5" x14ac:dyDescent="0.25">
      <c r="A2382">
        <v>2</v>
      </c>
      <c r="B2382">
        <v>1</v>
      </c>
      <c r="C2382">
        <v>4</v>
      </c>
      <c r="D2382">
        <v>2028</v>
      </c>
      <c r="E2382">
        <v>11733361</v>
      </c>
    </row>
    <row r="2383" spans="1:5" x14ac:dyDescent="0.25">
      <c r="A2383">
        <v>2</v>
      </c>
      <c r="B2383">
        <v>1</v>
      </c>
      <c r="C2383">
        <v>4</v>
      </c>
      <c r="D2383">
        <v>2029</v>
      </c>
      <c r="E2383">
        <v>11937392</v>
      </c>
    </row>
    <row r="2384" spans="1:5" x14ac:dyDescent="0.25">
      <c r="A2384">
        <v>2</v>
      </c>
      <c r="B2384">
        <v>1</v>
      </c>
      <c r="C2384">
        <v>4</v>
      </c>
      <c r="D2384">
        <v>2030</v>
      </c>
      <c r="E2384">
        <v>12140136</v>
      </c>
    </row>
    <row r="2385" spans="1:5" x14ac:dyDescent="0.25">
      <c r="A2385">
        <v>2</v>
      </c>
      <c r="B2385">
        <v>1</v>
      </c>
      <c r="C2385">
        <v>4</v>
      </c>
      <c r="D2385">
        <v>2031</v>
      </c>
      <c r="E2385">
        <v>12340411</v>
      </c>
    </row>
    <row r="2386" spans="1:5" x14ac:dyDescent="0.25">
      <c r="A2386">
        <v>2</v>
      </c>
      <c r="B2386">
        <v>1</v>
      </c>
      <c r="C2386">
        <v>4</v>
      </c>
      <c r="D2386">
        <v>2032</v>
      </c>
      <c r="E2386">
        <v>12537136</v>
      </c>
    </row>
    <row r="2387" spans="1:5" x14ac:dyDescent="0.25">
      <c r="A2387">
        <v>2</v>
      </c>
      <c r="B2387">
        <v>1</v>
      </c>
      <c r="C2387">
        <v>4</v>
      </c>
      <c r="D2387">
        <v>2033</v>
      </c>
      <c r="E2387">
        <v>12733215</v>
      </c>
    </row>
    <row r="2388" spans="1:5" x14ac:dyDescent="0.25">
      <c r="A2388">
        <v>2</v>
      </c>
      <c r="B2388">
        <v>1</v>
      </c>
      <c r="C2388">
        <v>4</v>
      </c>
      <c r="D2388">
        <v>2034</v>
      </c>
      <c r="E2388">
        <v>12928480</v>
      </c>
    </row>
    <row r="2389" spans="1:5" x14ac:dyDescent="0.25">
      <c r="A2389">
        <v>2</v>
      </c>
      <c r="B2389">
        <v>1</v>
      </c>
      <c r="C2389">
        <v>4</v>
      </c>
      <c r="D2389">
        <v>2035</v>
      </c>
      <c r="E2389">
        <v>13122795</v>
      </c>
    </row>
    <row r="2390" spans="1:5" x14ac:dyDescent="0.25">
      <c r="A2390">
        <v>2</v>
      </c>
      <c r="B2390">
        <v>1</v>
      </c>
      <c r="C2390">
        <v>4</v>
      </c>
      <c r="D2390">
        <v>2036</v>
      </c>
      <c r="E2390">
        <v>13316025</v>
      </c>
    </row>
    <row r="2391" spans="1:5" x14ac:dyDescent="0.25">
      <c r="A2391">
        <v>2</v>
      </c>
      <c r="B2391">
        <v>1</v>
      </c>
      <c r="C2391">
        <v>4</v>
      </c>
      <c r="D2391">
        <v>2037</v>
      </c>
      <c r="E2391">
        <v>13508019</v>
      </c>
    </row>
    <row r="2392" spans="1:5" x14ac:dyDescent="0.25">
      <c r="A2392">
        <v>2</v>
      </c>
      <c r="B2392">
        <v>1</v>
      </c>
      <c r="C2392">
        <v>4</v>
      </c>
      <c r="D2392">
        <v>2038</v>
      </c>
      <c r="E2392">
        <v>13698682</v>
      </c>
    </row>
    <row r="2393" spans="1:5" x14ac:dyDescent="0.25">
      <c r="A2393">
        <v>2</v>
      </c>
      <c r="B2393">
        <v>1</v>
      </c>
      <c r="C2393">
        <v>4</v>
      </c>
      <c r="D2393">
        <v>2039</v>
      </c>
      <c r="E2393">
        <v>13887884</v>
      </c>
    </row>
    <row r="2394" spans="1:5" x14ac:dyDescent="0.25">
      <c r="A2394">
        <v>2</v>
      </c>
      <c r="B2394">
        <v>1</v>
      </c>
      <c r="C2394">
        <v>4</v>
      </c>
      <c r="D2394">
        <v>2040</v>
      </c>
      <c r="E2394">
        <v>14075623</v>
      </c>
    </row>
    <row r="2395" spans="1:5" x14ac:dyDescent="0.25">
      <c r="A2395">
        <v>2</v>
      </c>
      <c r="B2395">
        <v>1</v>
      </c>
      <c r="C2395">
        <v>4</v>
      </c>
      <c r="D2395">
        <v>2041</v>
      </c>
      <c r="E2395">
        <v>14261843</v>
      </c>
    </row>
    <row r="2396" spans="1:5" x14ac:dyDescent="0.25">
      <c r="A2396">
        <v>2</v>
      </c>
      <c r="B2396">
        <v>1</v>
      </c>
      <c r="C2396">
        <v>4</v>
      </c>
      <c r="D2396">
        <v>2042</v>
      </c>
      <c r="E2396">
        <v>14446580</v>
      </c>
    </row>
    <row r="2397" spans="1:5" x14ac:dyDescent="0.25">
      <c r="A2397">
        <v>2</v>
      </c>
      <c r="B2397">
        <v>1</v>
      </c>
      <c r="C2397">
        <v>4</v>
      </c>
      <c r="D2397">
        <v>2043</v>
      </c>
      <c r="E2397">
        <v>14629874</v>
      </c>
    </row>
    <row r="2398" spans="1:5" x14ac:dyDescent="0.25">
      <c r="A2398">
        <v>2</v>
      </c>
      <c r="B2398">
        <v>1</v>
      </c>
      <c r="C2398">
        <v>4</v>
      </c>
      <c r="D2398">
        <v>2044</v>
      </c>
      <c r="E2398">
        <v>14811727</v>
      </c>
    </row>
    <row r="2399" spans="1:5" x14ac:dyDescent="0.25">
      <c r="A2399">
        <v>2</v>
      </c>
      <c r="B2399">
        <v>1</v>
      </c>
      <c r="C2399">
        <v>4</v>
      </c>
      <c r="D2399">
        <v>2045</v>
      </c>
      <c r="E2399">
        <v>14992214</v>
      </c>
    </row>
    <row r="2400" spans="1:5" x14ac:dyDescent="0.25">
      <c r="A2400">
        <v>2</v>
      </c>
      <c r="B2400">
        <v>1</v>
      </c>
      <c r="C2400">
        <v>4</v>
      </c>
      <c r="D2400">
        <v>2046</v>
      </c>
      <c r="E2400">
        <v>15171302</v>
      </c>
    </row>
    <row r="2401" spans="1:5" x14ac:dyDescent="0.25">
      <c r="A2401">
        <v>2</v>
      </c>
      <c r="B2401">
        <v>1</v>
      </c>
      <c r="C2401">
        <v>4</v>
      </c>
      <c r="D2401">
        <v>2047</v>
      </c>
      <c r="E2401">
        <v>15348979</v>
      </c>
    </row>
    <row r="2402" spans="1:5" x14ac:dyDescent="0.25">
      <c r="A2402">
        <v>2</v>
      </c>
      <c r="B2402">
        <v>1</v>
      </c>
      <c r="C2402">
        <v>4</v>
      </c>
      <c r="D2402">
        <v>2048</v>
      </c>
      <c r="E2402">
        <v>15525244</v>
      </c>
    </row>
    <row r="2403" spans="1:5" x14ac:dyDescent="0.25">
      <c r="A2403">
        <v>2</v>
      </c>
      <c r="B2403">
        <v>1</v>
      </c>
      <c r="C2403">
        <v>4</v>
      </c>
      <c r="D2403">
        <v>2049</v>
      </c>
      <c r="E2403">
        <v>15700027</v>
      </c>
    </row>
    <row r="2404" spans="1:5" x14ac:dyDescent="0.25">
      <c r="A2404">
        <v>2</v>
      </c>
      <c r="B2404">
        <v>1</v>
      </c>
      <c r="C2404">
        <v>4</v>
      </c>
      <c r="D2404">
        <v>2050</v>
      </c>
      <c r="E2404">
        <v>15873306</v>
      </c>
    </row>
    <row r="2405" spans="1:5" x14ac:dyDescent="0.25">
      <c r="A2405">
        <v>2</v>
      </c>
      <c r="B2405">
        <v>1</v>
      </c>
      <c r="C2405">
        <v>5</v>
      </c>
      <c r="D2405">
        <v>2024</v>
      </c>
      <c r="E2405">
        <v>324665</v>
      </c>
    </row>
    <row r="2406" spans="1:5" x14ac:dyDescent="0.25">
      <c r="A2406">
        <v>2</v>
      </c>
      <c r="B2406">
        <v>1</v>
      </c>
      <c r="C2406">
        <v>5</v>
      </c>
      <c r="D2406">
        <v>2025</v>
      </c>
      <c r="E2406">
        <v>329777</v>
      </c>
    </row>
    <row r="2407" spans="1:5" x14ac:dyDescent="0.25">
      <c r="A2407">
        <v>2</v>
      </c>
      <c r="B2407">
        <v>1</v>
      </c>
      <c r="C2407">
        <v>5</v>
      </c>
      <c r="D2407">
        <v>2026</v>
      </c>
      <c r="E2407">
        <v>334867</v>
      </c>
    </row>
    <row r="2408" spans="1:5" x14ac:dyDescent="0.25">
      <c r="A2408">
        <v>2</v>
      </c>
      <c r="B2408">
        <v>1</v>
      </c>
      <c r="C2408">
        <v>5</v>
      </c>
      <c r="D2408">
        <v>2027</v>
      </c>
      <c r="E2408">
        <v>339906</v>
      </c>
    </row>
    <row r="2409" spans="1:5" x14ac:dyDescent="0.25">
      <c r="A2409">
        <v>2</v>
      </c>
      <c r="B2409">
        <v>1</v>
      </c>
      <c r="C2409">
        <v>5</v>
      </c>
      <c r="D2409">
        <v>2028</v>
      </c>
      <c r="E2409">
        <v>344873</v>
      </c>
    </row>
    <row r="2410" spans="1:5" x14ac:dyDescent="0.25">
      <c r="A2410">
        <v>2</v>
      </c>
      <c r="B2410">
        <v>1</v>
      </c>
      <c r="C2410">
        <v>5</v>
      </c>
      <c r="D2410">
        <v>2029</v>
      </c>
      <c r="E2410">
        <v>349777</v>
      </c>
    </row>
    <row r="2411" spans="1:5" x14ac:dyDescent="0.25">
      <c r="A2411">
        <v>2</v>
      </c>
      <c r="B2411">
        <v>1</v>
      </c>
      <c r="C2411">
        <v>5</v>
      </c>
      <c r="D2411">
        <v>2030</v>
      </c>
      <c r="E2411">
        <v>354606</v>
      </c>
    </row>
    <row r="2412" spans="1:5" x14ac:dyDescent="0.25">
      <c r="A2412">
        <v>2</v>
      </c>
      <c r="B2412">
        <v>1</v>
      </c>
      <c r="C2412">
        <v>5</v>
      </c>
      <c r="D2412">
        <v>2031</v>
      </c>
      <c r="E2412">
        <v>359347</v>
      </c>
    </row>
    <row r="2413" spans="1:5" x14ac:dyDescent="0.25">
      <c r="A2413">
        <v>2</v>
      </c>
      <c r="B2413">
        <v>1</v>
      </c>
      <c r="C2413">
        <v>5</v>
      </c>
      <c r="D2413">
        <v>2032</v>
      </c>
      <c r="E2413">
        <v>363980</v>
      </c>
    </row>
    <row r="2414" spans="1:5" x14ac:dyDescent="0.25">
      <c r="A2414">
        <v>2</v>
      </c>
      <c r="B2414">
        <v>1</v>
      </c>
      <c r="C2414">
        <v>5</v>
      </c>
      <c r="D2414">
        <v>2033</v>
      </c>
      <c r="E2414">
        <v>368552</v>
      </c>
    </row>
    <row r="2415" spans="1:5" x14ac:dyDescent="0.25">
      <c r="A2415">
        <v>2</v>
      </c>
      <c r="B2415">
        <v>1</v>
      </c>
      <c r="C2415">
        <v>5</v>
      </c>
      <c r="D2415">
        <v>2034</v>
      </c>
      <c r="E2415">
        <v>373116</v>
      </c>
    </row>
    <row r="2416" spans="1:5" x14ac:dyDescent="0.25">
      <c r="A2416">
        <v>2</v>
      </c>
      <c r="B2416">
        <v>1</v>
      </c>
      <c r="C2416">
        <v>5</v>
      </c>
      <c r="D2416">
        <v>2035</v>
      </c>
      <c r="E2416">
        <v>377627</v>
      </c>
    </row>
    <row r="2417" spans="1:5" x14ac:dyDescent="0.25">
      <c r="A2417">
        <v>2</v>
      </c>
      <c r="B2417">
        <v>1</v>
      </c>
      <c r="C2417">
        <v>5</v>
      </c>
      <c r="D2417">
        <v>2036</v>
      </c>
      <c r="E2417">
        <v>382113</v>
      </c>
    </row>
    <row r="2418" spans="1:5" x14ac:dyDescent="0.25">
      <c r="A2418">
        <v>2</v>
      </c>
      <c r="B2418">
        <v>1</v>
      </c>
      <c r="C2418">
        <v>5</v>
      </c>
      <c r="D2418">
        <v>2037</v>
      </c>
      <c r="E2418">
        <v>386532</v>
      </c>
    </row>
    <row r="2419" spans="1:5" x14ac:dyDescent="0.25">
      <c r="A2419">
        <v>2</v>
      </c>
      <c r="B2419">
        <v>1</v>
      </c>
      <c r="C2419">
        <v>5</v>
      </c>
      <c r="D2419">
        <v>2038</v>
      </c>
      <c r="E2419">
        <v>390901</v>
      </c>
    </row>
    <row r="2420" spans="1:5" x14ac:dyDescent="0.25">
      <c r="A2420">
        <v>2</v>
      </c>
      <c r="B2420">
        <v>1</v>
      </c>
      <c r="C2420">
        <v>5</v>
      </c>
      <c r="D2420">
        <v>2039</v>
      </c>
      <c r="E2420">
        <v>395240</v>
      </c>
    </row>
    <row r="2421" spans="1:5" x14ac:dyDescent="0.25">
      <c r="A2421">
        <v>2</v>
      </c>
      <c r="B2421">
        <v>1</v>
      </c>
      <c r="C2421">
        <v>5</v>
      </c>
      <c r="D2421">
        <v>2040</v>
      </c>
      <c r="E2421">
        <v>399516</v>
      </c>
    </row>
    <row r="2422" spans="1:5" x14ac:dyDescent="0.25">
      <c r="A2422">
        <v>2</v>
      </c>
      <c r="B2422">
        <v>1</v>
      </c>
      <c r="C2422">
        <v>5</v>
      </c>
      <c r="D2422">
        <v>2041</v>
      </c>
      <c r="E2422">
        <v>403733</v>
      </c>
    </row>
    <row r="2423" spans="1:5" x14ac:dyDescent="0.25">
      <c r="A2423">
        <v>2</v>
      </c>
      <c r="B2423">
        <v>1</v>
      </c>
      <c r="C2423">
        <v>5</v>
      </c>
      <c r="D2423">
        <v>2042</v>
      </c>
      <c r="E2423">
        <v>407902</v>
      </c>
    </row>
    <row r="2424" spans="1:5" x14ac:dyDescent="0.25">
      <c r="A2424">
        <v>2</v>
      </c>
      <c r="B2424">
        <v>1</v>
      </c>
      <c r="C2424">
        <v>5</v>
      </c>
      <c r="D2424">
        <v>2043</v>
      </c>
      <c r="E2424">
        <v>412015</v>
      </c>
    </row>
    <row r="2425" spans="1:5" x14ac:dyDescent="0.25">
      <c r="A2425">
        <v>2</v>
      </c>
      <c r="B2425">
        <v>1</v>
      </c>
      <c r="C2425">
        <v>5</v>
      </c>
      <c r="D2425">
        <v>2044</v>
      </c>
      <c r="E2425">
        <v>416066</v>
      </c>
    </row>
    <row r="2426" spans="1:5" x14ac:dyDescent="0.25">
      <c r="A2426">
        <v>2</v>
      </c>
      <c r="B2426">
        <v>1</v>
      </c>
      <c r="C2426">
        <v>5</v>
      </c>
      <c r="D2426">
        <v>2045</v>
      </c>
      <c r="E2426">
        <v>420065</v>
      </c>
    </row>
    <row r="2427" spans="1:5" x14ac:dyDescent="0.25">
      <c r="A2427">
        <v>2</v>
      </c>
      <c r="B2427">
        <v>1</v>
      </c>
      <c r="C2427">
        <v>5</v>
      </c>
      <c r="D2427">
        <v>2046</v>
      </c>
      <c r="E2427">
        <v>424014</v>
      </c>
    </row>
    <row r="2428" spans="1:5" x14ac:dyDescent="0.25">
      <c r="A2428">
        <v>2</v>
      </c>
      <c r="B2428">
        <v>1</v>
      </c>
      <c r="C2428">
        <v>5</v>
      </c>
      <c r="D2428">
        <v>2047</v>
      </c>
      <c r="E2428">
        <v>427910</v>
      </c>
    </row>
    <row r="2429" spans="1:5" x14ac:dyDescent="0.25">
      <c r="A2429">
        <v>2</v>
      </c>
      <c r="B2429">
        <v>1</v>
      </c>
      <c r="C2429">
        <v>5</v>
      </c>
      <c r="D2429">
        <v>2048</v>
      </c>
      <c r="E2429">
        <v>431739</v>
      </c>
    </row>
    <row r="2430" spans="1:5" x14ac:dyDescent="0.25">
      <c r="A2430">
        <v>2</v>
      </c>
      <c r="B2430">
        <v>1</v>
      </c>
      <c r="C2430">
        <v>5</v>
      </c>
      <c r="D2430">
        <v>2049</v>
      </c>
      <c r="E2430">
        <v>435508</v>
      </c>
    </row>
    <row r="2431" spans="1:5" x14ac:dyDescent="0.25">
      <c r="A2431">
        <v>2</v>
      </c>
      <c r="B2431">
        <v>1</v>
      </c>
      <c r="C2431">
        <v>5</v>
      </c>
      <c r="D2431">
        <v>2050</v>
      </c>
      <c r="E2431">
        <v>439217</v>
      </c>
    </row>
    <row r="2432" spans="1:5" x14ac:dyDescent="0.25">
      <c r="A2432">
        <v>2</v>
      </c>
      <c r="B2432">
        <v>1</v>
      </c>
      <c r="C2432">
        <v>6</v>
      </c>
      <c r="D2432">
        <v>2024</v>
      </c>
      <c r="E2432">
        <v>4221734</v>
      </c>
    </row>
    <row r="2433" spans="1:5" x14ac:dyDescent="0.25">
      <c r="A2433">
        <v>2</v>
      </c>
      <c r="B2433">
        <v>1</v>
      </c>
      <c r="C2433">
        <v>6</v>
      </c>
      <c r="D2433">
        <v>2025</v>
      </c>
      <c r="E2433">
        <v>4323966</v>
      </c>
    </row>
    <row r="2434" spans="1:5" x14ac:dyDescent="0.25">
      <c r="A2434">
        <v>2</v>
      </c>
      <c r="B2434">
        <v>1</v>
      </c>
      <c r="C2434">
        <v>6</v>
      </c>
      <c r="D2434">
        <v>2026</v>
      </c>
      <c r="E2434">
        <v>4428122</v>
      </c>
    </row>
    <row r="2435" spans="1:5" x14ac:dyDescent="0.25">
      <c r="A2435">
        <v>2</v>
      </c>
      <c r="B2435">
        <v>1</v>
      </c>
      <c r="C2435">
        <v>6</v>
      </c>
      <c r="D2435">
        <v>2027</v>
      </c>
      <c r="E2435">
        <v>4534161</v>
      </c>
    </row>
    <row r="2436" spans="1:5" x14ac:dyDescent="0.25">
      <c r="A2436">
        <v>2</v>
      </c>
      <c r="B2436">
        <v>1</v>
      </c>
      <c r="C2436">
        <v>6</v>
      </c>
      <c r="D2436">
        <v>2028</v>
      </c>
      <c r="E2436">
        <v>4642001</v>
      </c>
    </row>
    <row r="2437" spans="1:5" x14ac:dyDescent="0.25">
      <c r="A2437">
        <v>2</v>
      </c>
      <c r="B2437">
        <v>1</v>
      </c>
      <c r="C2437">
        <v>6</v>
      </c>
      <c r="D2437">
        <v>2029</v>
      </c>
      <c r="E2437">
        <v>4751614</v>
      </c>
    </row>
    <row r="2438" spans="1:5" x14ac:dyDescent="0.25">
      <c r="A2438">
        <v>2</v>
      </c>
      <c r="B2438">
        <v>1</v>
      </c>
      <c r="C2438">
        <v>6</v>
      </c>
      <c r="D2438">
        <v>2030</v>
      </c>
      <c r="E2438">
        <v>4862954</v>
      </c>
    </row>
    <row r="2439" spans="1:5" x14ac:dyDescent="0.25">
      <c r="A2439">
        <v>2</v>
      </c>
      <c r="B2439">
        <v>1</v>
      </c>
      <c r="C2439">
        <v>6</v>
      </c>
      <c r="D2439">
        <v>2031</v>
      </c>
      <c r="E2439">
        <v>4975885</v>
      </c>
    </row>
    <row r="2440" spans="1:5" x14ac:dyDescent="0.25">
      <c r="A2440">
        <v>2</v>
      </c>
      <c r="B2440">
        <v>1</v>
      </c>
      <c r="C2440">
        <v>6</v>
      </c>
      <c r="D2440">
        <v>2032</v>
      </c>
      <c r="E2440">
        <v>5090318</v>
      </c>
    </row>
    <row r="2441" spans="1:5" x14ac:dyDescent="0.25">
      <c r="A2441">
        <v>2</v>
      </c>
      <c r="B2441">
        <v>1</v>
      </c>
      <c r="C2441">
        <v>6</v>
      </c>
      <c r="D2441">
        <v>2033</v>
      </c>
      <c r="E2441">
        <v>5206187</v>
      </c>
    </row>
    <row r="2442" spans="1:5" x14ac:dyDescent="0.25">
      <c r="A2442">
        <v>2</v>
      </c>
      <c r="B2442">
        <v>1</v>
      </c>
      <c r="C2442">
        <v>6</v>
      </c>
      <c r="D2442">
        <v>2034</v>
      </c>
      <c r="E2442">
        <v>5323427</v>
      </c>
    </row>
    <row r="2443" spans="1:5" x14ac:dyDescent="0.25">
      <c r="A2443">
        <v>2</v>
      </c>
      <c r="B2443">
        <v>1</v>
      </c>
      <c r="C2443">
        <v>6</v>
      </c>
      <c r="D2443">
        <v>2035</v>
      </c>
      <c r="E2443">
        <v>5441901</v>
      </c>
    </row>
    <row r="2444" spans="1:5" x14ac:dyDescent="0.25">
      <c r="A2444">
        <v>2</v>
      </c>
      <c r="B2444">
        <v>1</v>
      </c>
      <c r="C2444">
        <v>6</v>
      </c>
      <c r="D2444">
        <v>2036</v>
      </c>
      <c r="E2444">
        <v>5561543</v>
      </c>
    </row>
    <row r="2445" spans="1:5" x14ac:dyDescent="0.25">
      <c r="A2445">
        <v>2</v>
      </c>
      <c r="B2445">
        <v>1</v>
      </c>
      <c r="C2445">
        <v>6</v>
      </c>
      <c r="D2445">
        <v>2037</v>
      </c>
      <c r="E2445">
        <v>5682221</v>
      </c>
    </row>
    <row r="2446" spans="1:5" x14ac:dyDescent="0.25">
      <c r="A2446">
        <v>2</v>
      </c>
      <c r="B2446">
        <v>1</v>
      </c>
      <c r="C2446">
        <v>6</v>
      </c>
      <c r="D2446">
        <v>2038</v>
      </c>
      <c r="E2446">
        <v>5803717</v>
      </c>
    </row>
    <row r="2447" spans="1:5" x14ac:dyDescent="0.25">
      <c r="A2447">
        <v>2</v>
      </c>
      <c r="B2447">
        <v>1</v>
      </c>
      <c r="C2447">
        <v>6</v>
      </c>
      <c r="D2447">
        <v>2039</v>
      </c>
      <c r="E2447">
        <v>5925964</v>
      </c>
    </row>
    <row r="2448" spans="1:5" x14ac:dyDescent="0.25">
      <c r="A2448">
        <v>2</v>
      </c>
      <c r="B2448">
        <v>1</v>
      </c>
      <c r="C2448">
        <v>6</v>
      </c>
      <c r="D2448">
        <v>2040</v>
      </c>
      <c r="E2448">
        <v>6048790</v>
      </c>
    </row>
    <row r="2449" spans="1:5" x14ac:dyDescent="0.25">
      <c r="A2449">
        <v>2</v>
      </c>
      <c r="B2449">
        <v>1</v>
      </c>
      <c r="C2449">
        <v>6</v>
      </c>
      <c r="D2449">
        <v>2041</v>
      </c>
      <c r="E2449">
        <v>6172068</v>
      </c>
    </row>
    <row r="2450" spans="1:5" x14ac:dyDescent="0.25">
      <c r="A2450">
        <v>2</v>
      </c>
      <c r="B2450">
        <v>1</v>
      </c>
      <c r="C2450">
        <v>6</v>
      </c>
      <c r="D2450">
        <v>2042</v>
      </c>
      <c r="E2450">
        <v>6295749</v>
      </c>
    </row>
    <row r="2451" spans="1:5" x14ac:dyDescent="0.25">
      <c r="A2451">
        <v>2</v>
      </c>
      <c r="B2451">
        <v>1</v>
      </c>
      <c r="C2451">
        <v>6</v>
      </c>
      <c r="D2451">
        <v>2043</v>
      </c>
      <c r="E2451">
        <v>6419842</v>
      </c>
    </row>
    <row r="2452" spans="1:5" x14ac:dyDescent="0.25">
      <c r="A2452">
        <v>2</v>
      </c>
      <c r="B2452">
        <v>1</v>
      </c>
      <c r="C2452">
        <v>6</v>
      </c>
      <c r="D2452">
        <v>2044</v>
      </c>
      <c r="E2452">
        <v>6544307</v>
      </c>
    </row>
    <row r="2453" spans="1:5" x14ac:dyDescent="0.25">
      <c r="A2453">
        <v>2</v>
      </c>
      <c r="B2453">
        <v>1</v>
      </c>
      <c r="C2453">
        <v>6</v>
      </c>
      <c r="D2453">
        <v>2045</v>
      </c>
      <c r="E2453">
        <v>6669058</v>
      </c>
    </row>
    <row r="2454" spans="1:5" x14ac:dyDescent="0.25">
      <c r="A2454">
        <v>2</v>
      </c>
      <c r="B2454">
        <v>1</v>
      </c>
      <c r="C2454">
        <v>6</v>
      </c>
      <c r="D2454">
        <v>2046</v>
      </c>
      <c r="E2454">
        <v>6794164</v>
      </c>
    </row>
    <row r="2455" spans="1:5" x14ac:dyDescent="0.25">
      <c r="A2455">
        <v>2</v>
      </c>
      <c r="B2455">
        <v>1</v>
      </c>
      <c r="C2455">
        <v>6</v>
      </c>
      <c r="D2455">
        <v>2047</v>
      </c>
      <c r="E2455">
        <v>6919645</v>
      </c>
    </row>
    <row r="2456" spans="1:5" x14ac:dyDescent="0.25">
      <c r="A2456">
        <v>2</v>
      </c>
      <c r="B2456">
        <v>1</v>
      </c>
      <c r="C2456">
        <v>6</v>
      </c>
      <c r="D2456">
        <v>2048</v>
      </c>
      <c r="E2456">
        <v>7045452</v>
      </c>
    </row>
    <row r="2457" spans="1:5" x14ac:dyDescent="0.25">
      <c r="A2457">
        <v>2</v>
      </c>
      <c r="B2457">
        <v>1</v>
      </c>
      <c r="C2457">
        <v>6</v>
      </c>
      <c r="D2457">
        <v>2049</v>
      </c>
      <c r="E2457">
        <v>7171690</v>
      </c>
    </row>
    <row r="2458" spans="1:5" x14ac:dyDescent="0.25">
      <c r="A2458">
        <v>2</v>
      </c>
      <c r="B2458">
        <v>1</v>
      </c>
      <c r="C2458">
        <v>6</v>
      </c>
      <c r="D2458">
        <v>2050</v>
      </c>
      <c r="E2458">
        <v>7298338</v>
      </c>
    </row>
    <row r="2459" spans="1:5" x14ac:dyDescent="0.25">
      <c r="A2459">
        <v>2</v>
      </c>
      <c r="B2459">
        <v>1</v>
      </c>
      <c r="C2459">
        <v>7</v>
      </c>
      <c r="D2459">
        <v>2024</v>
      </c>
      <c r="E2459">
        <v>102244243</v>
      </c>
    </row>
    <row r="2460" spans="1:5" x14ac:dyDescent="0.25">
      <c r="A2460">
        <v>2</v>
      </c>
      <c r="B2460">
        <v>1</v>
      </c>
      <c r="C2460">
        <v>7</v>
      </c>
      <c r="D2460">
        <v>2025</v>
      </c>
      <c r="E2460">
        <v>102201714</v>
      </c>
    </row>
    <row r="2461" spans="1:5" x14ac:dyDescent="0.25">
      <c r="A2461">
        <v>2</v>
      </c>
      <c r="B2461">
        <v>1</v>
      </c>
      <c r="C2461">
        <v>7</v>
      </c>
      <c r="D2461">
        <v>2026</v>
      </c>
      <c r="E2461">
        <v>102142332</v>
      </c>
    </row>
    <row r="2462" spans="1:5" x14ac:dyDescent="0.25">
      <c r="A2462">
        <v>2</v>
      </c>
      <c r="B2462">
        <v>1</v>
      </c>
      <c r="C2462">
        <v>7</v>
      </c>
      <c r="D2462">
        <v>2027</v>
      </c>
      <c r="E2462">
        <v>102065278</v>
      </c>
    </row>
    <row r="2463" spans="1:5" x14ac:dyDescent="0.25">
      <c r="A2463">
        <v>2</v>
      </c>
      <c r="B2463">
        <v>1</v>
      </c>
      <c r="C2463">
        <v>7</v>
      </c>
      <c r="D2463">
        <v>2028</v>
      </c>
      <c r="E2463">
        <v>101969453</v>
      </c>
    </row>
    <row r="2464" spans="1:5" x14ac:dyDescent="0.25">
      <c r="A2464">
        <v>2</v>
      </c>
      <c r="B2464">
        <v>1</v>
      </c>
      <c r="C2464">
        <v>7</v>
      </c>
      <c r="D2464">
        <v>2029</v>
      </c>
      <c r="E2464">
        <v>101854268</v>
      </c>
    </row>
    <row r="2465" spans="1:5" x14ac:dyDescent="0.25">
      <c r="A2465">
        <v>2</v>
      </c>
      <c r="B2465">
        <v>1</v>
      </c>
      <c r="C2465">
        <v>7</v>
      </c>
      <c r="D2465">
        <v>2030</v>
      </c>
      <c r="E2465">
        <v>101718604</v>
      </c>
    </row>
    <row r="2466" spans="1:5" x14ac:dyDescent="0.25">
      <c r="A2466">
        <v>2</v>
      </c>
      <c r="B2466">
        <v>1</v>
      </c>
      <c r="C2466">
        <v>7</v>
      </c>
      <c r="D2466">
        <v>2031</v>
      </c>
      <c r="E2466">
        <v>101561212</v>
      </c>
    </row>
    <row r="2467" spans="1:5" x14ac:dyDescent="0.25">
      <c r="A2467">
        <v>2</v>
      </c>
      <c r="B2467">
        <v>1</v>
      </c>
      <c r="C2467">
        <v>7</v>
      </c>
      <c r="D2467">
        <v>2032</v>
      </c>
      <c r="E2467">
        <v>101380666</v>
      </c>
    </row>
    <row r="2468" spans="1:5" x14ac:dyDescent="0.25">
      <c r="A2468">
        <v>2</v>
      </c>
      <c r="B2468">
        <v>1</v>
      </c>
      <c r="C2468">
        <v>7</v>
      </c>
      <c r="D2468">
        <v>2033</v>
      </c>
      <c r="E2468">
        <v>101178371</v>
      </c>
    </row>
    <row r="2469" spans="1:5" x14ac:dyDescent="0.25">
      <c r="A2469">
        <v>2</v>
      </c>
      <c r="B2469">
        <v>1</v>
      </c>
      <c r="C2469">
        <v>7</v>
      </c>
      <c r="D2469">
        <v>2034</v>
      </c>
      <c r="E2469">
        <v>100953816</v>
      </c>
    </row>
    <row r="2470" spans="1:5" x14ac:dyDescent="0.25">
      <c r="A2470">
        <v>2</v>
      </c>
      <c r="B2470">
        <v>1</v>
      </c>
      <c r="C2470">
        <v>7</v>
      </c>
      <c r="D2470">
        <v>2035</v>
      </c>
      <c r="E2470">
        <v>100706560</v>
      </c>
    </row>
    <row r="2471" spans="1:5" x14ac:dyDescent="0.25">
      <c r="A2471">
        <v>2</v>
      </c>
      <c r="B2471">
        <v>1</v>
      </c>
      <c r="C2471">
        <v>7</v>
      </c>
      <c r="D2471">
        <v>2036</v>
      </c>
      <c r="E2471">
        <v>100436455</v>
      </c>
    </row>
    <row r="2472" spans="1:5" x14ac:dyDescent="0.25">
      <c r="A2472">
        <v>2</v>
      </c>
      <c r="B2472">
        <v>1</v>
      </c>
      <c r="C2472">
        <v>7</v>
      </c>
      <c r="D2472">
        <v>2037</v>
      </c>
      <c r="E2472">
        <v>100143488</v>
      </c>
    </row>
    <row r="2473" spans="1:5" x14ac:dyDescent="0.25">
      <c r="A2473">
        <v>2</v>
      </c>
      <c r="B2473">
        <v>1</v>
      </c>
      <c r="C2473">
        <v>7</v>
      </c>
      <c r="D2473">
        <v>2038</v>
      </c>
      <c r="E2473">
        <v>99827858</v>
      </c>
    </row>
    <row r="2474" spans="1:5" x14ac:dyDescent="0.25">
      <c r="A2474">
        <v>2</v>
      </c>
      <c r="B2474">
        <v>1</v>
      </c>
      <c r="C2474">
        <v>7</v>
      </c>
      <c r="D2474">
        <v>2039</v>
      </c>
      <c r="E2474">
        <v>99490158</v>
      </c>
    </row>
    <row r="2475" spans="1:5" x14ac:dyDescent="0.25">
      <c r="A2475">
        <v>2</v>
      </c>
      <c r="B2475">
        <v>1</v>
      </c>
      <c r="C2475">
        <v>7</v>
      </c>
      <c r="D2475">
        <v>2040</v>
      </c>
      <c r="E2475">
        <v>99131247</v>
      </c>
    </row>
    <row r="2476" spans="1:5" x14ac:dyDescent="0.25">
      <c r="A2476">
        <v>2</v>
      </c>
      <c r="B2476">
        <v>1</v>
      </c>
      <c r="C2476">
        <v>7</v>
      </c>
      <c r="D2476">
        <v>2041</v>
      </c>
      <c r="E2476">
        <v>98752239</v>
      </c>
    </row>
    <row r="2477" spans="1:5" x14ac:dyDescent="0.25">
      <c r="A2477">
        <v>2</v>
      </c>
      <c r="B2477">
        <v>1</v>
      </c>
      <c r="C2477">
        <v>7</v>
      </c>
      <c r="D2477">
        <v>2042</v>
      </c>
      <c r="E2477">
        <v>98354673</v>
      </c>
    </row>
    <row r="2478" spans="1:5" x14ac:dyDescent="0.25">
      <c r="A2478">
        <v>2</v>
      </c>
      <c r="B2478">
        <v>1</v>
      </c>
      <c r="C2478">
        <v>7</v>
      </c>
      <c r="D2478">
        <v>2043</v>
      </c>
      <c r="E2478">
        <v>97940353</v>
      </c>
    </row>
    <row r="2479" spans="1:5" x14ac:dyDescent="0.25">
      <c r="A2479">
        <v>2</v>
      </c>
      <c r="B2479">
        <v>1</v>
      </c>
      <c r="C2479">
        <v>7</v>
      </c>
      <c r="D2479">
        <v>2044</v>
      </c>
      <c r="E2479">
        <v>97511444</v>
      </c>
    </row>
    <row r="2480" spans="1:5" x14ac:dyDescent="0.25">
      <c r="A2480">
        <v>2</v>
      </c>
      <c r="B2480">
        <v>1</v>
      </c>
      <c r="C2480">
        <v>7</v>
      </c>
      <c r="D2480">
        <v>2045</v>
      </c>
      <c r="E2480">
        <v>97070376</v>
      </c>
    </row>
    <row r="2481" spans="1:5" x14ac:dyDescent="0.25">
      <c r="A2481">
        <v>2</v>
      </c>
      <c r="B2481">
        <v>1</v>
      </c>
      <c r="C2481">
        <v>7</v>
      </c>
      <c r="D2481">
        <v>2046</v>
      </c>
      <c r="E2481">
        <v>96619545</v>
      </c>
    </row>
    <row r="2482" spans="1:5" x14ac:dyDescent="0.25">
      <c r="A2482">
        <v>2</v>
      </c>
      <c r="B2482">
        <v>1</v>
      </c>
      <c r="C2482">
        <v>7</v>
      </c>
      <c r="D2482">
        <v>2047</v>
      </c>
      <c r="E2482">
        <v>96160367</v>
      </c>
    </row>
    <row r="2483" spans="1:5" x14ac:dyDescent="0.25">
      <c r="A2483">
        <v>2</v>
      </c>
      <c r="B2483">
        <v>1</v>
      </c>
      <c r="C2483">
        <v>7</v>
      </c>
      <c r="D2483">
        <v>2048</v>
      </c>
      <c r="E2483">
        <v>95695115</v>
      </c>
    </row>
    <row r="2484" spans="1:5" x14ac:dyDescent="0.25">
      <c r="A2484">
        <v>2</v>
      </c>
      <c r="B2484">
        <v>1</v>
      </c>
      <c r="C2484">
        <v>7</v>
      </c>
      <c r="D2484">
        <v>2049</v>
      </c>
      <c r="E2484">
        <v>95226142</v>
      </c>
    </row>
    <row r="2485" spans="1:5" x14ac:dyDescent="0.25">
      <c r="A2485">
        <v>2</v>
      </c>
      <c r="B2485">
        <v>1</v>
      </c>
      <c r="C2485">
        <v>7</v>
      </c>
      <c r="D2485">
        <v>2050</v>
      </c>
      <c r="E2485">
        <v>94755756</v>
      </c>
    </row>
    <row r="2486" spans="1:5" x14ac:dyDescent="0.25">
      <c r="A2486">
        <v>2</v>
      </c>
      <c r="B2486">
        <v>1</v>
      </c>
      <c r="C2486">
        <v>8</v>
      </c>
      <c r="D2486">
        <v>2024</v>
      </c>
      <c r="E2486">
        <v>24075339</v>
      </c>
    </row>
    <row r="2487" spans="1:5" x14ac:dyDescent="0.25">
      <c r="A2487">
        <v>2</v>
      </c>
      <c r="B2487">
        <v>1</v>
      </c>
      <c r="C2487">
        <v>8</v>
      </c>
      <c r="D2487">
        <v>2025</v>
      </c>
      <c r="E2487">
        <v>24254203</v>
      </c>
    </row>
    <row r="2488" spans="1:5" x14ac:dyDescent="0.25">
      <c r="A2488">
        <v>2</v>
      </c>
      <c r="B2488">
        <v>1</v>
      </c>
      <c r="C2488">
        <v>8</v>
      </c>
      <c r="D2488">
        <v>2026</v>
      </c>
      <c r="E2488">
        <v>24433739</v>
      </c>
    </row>
    <row r="2489" spans="1:5" x14ac:dyDescent="0.25">
      <c r="A2489">
        <v>2</v>
      </c>
      <c r="B2489">
        <v>1</v>
      </c>
      <c r="C2489">
        <v>8</v>
      </c>
      <c r="D2489">
        <v>2027</v>
      </c>
      <c r="E2489">
        <v>24613694</v>
      </c>
    </row>
    <row r="2490" spans="1:5" x14ac:dyDescent="0.25">
      <c r="A2490">
        <v>2</v>
      </c>
      <c r="B2490">
        <v>1</v>
      </c>
      <c r="C2490">
        <v>8</v>
      </c>
      <c r="D2490">
        <v>2028</v>
      </c>
      <c r="E2490">
        <v>24793437</v>
      </c>
    </row>
    <row r="2491" spans="1:5" x14ac:dyDescent="0.25">
      <c r="A2491">
        <v>2</v>
      </c>
      <c r="B2491">
        <v>1</v>
      </c>
      <c r="C2491">
        <v>8</v>
      </c>
      <c r="D2491">
        <v>2029</v>
      </c>
      <c r="E2491">
        <v>24972596</v>
      </c>
    </row>
    <row r="2492" spans="1:5" x14ac:dyDescent="0.25">
      <c r="A2492">
        <v>2</v>
      </c>
      <c r="B2492">
        <v>1</v>
      </c>
      <c r="C2492">
        <v>8</v>
      </c>
      <c r="D2492">
        <v>2030</v>
      </c>
      <c r="E2492">
        <v>25150543</v>
      </c>
    </row>
    <row r="2493" spans="1:5" x14ac:dyDescent="0.25">
      <c r="A2493">
        <v>2</v>
      </c>
      <c r="B2493">
        <v>1</v>
      </c>
      <c r="C2493">
        <v>8</v>
      </c>
      <c r="D2493">
        <v>2031</v>
      </c>
      <c r="E2493">
        <v>25326717</v>
      </c>
    </row>
    <row r="2494" spans="1:5" x14ac:dyDescent="0.25">
      <c r="A2494">
        <v>2</v>
      </c>
      <c r="B2494">
        <v>1</v>
      </c>
      <c r="C2494">
        <v>8</v>
      </c>
      <c r="D2494">
        <v>2032</v>
      </c>
      <c r="E2494">
        <v>25500544</v>
      </c>
    </row>
    <row r="2495" spans="1:5" x14ac:dyDescent="0.25">
      <c r="A2495">
        <v>2</v>
      </c>
      <c r="B2495">
        <v>1</v>
      </c>
      <c r="C2495">
        <v>8</v>
      </c>
      <c r="D2495">
        <v>2033</v>
      </c>
      <c r="E2495">
        <v>25672820</v>
      </c>
    </row>
    <row r="2496" spans="1:5" x14ac:dyDescent="0.25">
      <c r="A2496">
        <v>2</v>
      </c>
      <c r="B2496">
        <v>1</v>
      </c>
      <c r="C2496">
        <v>8</v>
      </c>
      <c r="D2496">
        <v>2034</v>
      </c>
      <c r="E2496">
        <v>25843358</v>
      </c>
    </row>
    <row r="2497" spans="1:5" x14ac:dyDescent="0.25">
      <c r="A2497">
        <v>2</v>
      </c>
      <c r="B2497">
        <v>1</v>
      </c>
      <c r="C2497">
        <v>8</v>
      </c>
      <c r="D2497">
        <v>2035</v>
      </c>
      <c r="E2497">
        <v>26012122</v>
      </c>
    </row>
    <row r="2498" spans="1:5" x14ac:dyDescent="0.25">
      <c r="A2498">
        <v>2</v>
      </c>
      <c r="B2498">
        <v>1</v>
      </c>
      <c r="C2498">
        <v>8</v>
      </c>
      <c r="D2498">
        <v>2036</v>
      </c>
      <c r="E2498">
        <v>26179077</v>
      </c>
    </row>
    <row r="2499" spans="1:5" x14ac:dyDescent="0.25">
      <c r="A2499">
        <v>2</v>
      </c>
      <c r="B2499">
        <v>1</v>
      </c>
      <c r="C2499">
        <v>8</v>
      </c>
      <c r="D2499">
        <v>2037</v>
      </c>
      <c r="E2499">
        <v>26344127</v>
      </c>
    </row>
    <row r="2500" spans="1:5" x14ac:dyDescent="0.25">
      <c r="A2500">
        <v>2</v>
      </c>
      <c r="B2500">
        <v>1</v>
      </c>
      <c r="C2500">
        <v>8</v>
      </c>
      <c r="D2500">
        <v>2038</v>
      </c>
      <c r="E2500">
        <v>26507235</v>
      </c>
    </row>
    <row r="2501" spans="1:5" x14ac:dyDescent="0.25">
      <c r="A2501">
        <v>2</v>
      </c>
      <c r="B2501">
        <v>1</v>
      </c>
      <c r="C2501">
        <v>8</v>
      </c>
      <c r="D2501">
        <v>2039</v>
      </c>
      <c r="E2501">
        <v>26668374</v>
      </c>
    </row>
    <row r="2502" spans="1:5" x14ac:dyDescent="0.25">
      <c r="A2502">
        <v>2</v>
      </c>
      <c r="B2502">
        <v>1</v>
      </c>
      <c r="C2502">
        <v>8</v>
      </c>
      <c r="D2502">
        <v>2040</v>
      </c>
      <c r="E2502">
        <v>26827506</v>
      </c>
    </row>
    <row r="2503" spans="1:5" x14ac:dyDescent="0.25">
      <c r="A2503">
        <v>2</v>
      </c>
      <c r="B2503">
        <v>1</v>
      </c>
      <c r="C2503">
        <v>8</v>
      </c>
      <c r="D2503">
        <v>2041</v>
      </c>
      <c r="E2503">
        <v>26984656</v>
      </c>
    </row>
    <row r="2504" spans="1:5" x14ac:dyDescent="0.25">
      <c r="A2504">
        <v>2</v>
      </c>
      <c r="B2504">
        <v>1</v>
      </c>
      <c r="C2504">
        <v>8</v>
      </c>
      <c r="D2504">
        <v>2042</v>
      </c>
      <c r="E2504">
        <v>27139891</v>
      </c>
    </row>
    <row r="2505" spans="1:5" x14ac:dyDescent="0.25">
      <c r="A2505">
        <v>2</v>
      </c>
      <c r="B2505">
        <v>1</v>
      </c>
      <c r="C2505">
        <v>8</v>
      </c>
      <c r="D2505">
        <v>2043</v>
      </c>
      <c r="E2505">
        <v>27293259</v>
      </c>
    </row>
    <row r="2506" spans="1:5" x14ac:dyDescent="0.25">
      <c r="A2506">
        <v>2</v>
      </c>
      <c r="B2506">
        <v>1</v>
      </c>
      <c r="C2506">
        <v>8</v>
      </c>
      <c r="D2506">
        <v>2044</v>
      </c>
      <c r="E2506">
        <v>27444944</v>
      </c>
    </row>
    <row r="2507" spans="1:5" x14ac:dyDescent="0.25">
      <c r="A2507">
        <v>2</v>
      </c>
      <c r="B2507">
        <v>1</v>
      </c>
      <c r="C2507">
        <v>8</v>
      </c>
      <c r="D2507">
        <v>2045</v>
      </c>
      <c r="E2507">
        <v>27595189</v>
      </c>
    </row>
    <row r="2508" spans="1:5" x14ac:dyDescent="0.25">
      <c r="A2508">
        <v>2</v>
      </c>
      <c r="B2508">
        <v>1</v>
      </c>
      <c r="C2508">
        <v>8</v>
      </c>
      <c r="D2508">
        <v>2046</v>
      </c>
      <c r="E2508">
        <v>27744277</v>
      </c>
    </row>
    <row r="2509" spans="1:5" x14ac:dyDescent="0.25">
      <c r="A2509">
        <v>2</v>
      </c>
      <c r="B2509">
        <v>1</v>
      </c>
      <c r="C2509">
        <v>8</v>
      </c>
      <c r="D2509">
        <v>2047</v>
      </c>
      <c r="E2509">
        <v>27892442</v>
      </c>
    </row>
    <row r="2510" spans="1:5" x14ac:dyDescent="0.25">
      <c r="A2510">
        <v>2</v>
      </c>
      <c r="B2510">
        <v>1</v>
      </c>
      <c r="C2510">
        <v>8</v>
      </c>
      <c r="D2510">
        <v>2048</v>
      </c>
      <c r="E2510">
        <v>28039959</v>
      </c>
    </row>
    <row r="2511" spans="1:5" x14ac:dyDescent="0.25">
      <c r="A2511">
        <v>2</v>
      </c>
      <c r="B2511">
        <v>1</v>
      </c>
      <c r="C2511">
        <v>8</v>
      </c>
      <c r="D2511">
        <v>2049</v>
      </c>
      <c r="E2511">
        <v>28187160</v>
      </c>
    </row>
    <row r="2512" spans="1:5" x14ac:dyDescent="0.25">
      <c r="A2512">
        <v>2</v>
      </c>
      <c r="B2512">
        <v>1</v>
      </c>
      <c r="C2512">
        <v>8</v>
      </c>
      <c r="D2512">
        <v>2050</v>
      </c>
      <c r="E2512">
        <v>28334366</v>
      </c>
    </row>
    <row r="2513" spans="1:5" x14ac:dyDescent="0.25">
      <c r="A2513">
        <v>2</v>
      </c>
      <c r="B2513">
        <v>1</v>
      </c>
      <c r="C2513">
        <v>9</v>
      </c>
      <c r="D2513">
        <v>2024</v>
      </c>
      <c r="E2513">
        <v>2298240</v>
      </c>
    </row>
    <row r="2514" spans="1:5" x14ac:dyDescent="0.25">
      <c r="A2514">
        <v>2</v>
      </c>
      <c r="B2514">
        <v>1</v>
      </c>
      <c r="C2514">
        <v>9</v>
      </c>
      <c r="D2514">
        <v>2025</v>
      </c>
      <c r="E2514">
        <v>2309264</v>
      </c>
    </row>
    <row r="2515" spans="1:5" x14ac:dyDescent="0.25">
      <c r="A2515">
        <v>2</v>
      </c>
      <c r="B2515">
        <v>1</v>
      </c>
      <c r="C2515">
        <v>9</v>
      </c>
      <c r="D2515">
        <v>2026</v>
      </c>
      <c r="E2515">
        <v>2320097</v>
      </c>
    </row>
    <row r="2516" spans="1:5" x14ac:dyDescent="0.25">
      <c r="A2516">
        <v>2</v>
      </c>
      <c r="B2516">
        <v>1</v>
      </c>
      <c r="C2516">
        <v>9</v>
      </c>
      <c r="D2516">
        <v>2027</v>
      </c>
      <c r="E2516">
        <v>2330756</v>
      </c>
    </row>
    <row r="2517" spans="1:5" x14ac:dyDescent="0.25">
      <c r="A2517">
        <v>2</v>
      </c>
      <c r="B2517">
        <v>1</v>
      </c>
      <c r="C2517">
        <v>9</v>
      </c>
      <c r="D2517">
        <v>2028</v>
      </c>
      <c r="E2517">
        <v>2341157</v>
      </c>
    </row>
    <row r="2518" spans="1:5" x14ac:dyDescent="0.25">
      <c r="A2518">
        <v>2</v>
      </c>
      <c r="B2518">
        <v>1</v>
      </c>
      <c r="C2518">
        <v>9</v>
      </c>
      <c r="D2518">
        <v>2029</v>
      </c>
      <c r="E2518">
        <v>2351265</v>
      </c>
    </row>
    <row r="2519" spans="1:5" x14ac:dyDescent="0.25">
      <c r="A2519">
        <v>2</v>
      </c>
      <c r="B2519">
        <v>1</v>
      </c>
      <c r="C2519">
        <v>9</v>
      </c>
      <c r="D2519">
        <v>2030</v>
      </c>
      <c r="E2519">
        <v>2360998</v>
      </c>
    </row>
    <row r="2520" spans="1:5" x14ac:dyDescent="0.25">
      <c r="A2520">
        <v>2</v>
      </c>
      <c r="B2520">
        <v>1</v>
      </c>
      <c r="C2520">
        <v>9</v>
      </c>
      <c r="D2520">
        <v>2031</v>
      </c>
      <c r="E2520">
        <v>2370356</v>
      </c>
    </row>
    <row r="2521" spans="1:5" x14ac:dyDescent="0.25">
      <c r="A2521">
        <v>2</v>
      </c>
      <c r="B2521">
        <v>1</v>
      </c>
      <c r="C2521">
        <v>9</v>
      </c>
      <c r="D2521">
        <v>2032</v>
      </c>
      <c r="E2521">
        <v>2379287</v>
      </c>
    </row>
    <row r="2522" spans="1:5" x14ac:dyDescent="0.25">
      <c r="A2522">
        <v>2</v>
      </c>
      <c r="B2522">
        <v>1</v>
      </c>
      <c r="C2522">
        <v>9</v>
      </c>
      <c r="D2522">
        <v>2033</v>
      </c>
      <c r="E2522">
        <v>2387732</v>
      </c>
    </row>
    <row r="2523" spans="1:5" x14ac:dyDescent="0.25">
      <c r="A2523">
        <v>2</v>
      </c>
      <c r="B2523">
        <v>1</v>
      </c>
      <c r="C2523">
        <v>9</v>
      </c>
      <c r="D2523">
        <v>2034</v>
      </c>
      <c r="E2523">
        <v>2395695</v>
      </c>
    </row>
    <row r="2524" spans="1:5" x14ac:dyDescent="0.25">
      <c r="A2524">
        <v>2</v>
      </c>
      <c r="B2524">
        <v>1</v>
      </c>
      <c r="C2524">
        <v>9</v>
      </c>
      <c r="D2524">
        <v>2035</v>
      </c>
      <c r="E2524">
        <v>2403140</v>
      </c>
    </row>
    <row r="2525" spans="1:5" x14ac:dyDescent="0.25">
      <c r="A2525">
        <v>2</v>
      </c>
      <c r="B2525">
        <v>1</v>
      </c>
      <c r="C2525">
        <v>9</v>
      </c>
      <c r="D2525">
        <v>2036</v>
      </c>
      <c r="E2525">
        <v>2410021</v>
      </c>
    </row>
    <row r="2526" spans="1:5" x14ac:dyDescent="0.25">
      <c r="A2526">
        <v>2</v>
      </c>
      <c r="B2526">
        <v>1</v>
      </c>
      <c r="C2526">
        <v>9</v>
      </c>
      <c r="D2526">
        <v>2037</v>
      </c>
      <c r="E2526">
        <v>2416336</v>
      </c>
    </row>
    <row r="2527" spans="1:5" x14ac:dyDescent="0.25">
      <c r="A2527">
        <v>2</v>
      </c>
      <c r="B2527">
        <v>1</v>
      </c>
      <c r="C2527">
        <v>9</v>
      </c>
      <c r="D2527">
        <v>2038</v>
      </c>
      <c r="E2527">
        <v>2422025</v>
      </c>
    </row>
    <row r="2528" spans="1:5" x14ac:dyDescent="0.25">
      <c r="A2528">
        <v>2</v>
      </c>
      <c r="B2528">
        <v>1</v>
      </c>
      <c r="C2528">
        <v>9</v>
      </c>
      <c r="D2528">
        <v>2039</v>
      </c>
      <c r="E2528">
        <v>2427097</v>
      </c>
    </row>
    <row r="2529" spans="1:5" x14ac:dyDescent="0.25">
      <c r="A2529">
        <v>2</v>
      </c>
      <c r="B2529">
        <v>1</v>
      </c>
      <c r="C2529">
        <v>9</v>
      </c>
      <c r="D2529">
        <v>2040</v>
      </c>
      <c r="E2529">
        <v>2431541</v>
      </c>
    </row>
    <row r="2530" spans="1:5" x14ac:dyDescent="0.25">
      <c r="A2530">
        <v>2</v>
      </c>
      <c r="B2530">
        <v>1</v>
      </c>
      <c r="C2530">
        <v>9</v>
      </c>
      <c r="D2530">
        <v>2041</v>
      </c>
      <c r="E2530">
        <v>2435349</v>
      </c>
    </row>
    <row r="2531" spans="1:5" x14ac:dyDescent="0.25">
      <c r="A2531">
        <v>2</v>
      </c>
      <c r="B2531">
        <v>1</v>
      </c>
      <c r="C2531">
        <v>9</v>
      </c>
      <c r="D2531">
        <v>2042</v>
      </c>
      <c r="E2531">
        <v>2438539</v>
      </c>
    </row>
    <row r="2532" spans="1:5" x14ac:dyDescent="0.25">
      <c r="A2532">
        <v>2</v>
      </c>
      <c r="B2532">
        <v>1</v>
      </c>
      <c r="C2532">
        <v>9</v>
      </c>
      <c r="D2532">
        <v>2043</v>
      </c>
      <c r="E2532">
        <v>2441152</v>
      </c>
    </row>
    <row r="2533" spans="1:5" x14ac:dyDescent="0.25">
      <c r="A2533">
        <v>2</v>
      </c>
      <c r="B2533">
        <v>1</v>
      </c>
      <c r="C2533">
        <v>9</v>
      </c>
      <c r="D2533">
        <v>2044</v>
      </c>
      <c r="E2533">
        <v>2443223</v>
      </c>
    </row>
    <row r="2534" spans="1:5" x14ac:dyDescent="0.25">
      <c r="A2534">
        <v>2</v>
      </c>
      <c r="B2534">
        <v>1</v>
      </c>
      <c r="C2534">
        <v>9</v>
      </c>
      <c r="D2534">
        <v>2045</v>
      </c>
      <c r="E2534">
        <v>2444782</v>
      </c>
    </row>
    <row r="2535" spans="1:5" x14ac:dyDescent="0.25">
      <c r="A2535">
        <v>2</v>
      </c>
      <c r="B2535">
        <v>1</v>
      </c>
      <c r="C2535">
        <v>9</v>
      </c>
      <c r="D2535">
        <v>2046</v>
      </c>
      <c r="E2535">
        <v>2445877</v>
      </c>
    </row>
    <row r="2536" spans="1:5" x14ac:dyDescent="0.25">
      <c r="A2536">
        <v>2</v>
      </c>
      <c r="B2536">
        <v>1</v>
      </c>
      <c r="C2536">
        <v>9</v>
      </c>
      <c r="D2536">
        <v>2047</v>
      </c>
      <c r="E2536">
        <v>2446543</v>
      </c>
    </row>
    <row r="2537" spans="1:5" x14ac:dyDescent="0.25">
      <c r="A2537">
        <v>2</v>
      </c>
      <c r="B2537">
        <v>1</v>
      </c>
      <c r="C2537">
        <v>9</v>
      </c>
      <c r="D2537">
        <v>2048</v>
      </c>
      <c r="E2537">
        <v>2446796</v>
      </c>
    </row>
    <row r="2538" spans="1:5" x14ac:dyDescent="0.25">
      <c r="A2538">
        <v>2</v>
      </c>
      <c r="B2538">
        <v>1</v>
      </c>
      <c r="C2538">
        <v>9</v>
      </c>
      <c r="D2538">
        <v>2049</v>
      </c>
      <c r="E2538">
        <v>2446691</v>
      </c>
    </row>
    <row r="2539" spans="1:5" x14ac:dyDescent="0.25">
      <c r="A2539">
        <v>2</v>
      </c>
      <c r="B2539">
        <v>1</v>
      </c>
      <c r="C2539">
        <v>9</v>
      </c>
      <c r="D2539">
        <v>2050</v>
      </c>
      <c r="E2539">
        <v>2446311</v>
      </c>
    </row>
    <row r="2540" spans="1:5" x14ac:dyDescent="0.25">
      <c r="A2540">
        <v>2</v>
      </c>
      <c r="B2540">
        <v>1</v>
      </c>
      <c r="C2540">
        <v>10</v>
      </c>
      <c r="D2540">
        <v>2024</v>
      </c>
      <c r="E2540">
        <v>12568749</v>
      </c>
    </row>
    <row r="2541" spans="1:5" x14ac:dyDescent="0.25">
      <c r="A2541">
        <v>2</v>
      </c>
      <c r="B2541">
        <v>1</v>
      </c>
      <c r="C2541">
        <v>10</v>
      </c>
      <c r="D2541">
        <v>2025</v>
      </c>
      <c r="E2541">
        <v>12818510</v>
      </c>
    </row>
    <row r="2542" spans="1:5" x14ac:dyDescent="0.25">
      <c r="A2542">
        <v>2</v>
      </c>
      <c r="B2542">
        <v>1</v>
      </c>
      <c r="C2542">
        <v>10</v>
      </c>
      <c r="D2542">
        <v>2026</v>
      </c>
      <c r="E2542">
        <v>13069482</v>
      </c>
    </row>
    <row r="2543" spans="1:5" x14ac:dyDescent="0.25">
      <c r="A2543">
        <v>2</v>
      </c>
      <c r="B2543">
        <v>1</v>
      </c>
      <c r="C2543">
        <v>10</v>
      </c>
      <c r="D2543">
        <v>2027</v>
      </c>
      <c r="E2543">
        <v>13321085</v>
      </c>
    </row>
    <row r="2544" spans="1:5" x14ac:dyDescent="0.25">
      <c r="A2544">
        <v>2</v>
      </c>
      <c r="B2544">
        <v>1</v>
      </c>
      <c r="C2544">
        <v>10</v>
      </c>
      <c r="D2544">
        <v>2028</v>
      </c>
      <c r="E2544">
        <v>13572784</v>
      </c>
    </row>
    <row r="2545" spans="1:5" x14ac:dyDescent="0.25">
      <c r="A2545">
        <v>2</v>
      </c>
      <c r="B2545">
        <v>1</v>
      </c>
      <c r="C2545">
        <v>10</v>
      </c>
      <c r="D2545">
        <v>2029</v>
      </c>
      <c r="E2545">
        <v>13824765</v>
      </c>
    </row>
    <row r="2546" spans="1:5" x14ac:dyDescent="0.25">
      <c r="A2546">
        <v>2</v>
      </c>
      <c r="B2546">
        <v>1</v>
      </c>
      <c r="C2546">
        <v>10</v>
      </c>
      <c r="D2546">
        <v>2030</v>
      </c>
      <c r="E2546">
        <v>14076150</v>
      </c>
    </row>
    <row r="2547" spans="1:5" x14ac:dyDescent="0.25">
      <c r="A2547">
        <v>2</v>
      </c>
      <c r="B2547">
        <v>1</v>
      </c>
      <c r="C2547">
        <v>10</v>
      </c>
      <c r="D2547">
        <v>2031</v>
      </c>
      <c r="E2547">
        <v>14325745</v>
      </c>
    </row>
    <row r="2548" spans="1:5" x14ac:dyDescent="0.25">
      <c r="A2548">
        <v>2</v>
      </c>
      <c r="B2548">
        <v>1</v>
      </c>
      <c r="C2548">
        <v>10</v>
      </c>
      <c r="D2548">
        <v>2032</v>
      </c>
      <c r="E2548">
        <v>14572424</v>
      </c>
    </row>
    <row r="2549" spans="1:5" x14ac:dyDescent="0.25">
      <c r="A2549">
        <v>2</v>
      </c>
      <c r="B2549">
        <v>1</v>
      </c>
      <c r="C2549">
        <v>10</v>
      </c>
      <c r="D2549">
        <v>2033</v>
      </c>
      <c r="E2549">
        <v>14819175</v>
      </c>
    </row>
    <row r="2550" spans="1:5" x14ac:dyDescent="0.25">
      <c r="A2550">
        <v>2</v>
      </c>
      <c r="B2550">
        <v>1</v>
      </c>
      <c r="C2550">
        <v>10</v>
      </c>
      <c r="D2550">
        <v>2034</v>
      </c>
      <c r="E2550">
        <v>15065843</v>
      </c>
    </row>
    <row r="2551" spans="1:5" x14ac:dyDescent="0.25">
      <c r="A2551">
        <v>2</v>
      </c>
      <c r="B2551">
        <v>1</v>
      </c>
      <c r="C2551">
        <v>10</v>
      </c>
      <c r="D2551">
        <v>2035</v>
      </c>
      <c r="E2551">
        <v>15312214</v>
      </c>
    </row>
    <row r="2552" spans="1:5" x14ac:dyDescent="0.25">
      <c r="A2552">
        <v>2</v>
      </c>
      <c r="B2552">
        <v>1</v>
      </c>
      <c r="C2552">
        <v>10</v>
      </c>
      <c r="D2552">
        <v>2036</v>
      </c>
      <c r="E2552">
        <v>15558134</v>
      </c>
    </row>
    <row r="2553" spans="1:5" x14ac:dyDescent="0.25">
      <c r="A2553">
        <v>2</v>
      </c>
      <c r="B2553">
        <v>1</v>
      </c>
      <c r="C2553">
        <v>10</v>
      </c>
      <c r="D2553">
        <v>2037</v>
      </c>
      <c r="E2553">
        <v>15803405</v>
      </c>
    </row>
    <row r="2554" spans="1:5" x14ac:dyDescent="0.25">
      <c r="A2554">
        <v>2</v>
      </c>
      <c r="B2554">
        <v>1</v>
      </c>
      <c r="C2554">
        <v>10</v>
      </c>
      <c r="D2554">
        <v>2038</v>
      </c>
      <c r="E2554">
        <v>16047854</v>
      </c>
    </row>
    <row r="2555" spans="1:5" x14ac:dyDescent="0.25">
      <c r="A2555">
        <v>2</v>
      </c>
      <c r="B2555">
        <v>1</v>
      </c>
      <c r="C2555">
        <v>10</v>
      </c>
      <c r="D2555">
        <v>2039</v>
      </c>
      <c r="E2555">
        <v>16291301</v>
      </c>
    </row>
    <row r="2556" spans="1:5" x14ac:dyDescent="0.25">
      <c r="A2556">
        <v>2</v>
      </c>
      <c r="B2556">
        <v>1</v>
      </c>
      <c r="C2556">
        <v>10</v>
      </c>
      <c r="D2556">
        <v>2040</v>
      </c>
      <c r="E2556">
        <v>16533658</v>
      </c>
    </row>
    <row r="2557" spans="1:5" x14ac:dyDescent="0.25">
      <c r="A2557">
        <v>2</v>
      </c>
      <c r="B2557">
        <v>1</v>
      </c>
      <c r="C2557">
        <v>10</v>
      </c>
      <c r="D2557">
        <v>2041</v>
      </c>
      <c r="E2557">
        <v>16774827</v>
      </c>
    </row>
    <row r="2558" spans="1:5" x14ac:dyDescent="0.25">
      <c r="A2558">
        <v>2</v>
      </c>
      <c r="B2558">
        <v>1</v>
      </c>
      <c r="C2558">
        <v>10</v>
      </c>
      <c r="D2558">
        <v>2042</v>
      </c>
      <c r="E2558">
        <v>17014791</v>
      </c>
    </row>
    <row r="2559" spans="1:5" x14ac:dyDescent="0.25">
      <c r="A2559">
        <v>2</v>
      </c>
      <c r="B2559">
        <v>1</v>
      </c>
      <c r="C2559">
        <v>10</v>
      </c>
      <c r="D2559">
        <v>2043</v>
      </c>
      <c r="E2559">
        <v>17253609</v>
      </c>
    </row>
    <row r="2560" spans="1:5" x14ac:dyDescent="0.25">
      <c r="A2560">
        <v>2</v>
      </c>
      <c r="B2560">
        <v>1</v>
      </c>
      <c r="C2560">
        <v>10</v>
      </c>
      <c r="D2560">
        <v>2044</v>
      </c>
      <c r="E2560">
        <v>17491198</v>
      </c>
    </row>
    <row r="2561" spans="1:5" x14ac:dyDescent="0.25">
      <c r="A2561">
        <v>2</v>
      </c>
      <c r="B2561">
        <v>1</v>
      </c>
      <c r="C2561">
        <v>10</v>
      </c>
      <c r="D2561">
        <v>2045</v>
      </c>
      <c r="E2561">
        <v>17727615</v>
      </c>
    </row>
    <row r="2562" spans="1:5" x14ac:dyDescent="0.25">
      <c r="A2562">
        <v>2</v>
      </c>
      <c r="B2562">
        <v>1</v>
      </c>
      <c r="C2562">
        <v>10</v>
      </c>
      <c r="D2562">
        <v>2046</v>
      </c>
      <c r="E2562">
        <v>17962823</v>
      </c>
    </row>
    <row r="2563" spans="1:5" x14ac:dyDescent="0.25">
      <c r="A2563">
        <v>2</v>
      </c>
      <c r="B2563">
        <v>1</v>
      </c>
      <c r="C2563">
        <v>10</v>
      </c>
      <c r="D2563">
        <v>2047</v>
      </c>
      <c r="E2563">
        <v>18196804</v>
      </c>
    </row>
    <row r="2564" spans="1:5" x14ac:dyDescent="0.25">
      <c r="A2564">
        <v>2</v>
      </c>
      <c r="B2564">
        <v>1</v>
      </c>
      <c r="C2564">
        <v>10</v>
      </c>
      <c r="D2564">
        <v>2048</v>
      </c>
      <c r="E2564">
        <v>18429504</v>
      </c>
    </row>
    <row r="2565" spans="1:5" x14ac:dyDescent="0.25">
      <c r="A2565">
        <v>2</v>
      </c>
      <c r="B2565">
        <v>1</v>
      </c>
      <c r="C2565">
        <v>10</v>
      </c>
      <c r="D2565">
        <v>2049</v>
      </c>
      <c r="E2565">
        <v>18660910</v>
      </c>
    </row>
    <row r="2566" spans="1:5" x14ac:dyDescent="0.25">
      <c r="A2566">
        <v>2</v>
      </c>
      <c r="B2566">
        <v>1</v>
      </c>
      <c r="C2566">
        <v>10</v>
      </c>
      <c r="D2566">
        <v>2050</v>
      </c>
      <c r="E2566">
        <v>18890942</v>
      </c>
    </row>
    <row r="2567" spans="1:5" x14ac:dyDescent="0.25">
      <c r="A2567">
        <v>2</v>
      </c>
      <c r="B2567">
        <v>1</v>
      </c>
      <c r="C2567">
        <v>11</v>
      </c>
      <c r="D2567">
        <v>2024</v>
      </c>
      <c r="E2567">
        <v>678571</v>
      </c>
    </row>
    <row r="2568" spans="1:5" x14ac:dyDescent="0.25">
      <c r="A2568">
        <v>2</v>
      </c>
      <c r="B2568">
        <v>1</v>
      </c>
      <c r="C2568">
        <v>11</v>
      </c>
      <c r="D2568">
        <v>2025</v>
      </c>
      <c r="E2568">
        <v>689591</v>
      </c>
    </row>
    <row r="2569" spans="1:5" x14ac:dyDescent="0.25">
      <c r="A2569">
        <v>2</v>
      </c>
      <c r="B2569">
        <v>1</v>
      </c>
      <c r="C2569">
        <v>11</v>
      </c>
      <c r="D2569">
        <v>2026</v>
      </c>
      <c r="E2569">
        <v>700699</v>
      </c>
    </row>
    <row r="2570" spans="1:5" x14ac:dyDescent="0.25">
      <c r="A2570">
        <v>2</v>
      </c>
      <c r="B2570">
        <v>1</v>
      </c>
      <c r="C2570">
        <v>11</v>
      </c>
      <c r="D2570">
        <v>2027</v>
      </c>
      <c r="E2570">
        <v>711823</v>
      </c>
    </row>
    <row r="2571" spans="1:5" x14ac:dyDescent="0.25">
      <c r="A2571">
        <v>2</v>
      </c>
      <c r="B2571">
        <v>1</v>
      </c>
      <c r="C2571">
        <v>11</v>
      </c>
      <c r="D2571">
        <v>2028</v>
      </c>
      <c r="E2571">
        <v>722941</v>
      </c>
    </row>
    <row r="2572" spans="1:5" x14ac:dyDescent="0.25">
      <c r="A2572">
        <v>2</v>
      </c>
      <c r="B2572">
        <v>1</v>
      </c>
      <c r="C2572">
        <v>11</v>
      </c>
      <c r="D2572">
        <v>2029</v>
      </c>
      <c r="E2572">
        <v>734049</v>
      </c>
    </row>
    <row r="2573" spans="1:5" x14ac:dyDescent="0.25">
      <c r="A2573">
        <v>2</v>
      </c>
      <c r="B2573">
        <v>1</v>
      </c>
      <c r="C2573">
        <v>11</v>
      </c>
      <c r="D2573">
        <v>2030</v>
      </c>
      <c r="E2573">
        <v>745165</v>
      </c>
    </row>
    <row r="2574" spans="1:5" x14ac:dyDescent="0.25">
      <c r="A2574">
        <v>2</v>
      </c>
      <c r="B2574">
        <v>1</v>
      </c>
      <c r="C2574">
        <v>11</v>
      </c>
      <c r="D2574">
        <v>2031</v>
      </c>
      <c r="E2574">
        <v>756257</v>
      </c>
    </row>
    <row r="2575" spans="1:5" x14ac:dyDescent="0.25">
      <c r="A2575">
        <v>2</v>
      </c>
      <c r="B2575">
        <v>1</v>
      </c>
      <c r="C2575">
        <v>11</v>
      </c>
      <c r="D2575">
        <v>2032</v>
      </c>
      <c r="E2575">
        <v>767282</v>
      </c>
    </row>
    <row r="2576" spans="1:5" x14ac:dyDescent="0.25">
      <c r="A2576">
        <v>2</v>
      </c>
      <c r="B2576">
        <v>1</v>
      </c>
      <c r="C2576">
        <v>11</v>
      </c>
      <c r="D2576">
        <v>2033</v>
      </c>
      <c r="E2576">
        <v>778294</v>
      </c>
    </row>
    <row r="2577" spans="1:5" x14ac:dyDescent="0.25">
      <c r="A2577">
        <v>2</v>
      </c>
      <c r="B2577">
        <v>1</v>
      </c>
      <c r="C2577">
        <v>11</v>
      </c>
      <c r="D2577">
        <v>2034</v>
      </c>
      <c r="E2577">
        <v>789345</v>
      </c>
    </row>
    <row r="2578" spans="1:5" x14ac:dyDescent="0.25">
      <c r="A2578">
        <v>2</v>
      </c>
      <c r="B2578">
        <v>1</v>
      </c>
      <c r="C2578">
        <v>11</v>
      </c>
      <c r="D2578">
        <v>2035</v>
      </c>
      <c r="E2578">
        <v>800386</v>
      </c>
    </row>
    <row r="2579" spans="1:5" x14ac:dyDescent="0.25">
      <c r="A2579">
        <v>2</v>
      </c>
      <c r="B2579">
        <v>1</v>
      </c>
      <c r="C2579">
        <v>11</v>
      </c>
      <c r="D2579">
        <v>2036</v>
      </c>
      <c r="E2579">
        <v>811435</v>
      </c>
    </row>
    <row r="2580" spans="1:5" x14ac:dyDescent="0.25">
      <c r="A2580">
        <v>2</v>
      </c>
      <c r="B2580">
        <v>1</v>
      </c>
      <c r="C2580">
        <v>11</v>
      </c>
      <c r="D2580">
        <v>2037</v>
      </c>
      <c r="E2580">
        <v>822468</v>
      </c>
    </row>
    <row r="2581" spans="1:5" x14ac:dyDescent="0.25">
      <c r="A2581">
        <v>2</v>
      </c>
      <c r="B2581">
        <v>1</v>
      </c>
      <c r="C2581">
        <v>11</v>
      </c>
      <c r="D2581">
        <v>2038</v>
      </c>
      <c r="E2581">
        <v>833410</v>
      </c>
    </row>
    <row r="2582" spans="1:5" x14ac:dyDescent="0.25">
      <c r="A2582">
        <v>2</v>
      </c>
      <c r="B2582">
        <v>1</v>
      </c>
      <c r="C2582">
        <v>11</v>
      </c>
      <c r="D2582">
        <v>2039</v>
      </c>
      <c r="E2582">
        <v>844331</v>
      </c>
    </row>
    <row r="2583" spans="1:5" x14ac:dyDescent="0.25">
      <c r="A2583">
        <v>2</v>
      </c>
      <c r="B2583">
        <v>1</v>
      </c>
      <c r="C2583">
        <v>11</v>
      </c>
      <c r="D2583">
        <v>2040</v>
      </c>
      <c r="E2583">
        <v>855169</v>
      </c>
    </row>
    <row r="2584" spans="1:5" x14ac:dyDescent="0.25">
      <c r="A2584">
        <v>2</v>
      </c>
      <c r="B2584">
        <v>1</v>
      </c>
      <c r="C2584">
        <v>11</v>
      </c>
      <c r="D2584">
        <v>2041</v>
      </c>
      <c r="E2584">
        <v>865917</v>
      </c>
    </row>
    <row r="2585" spans="1:5" x14ac:dyDescent="0.25">
      <c r="A2585">
        <v>2</v>
      </c>
      <c r="B2585">
        <v>1</v>
      </c>
      <c r="C2585">
        <v>11</v>
      </c>
      <c r="D2585">
        <v>2042</v>
      </c>
      <c r="E2585">
        <v>876581</v>
      </c>
    </row>
    <row r="2586" spans="1:5" x14ac:dyDescent="0.25">
      <c r="A2586">
        <v>2</v>
      </c>
      <c r="B2586">
        <v>1</v>
      </c>
      <c r="C2586">
        <v>11</v>
      </c>
      <c r="D2586">
        <v>2043</v>
      </c>
      <c r="E2586">
        <v>887171</v>
      </c>
    </row>
    <row r="2587" spans="1:5" x14ac:dyDescent="0.25">
      <c r="A2587">
        <v>2</v>
      </c>
      <c r="B2587">
        <v>1</v>
      </c>
      <c r="C2587">
        <v>11</v>
      </c>
      <c r="D2587">
        <v>2044</v>
      </c>
      <c r="E2587">
        <v>897676</v>
      </c>
    </row>
    <row r="2588" spans="1:5" x14ac:dyDescent="0.25">
      <c r="A2588">
        <v>2</v>
      </c>
      <c r="B2588">
        <v>1</v>
      </c>
      <c r="C2588">
        <v>11</v>
      </c>
      <c r="D2588">
        <v>2045</v>
      </c>
      <c r="E2588">
        <v>908048</v>
      </c>
    </row>
    <row r="2589" spans="1:5" x14ac:dyDescent="0.25">
      <c r="A2589">
        <v>2</v>
      </c>
      <c r="B2589">
        <v>1</v>
      </c>
      <c r="C2589">
        <v>11</v>
      </c>
      <c r="D2589">
        <v>2046</v>
      </c>
      <c r="E2589">
        <v>918347</v>
      </c>
    </row>
    <row r="2590" spans="1:5" x14ac:dyDescent="0.25">
      <c r="A2590">
        <v>2</v>
      </c>
      <c r="B2590">
        <v>1</v>
      </c>
      <c r="C2590">
        <v>11</v>
      </c>
      <c r="D2590">
        <v>2047</v>
      </c>
      <c r="E2590">
        <v>928597</v>
      </c>
    </row>
    <row r="2591" spans="1:5" x14ac:dyDescent="0.25">
      <c r="A2591">
        <v>2</v>
      </c>
      <c r="B2591">
        <v>1</v>
      </c>
      <c r="C2591">
        <v>11</v>
      </c>
      <c r="D2591">
        <v>2048</v>
      </c>
      <c r="E2591">
        <v>938721</v>
      </c>
    </row>
    <row r="2592" spans="1:5" x14ac:dyDescent="0.25">
      <c r="A2592">
        <v>2</v>
      </c>
      <c r="B2592">
        <v>1</v>
      </c>
      <c r="C2592">
        <v>11</v>
      </c>
      <c r="D2592">
        <v>2049</v>
      </c>
      <c r="E2592">
        <v>948780</v>
      </c>
    </row>
    <row r="2593" spans="1:5" x14ac:dyDescent="0.25">
      <c r="A2593">
        <v>2</v>
      </c>
      <c r="B2593">
        <v>1</v>
      </c>
      <c r="C2593">
        <v>11</v>
      </c>
      <c r="D2593">
        <v>2050</v>
      </c>
      <c r="E2593">
        <v>958770</v>
      </c>
    </row>
    <row r="2594" spans="1:5" x14ac:dyDescent="0.25">
      <c r="A2594">
        <v>2</v>
      </c>
      <c r="B2594">
        <v>2</v>
      </c>
      <c r="C2594">
        <v>0</v>
      </c>
      <c r="D2594">
        <v>2024</v>
      </c>
      <c r="E2594">
        <v>32406292</v>
      </c>
    </row>
    <row r="2595" spans="1:5" x14ac:dyDescent="0.25">
      <c r="A2595">
        <v>2</v>
      </c>
      <c r="B2595">
        <v>2</v>
      </c>
      <c r="C2595">
        <v>0</v>
      </c>
      <c r="D2595">
        <v>2025</v>
      </c>
      <c r="E2595">
        <v>32914253</v>
      </c>
    </row>
    <row r="2596" spans="1:5" x14ac:dyDescent="0.25">
      <c r="A2596">
        <v>2</v>
      </c>
      <c r="B2596">
        <v>2</v>
      </c>
      <c r="C2596">
        <v>0</v>
      </c>
      <c r="D2596">
        <v>2026</v>
      </c>
      <c r="E2596">
        <v>33423162</v>
      </c>
    </row>
    <row r="2597" spans="1:5" x14ac:dyDescent="0.25">
      <c r="A2597">
        <v>2</v>
      </c>
      <c r="B2597">
        <v>2</v>
      </c>
      <c r="C2597">
        <v>0</v>
      </c>
      <c r="D2597">
        <v>2027</v>
      </c>
      <c r="E2597">
        <v>33933480</v>
      </c>
    </row>
    <row r="2598" spans="1:5" x14ac:dyDescent="0.25">
      <c r="A2598">
        <v>2</v>
      </c>
      <c r="B2598">
        <v>2</v>
      </c>
      <c r="C2598">
        <v>0</v>
      </c>
      <c r="D2598">
        <v>2028</v>
      </c>
      <c r="E2598">
        <v>34445118</v>
      </c>
    </row>
    <row r="2599" spans="1:5" x14ac:dyDescent="0.25">
      <c r="A2599">
        <v>2</v>
      </c>
      <c r="B2599">
        <v>2</v>
      </c>
      <c r="C2599">
        <v>0</v>
      </c>
      <c r="D2599">
        <v>2029</v>
      </c>
      <c r="E2599">
        <v>34957383</v>
      </c>
    </row>
    <row r="2600" spans="1:5" x14ac:dyDescent="0.25">
      <c r="A2600">
        <v>2</v>
      </c>
      <c r="B2600">
        <v>2</v>
      </c>
      <c r="C2600">
        <v>0</v>
      </c>
      <c r="D2600">
        <v>2030</v>
      </c>
      <c r="E2600">
        <v>35470372</v>
      </c>
    </row>
    <row r="2601" spans="1:5" x14ac:dyDescent="0.25">
      <c r="A2601">
        <v>2</v>
      </c>
      <c r="B2601">
        <v>2</v>
      </c>
      <c r="C2601">
        <v>0</v>
      </c>
      <c r="D2601">
        <v>2031</v>
      </c>
      <c r="E2601">
        <v>35984061</v>
      </c>
    </row>
    <row r="2602" spans="1:5" x14ac:dyDescent="0.25">
      <c r="A2602">
        <v>2</v>
      </c>
      <c r="B2602">
        <v>2</v>
      </c>
      <c r="C2602">
        <v>0</v>
      </c>
      <c r="D2602">
        <v>2032</v>
      </c>
      <c r="E2602">
        <v>36497995</v>
      </c>
    </row>
    <row r="2603" spans="1:5" x14ac:dyDescent="0.25">
      <c r="A2603">
        <v>2</v>
      </c>
      <c r="B2603">
        <v>2</v>
      </c>
      <c r="C2603">
        <v>0</v>
      </c>
      <c r="D2603">
        <v>2033</v>
      </c>
      <c r="E2603">
        <v>37011684</v>
      </c>
    </row>
    <row r="2604" spans="1:5" x14ac:dyDescent="0.25">
      <c r="A2604">
        <v>2</v>
      </c>
      <c r="B2604">
        <v>2</v>
      </c>
      <c r="C2604">
        <v>0</v>
      </c>
      <c r="D2604">
        <v>2034</v>
      </c>
      <c r="E2604">
        <v>37524473</v>
      </c>
    </row>
    <row r="2605" spans="1:5" x14ac:dyDescent="0.25">
      <c r="A2605">
        <v>2</v>
      </c>
      <c r="B2605">
        <v>2</v>
      </c>
      <c r="C2605">
        <v>0</v>
      </c>
      <c r="D2605">
        <v>2035</v>
      </c>
      <c r="E2605">
        <v>38035734</v>
      </c>
    </row>
    <row r="2606" spans="1:5" x14ac:dyDescent="0.25">
      <c r="A2606">
        <v>2</v>
      </c>
      <c r="B2606">
        <v>2</v>
      </c>
      <c r="C2606">
        <v>0</v>
      </c>
      <c r="D2606">
        <v>2036</v>
      </c>
      <c r="E2606">
        <v>38544695</v>
      </c>
    </row>
    <row r="2607" spans="1:5" x14ac:dyDescent="0.25">
      <c r="A2607">
        <v>2</v>
      </c>
      <c r="B2607">
        <v>2</v>
      </c>
      <c r="C2607">
        <v>0</v>
      </c>
      <c r="D2607">
        <v>2037</v>
      </c>
      <c r="E2607">
        <v>39050705</v>
      </c>
    </row>
    <row r="2608" spans="1:5" x14ac:dyDescent="0.25">
      <c r="A2608">
        <v>2</v>
      </c>
      <c r="B2608">
        <v>2</v>
      </c>
      <c r="C2608">
        <v>0</v>
      </c>
      <c r="D2608">
        <v>2038</v>
      </c>
      <c r="E2608">
        <v>39552948</v>
      </c>
    </row>
    <row r="2609" spans="1:5" x14ac:dyDescent="0.25">
      <c r="A2609">
        <v>2</v>
      </c>
      <c r="B2609">
        <v>2</v>
      </c>
      <c r="C2609">
        <v>0</v>
      </c>
      <c r="D2609">
        <v>2039</v>
      </c>
      <c r="E2609">
        <v>40050731</v>
      </c>
    </row>
    <row r="2610" spans="1:5" x14ac:dyDescent="0.25">
      <c r="A2610">
        <v>2</v>
      </c>
      <c r="B2610">
        <v>2</v>
      </c>
      <c r="C2610">
        <v>0</v>
      </c>
      <c r="D2610">
        <v>2040</v>
      </c>
      <c r="E2610">
        <v>40543215</v>
      </c>
    </row>
    <row r="2611" spans="1:5" x14ac:dyDescent="0.25">
      <c r="A2611">
        <v>2</v>
      </c>
      <c r="B2611">
        <v>2</v>
      </c>
      <c r="C2611">
        <v>0</v>
      </c>
      <c r="D2611">
        <v>2041</v>
      </c>
      <c r="E2611">
        <v>41029307</v>
      </c>
    </row>
    <row r="2612" spans="1:5" x14ac:dyDescent="0.25">
      <c r="A2612">
        <v>2</v>
      </c>
      <c r="B2612">
        <v>2</v>
      </c>
      <c r="C2612">
        <v>0</v>
      </c>
      <c r="D2612">
        <v>2042</v>
      </c>
      <c r="E2612">
        <v>41508320</v>
      </c>
    </row>
    <row r="2613" spans="1:5" x14ac:dyDescent="0.25">
      <c r="A2613">
        <v>2</v>
      </c>
      <c r="B2613">
        <v>2</v>
      </c>
      <c r="C2613">
        <v>0</v>
      </c>
      <c r="D2613">
        <v>2043</v>
      </c>
      <c r="E2613">
        <v>41979748</v>
      </c>
    </row>
    <row r="2614" spans="1:5" x14ac:dyDescent="0.25">
      <c r="A2614">
        <v>2</v>
      </c>
      <c r="B2614">
        <v>2</v>
      </c>
      <c r="C2614">
        <v>0</v>
      </c>
      <c r="D2614">
        <v>2044</v>
      </c>
      <c r="E2614">
        <v>42443233</v>
      </c>
    </row>
    <row r="2615" spans="1:5" x14ac:dyDescent="0.25">
      <c r="A2615">
        <v>2</v>
      </c>
      <c r="B2615">
        <v>2</v>
      </c>
      <c r="C2615">
        <v>0</v>
      </c>
      <c r="D2615">
        <v>2045</v>
      </c>
      <c r="E2615">
        <v>42898550</v>
      </c>
    </row>
    <row r="2616" spans="1:5" x14ac:dyDescent="0.25">
      <c r="A2616">
        <v>2</v>
      </c>
      <c r="B2616">
        <v>2</v>
      </c>
      <c r="C2616">
        <v>0</v>
      </c>
      <c r="D2616">
        <v>2046</v>
      </c>
      <c r="E2616">
        <v>43345672</v>
      </c>
    </row>
    <row r="2617" spans="1:5" x14ac:dyDescent="0.25">
      <c r="A2617">
        <v>2</v>
      </c>
      <c r="B2617">
        <v>2</v>
      </c>
      <c r="C2617">
        <v>0</v>
      </c>
      <c r="D2617">
        <v>2047</v>
      </c>
      <c r="E2617">
        <v>43784552</v>
      </c>
    </row>
    <row r="2618" spans="1:5" x14ac:dyDescent="0.25">
      <c r="A2618">
        <v>2</v>
      </c>
      <c r="B2618">
        <v>2</v>
      </c>
      <c r="C2618">
        <v>0</v>
      </c>
      <c r="D2618">
        <v>2048</v>
      </c>
      <c r="E2618">
        <v>44215256</v>
      </c>
    </row>
    <row r="2619" spans="1:5" x14ac:dyDescent="0.25">
      <c r="A2619">
        <v>2</v>
      </c>
      <c r="B2619">
        <v>2</v>
      </c>
      <c r="C2619">
        <v>0</v>
      </c>
      <c r="D2619">
        <v>2049</v>
      </c>
      <c r="E2619">
        <v>44637884</v>
      </c>
    </row>
    <row r="2620" spans="1:5" x14ac:dyDescent="0.25">
      <c r="A2620">
        <v>2</v>
      </c>
      <c r="B2620">
        <v>2</v>
      </c>
      <c r="C2620">
        <v>0</v>
      </c>
      <c r="D2620">
        <v>2050</v>
      </c>
      <c r="E2620">
        <v>45052716</v>
      </c>
    </row>
    <row r="2621" spans="1:5" x14ac:dyDescent="0.25">
      <c r="A2621">
        <v>2</v>
      </c>
      <c r="B2621">
        <v>2</v>
      </c>
      <c r="C2621">
        <v>1</v>
      </c>
      <c r="D2621">
        <v>2024</v>
      </c>
      <c r="E2621">
        <v>28144996</v>
      </c>
    </row>
    <row r="2622" spans="1:5" x14ac:dyDescent="0.25">
      <c r="A2622">
        <v>2</v>
      </c>
      <c r="B2622">
        <v>2</v>
      </c>
      <c r="C2622">
        <v>1</v>
      </c>
      <c r="D2622">
        <v>2025</v>
      </c>
      <c r="E2622">
        <v>28579145</v>
      </c>
    </row>
    <row r="2623" spans="1:5" x14ac:dyDescent="0.25">
      <c r="A2623">
        <v>2</v>
      </c>
      <c r="B2623">
        <v>2</v>
      </c>
      <c r="C2623">
        <v>1</v>
      </c>
      <c r="D2623">
        <v>2026</v>
      </c>
      <c r="E2623">
        <v>29013901</v>
      </c>
    </row>
    <row r="2624" spans="1:5" x14ac:dyDescent="0.25">
      <c r="A2624">
        <v>2</v>
      </c>
      <c r="B2624">
        <v>2</v>
      </c>
      <c r="C2624">
        <v>1</v>
      </c>
      <c r="D2624">
        <v>2027</v>
      </c>
      <c r="E2624">
        <v>29449621</v>
      </c>
    </row>
    <row r="2625" spans="1:5" x14ac:dyDescent="0.25">
      <c r="A2625">
        <v>2</v>
      </c>
      <c r="B2625">
        <v>2</v>
      </c>
      <c r="C2625">
        <v>1</v>
      </c>
      <c r="D2625">
        <v>2028</v>
      </c>
      <c r="E2625">
        <v>29886260</v>
      </c>
    </row>
    <row r="2626" spans="1:5" x14ac:dyDescent="0.25">
      <c r="A2626">
        <v>2</v>
      </c>
      <c r="B2626">
        <v>2</v>
      </c>
      <c r="C2626">
        <v>1</v>
      </c>
      <c r="D2626">
        <v>2029</v>
      </c>
      <c r="E2626">
        <v>30323155</v>
      </c>
    </row>
    <row r="2627" spans="1:5" x14ac:dyDescent="0.25">
      <c r="A2627">
        <v>2</v>
      </c>
      <c r="B2627">
        <v>2</v>
      </c>
      <c r="C2627">
        <v>1</v>
      </c>
      <c r="D2627">
        <v>2030</v>
      </c>
      <c r="E2627">
        <v>30760316</v>
      </c>
    </row>
    <row r="2628" spans="1:5" x14ac:dyDescent="0.25">
      <c r="A2628">
        <v>2</v>
      </c>
      <c r="B2628">
        <v>2</v>
      </c>
      <c r="C2628">
        <v>1</v>
      </c>
      <c r="D2628">
        <v>2031</v>
      </c>
      <c r="E2628">
        <v>31197591</v>
      </c>
    </row>
    <row r="2629" spans="1:5" x14ac:dyDescent="0.25">
      <c r="A2629">
        <v>2</v>
      </c>
      <c r="B2629">
        <v>2</v>
      </c>
      <c r="C2629">
        <v>1</v>
      </c>
      <c r="D2629">
        <v>2032</v>
      </c>
      <c r="E2629">
        <v>31634554</v>
      </c>
    </row>
    <row r="2630" spans="1:5" x14ac:dyDescent="0.25">
      <c r="A2630">
        <v>2</v>
      </c>
      <c r="B2630">
        <v>2</v>
      </c>
      <c r="C2630">
        <v>1</v>
      </c>
      <c r="D2630">
        <v>2033</v>
      </c>
      <c r="E2630">
        <v>32070513</v>
      </c>
    </row>
    <row r="2631" spans="1:5" x14ac:dyDescent="0.25">
      <c r="A2631">
        <v>2</v>
      </c>
      <c r="B2631">
        <v>2</v>
      </c>
      <c r="C2631">
        <v>1</v>
      </c>
      <c r="D2631">
        <v>2034</v>
      </c>
      <c r="E2631">
        <v>32504860</v>
      </c>
    </row>
    <row r="2632" spans="1:5" x14ac:dyDescent="0.25">
      <c r="A2632">
        <v>2</v>
      </c>
      <c r="B2632">
        <v>2</v>
      </c>
      <c r="C2632">
        <v>1</v>
      </c>
      <c r="D2632">
        <v>2035</v>
      </c>
      <c r="E2632">
        <v>32936981</v>
      </c>
    </row>
    <row r="2633" spans="1:5" x14ac:dyDescent="0.25">
      <c r="A2633">
        <v>2</v>
      </c>
      <c r="B2633">
        <v>2</v>
      </c>
      <c r="C2633">
        <v>1</v>
      </c>
      <c r="D2633">
        <v>2036</v>
      </c>
      <c r="E2633">
        <v>33366185</v>
      </c>
    </row>
    <row r="2634" spans="1:5" x14ac:dyDescent="0.25">
      <c r="A2634">
        <v>2</v>
      </c>
      <c r="B2634">
        <v>2</v>
      </c>
      <c r="C2634">
        <v>1</v>
      </c>
      <c r="D2634">
        <v>2037</v>
      </c>
      <c r="E2634">
        <v>33791743</v>
      </c>
    </row>
    <row r="2635" spans="1:5" x14ac:dyDescent="0.25">
      <c r="A2635">
        <v>2</v>
      </c>
      <c r="B2635">
        <v>2</v>
      </c>
      <c r="C2635">
        <v>1</v>
      </c>
      <c r="D2635">
        <v>2038</v>
      </c>
      <c r="E2635">
        <v>34212975</v>
      </c>
    </row>
    <row r="2636" spans="1:5" x14ac:dyDescent="0.25">
      <c r="A2636">
        <v>2</v>
      </c>
      <c r="B2636">
        <v>2</v>
      </c>
      <c r="C2636">
        <v>1</v>
      </c>
      <c r="D2636">
        <v>2039</v>
      </c>
      <c r="E2636">
        <v>34629129</v>
      </c>
    </row>
    <row r="2637" spans="1:5" x14ac:dyDescent="0.25">
      <c r="A2637">
        <v>2</v>
      </c>
      <c r="B2637">
        <v>2</v>
      </c>
      <c r="C2637">
        <v>1</v>
      </c>
      <c r="D2637">
        <v>2040</v>
      </c>
      <c r="E2637">
        <v>35039547</v>
      </c>
    </row>
    <row r="2638" spans="1:5" x14ac:dyDescent="0.25">
      <c r="A2638">
        <v>2</v>
      </c>
      <c r="B2638">
        <v>2</v>
      </c>
      <c r="C2638">
        <v>1</v>
      </c>
      <c r="D2638">
        <v>2041</v>
      </c>
      <c r="E2638">
        <v>35443289</v>
      </c>
    </row>
    <row r="2639" spans="1:5" x14ac:dyDescent="0.25">
      <c r="A2639">
        <v>2</v>
      </c>
      <c r="B2639">
        <v>2</v>
      </c>
      <c r="C2639">
        <v>1</v>
      </c>
      <c r="D2639">
        <v>2042</v>
      </c>
      <c r="E2639">
        <v>35839850</v>
      </c>
    </row>
    <row r="2640" spans="1:5" x14ac:dyDescent="0.25">
      <c r="A2640">
        <v>2</v>
      </c>
      <c r="B2640">
        <v>2</v>
      </c>
      <c r="C2640">
        <v>1</v>
      </c>
      <c r="D2640">
        <v>2043</v>
      </c>
      <c r="E2640">
        <v>36228843</v>
      </c>
    </row>
    <row r="2641" spans="1:5" x14ac:dyDescent="0.25">
      <c r="A2641">
        <v>2</v>
      </c>
      <c r="B2641">
        <v>2</v>
      </c>
      <c r="C2641">
        <v>1</v>
      </c>
      <c r="D2641">
        <v>2044</v>
      </c>
      <c r="E2641">
        <v>36610046</v>
      </c>
    </row>
    <row r="2642" spans="1:5" x14ac:dyDescent="0.25">
      <c r="A2642">
        <v>2</v>
      </c>
      <c r="B2642">
        <v>2</v>
      </c>
      <c r="C2642">
        <v>1</v>
      </c>
      <c r="D2642">
        <v>2045</v>
      </c>
      <c r="E2642">
        <v>36983338</v>
      </c>
    </row>
    <row r="2643" spans="1:5" x14ac:dyDescent="0.25">
      <c r="A2643">
        <v>2</v>
      </c>
      <c r="B2643">
        <v>2</v>
      </c>
      <c r="C2643">
        <v>1</v>
      </c>
      <c r="D2643">
        <v>2046</v>
      </c>
      <c r="E2643">
        <v>37348738</v>
      </c>
    </row>
    <row r="2644" spans="1:5" x14ac:dyDescent="0.25">
      <c r="A2644">
        <v>2</v>
      </c>
      <c r="B2644">
        <v>2</v>
      </c>
      <c r="C2644">
        <v>1</v>
      </c>
      <c r="D2644">
        <v>2047</v>
      </c>
      <c r="E2644">
        <v>37706286</v>
      </c>
    </row>
    <row r="2645" spans="1:5" x14ac:dyDescent="0.25">
      <c r="A2645">
        <v>2</v>
      </c>
      <c r="B2645">
        <v>2</v>
      </c>
      <c r="C2645">
        <v>1</v>
      </c>
      <c r="D2645">
        <v>2048</v>
      </c>
      <c r="E2645">
        <v>38056130</v>
      </c>
    </row>
    <row r="2646" spans="1:5" x14ac:dyDescent="0.25">
      <c r="A2646">
        <v>2</v>
      </c>
      <c r="B2646">
        <v>2</v>
      </c>
      <c r="C2646">
        <v>1</v>
      </c>
      <c r="D2646">
        <v>2049</v>
      </c>
      <c r="E2646">
        <v>38398449</v>
      </c>
    </row>
    <row r="2647" spans="1:5" x14ac:dyDescent="0.25">
      <c r="A2647">
        <v>2</v>
      </c>
      <c r="B2647">
        <v>2</v>
      </c>
      <c r="C2647">
        <v>1</v>
      </c>
      <c r="D2647">
        <v>2050</v>
      </c>
      <c r="E2647">
        <v>38733512</v>
      </c>
    </row>
    <row r="2648" spans="1:5" x14ac:dyDescent="0.25">
      <c r="A2648">
        <v>2</v>
      </c>
      <c r="B2648">
        <v>2</v>
      </c>
      <c r="C2648">
        <v>2</v>
      </c>
      <c r="D2648">
        <v>2024</v>
      </c>
      <c r="E2648">
        <v>1736007</v>
      </c>
    </row>
    <row r="2649" spans="1:5" x14ac:dyDescent="0.25">
      <c r="A2649">
        <v>2</v>
      </c>
      <c r="B2649">
        <v>2</v>
      </c>
      <c r="C2649">
        <v>2</v>
      </c>
      <c r="D2649">
        <v>2025</v>
      </c>
      <c r="E2649">
        <v>1762461</v>
      </c>
    </row>
    <row r="2650" spans="1:5" x14ac:dyDescent="0.25">
      <c r="A2650">
        <v>2</v>
      </c>
      <c r="B2650">
        <v>2</v>
      </c>
      <c r="C2650">
        <v>2</v>
      </c>
      <c r="D2650">
        <v>2026</v>
      </c>
      <c r="E2650">
        <v>1788880</v>
      </c>
    </row>
    <row r="2651" spans="1:5" x14ac:dyDescent="0.25">
      <c r="A2651">
        <v>2</v>
      </c>
      <c r="B2651">
        <v>2</v>
      </c>
      <c r="C2651">
        <v>2</v>
      </c>
      <c r="D2651">
        <v>2027</v>
      </c>
      <c r="E2651">
        <v>1815337</v>
      </c>
    </row>
    <row r="2652" spans="1:5" x14ac:dyDescent="0.25">
      <c r="A2652">
        <v>2</v>
      </c>
      <c r="B2652">
        <v>2</v>
      </c>
      <c r="C2652">
        <v>2</v>
      </c>
      <c r="D2652">
        <v>2028</v>
      </c>
      <c r="E2652">
        <v>1841776</v>
      </c>
    </row>
    <row r="2653" spans="1:5" x14ac:dyDescent="0.25">
      <c r="A2653">
        <v>2</v>
      </c>
      <c r="B2653">
        <v>2</v>
      </c>
      <c r="C2653">
        <v>2</v>
      </c>
      <c r="D2653">
        <v>2029</v>
      </c>
      <c r="E2653">
        <v>1868185</v>
      </c>
    </row>
    <row r="2654" spans="1:5" x14ac:dyDescent="0.25">
      <c r="A2654">
        <v>2</v>
      </c>
      <c r="B2654">
        <v>2</v>
      </c>
      <c r="C2654">
        <v>2</v>
      </c>
      <c r="D2654">
        <v>2030</v>
      </c>
      <c r="E2654">
        <v>1894637</v>
      </c>
    </row>
    <row r="2655" spans="1:5" x14ac:dyDescent="0.25">
      <c r="A2655">
        <v>2</v>
      </c>
      <c r="B2655">
        <v>2</v>
      </c>
      <c r="C2655">
        <v>2</v>
      </c>
      <c r="D2655">
        <v>2031</v>
      </c>
      <c r="E2655">
        <v>1921125</v>
      </c>
    </row>
    <row r="2656" spans="1:5" x14ac:dyDescent="0.25">
      <c r="A2656">
        <v>2</v>
      </c>
      <c r="B2656">
        <v>2</v>
      </c>
      <c r="C2656">
        <v>2</v>
      </c>
      <c r="D2656">
        <v>2032</v>
      </c>
      <c r="E2656">
        <v>1947695</v>
      </c>
    </row>
    <row r="2657" spans="1:5" x14ac:dyDescent="0.25">
      <c r="A2657">
        <v>2</v>
      </c>
      <c r="B2657">
        <v>2</v>
      </c>
      <c r="C2657">
        <v>2</v>
      </c>
      <c r="D2657">
        <v>2033</v>
      </c>
      <c r="E2657">
        <v>1974399</v>
      </c>
    </row>
    <row r="2658" spans="1:5" x14ac:dyDescent="0.25">
      <c r="A2658">
        <v>2</v>
      </c>
      <c r="B2658">
        <v>2</v>
      </c>
      <c r="C2658">
        <v>2</v>
      </c>
      <c r="D2658">
        <v>2034</v>
      </c>
      <c r="E2658">
        <v>2001232</v>
      </c>
    </row>
    <row r="2659" spans="1:5" x14ac:dyDescent="0.25">
      <c r="A2659">
        <v>2</v>
      </c>
      <c r="B2659">
        <v>2</v>
      </c>
      <c r="C2659">
        <v>2</v>
      </c>
      <c r="D2659">
        <v>2035</v>
      </c>
      <c r="E2659">
        <v>2028200</v>
      </c>
    </row>
    <row r="2660" spans="1:5" x14ac:dyDescent="0.25">
      <c r="A2660">
        <v>2</v>
      </c>
      <c r="B2660">
        <v>2</v>
      </c>
      <c r="C2660">
        <v>2</v>
      </c>
      <c r="D2660">
        <v>2036</v>
      </c>
      <c r="E2660">
        <v>2055268</v>
      </c>
    </row>
    <row r="2661" spans="1:5" x14ac:dyDescent="0.25">
      <c r="A2661">
        <v>2</v>
      </c>
      <c r="B2661">
        <v>2</v>
      </c>
      <c r="C2661">
        <v>2</v>
      </c>
      <c r="D2661">
        <v>2037</v>
      </c>
      <c r="E2661">
        <v>2082469</v>
      </c>
    </row>
    <row r="2662" spans="1:5" x14ac:dyDescent="0.25">
      <c r="A2662">
        <v>2</v>
      </c>
      <c r="B2662">
        <v>2</v>
      </c>
      <c r="C2662">
        <v>2</v>
      </c>
      <c r="D2662">
        <v>2038</v>
      </c>
      <c r="E2662">
        <v>2109775</v>
      </c>
    </row>
    <row r="2663" spans="1:5" x14ac:dyDescent="0.25">
      <c r="A2663">
        <v>2</v>
      </c>
      <c r="B2663">
        <v>2</v>
      </c>
      <c r="C2663">
        <v>2</v>
      </c>
      <c r="D2663">
        <v>2039</v>
      </c>
      <c r="E2663">
        <v>2137163</v>
      </c>
    </row>
    <row r="2664" spans="1:5" x14ac:dyDescent="0.25">
      <c r="A2664">
        <v>2</v>
      </c>
      <c r="B2664">
        <v>2</v>
      </c>
      <c r="C2664">
        <v>2</v>
      </c>
      <c r="D2664">
        <v>2040</v>
      </c>
      <c r="E2664">
        <v>2164627</v>
      </c>
    </row>
    <row r="2665" spans="1:5" x14ac:dyDescent="0.25">
      <c r="A2665">
        <v>2</v>
      </c>
      <c r="B2665">
        <v>2</v>
      </c>
      <c r="C2665">
        <v>2</v>
      </c>
      <c r="D2665">
        <v>2041</v>
      </c>
      <c r="E2665">
        <v>2192083</v>
      </c>
    </row>
    <row r="2666" spans="1:5" x14ac:dyDescent="0.25">
      <c r="A2666">
        <v>2</v>
      </c>
      <c r="B2666">
        <v>2</v>
      </c>
      <c r="C2666">
        <v>2</v>
      </c>
      <c r="D2666">
        <v>2042</v>
      </c>
      <c r="E2666">
        <v>2219470</v>
      </c>
    </row>
    <row r="2667" spans="1:5" x14ac:dyDescent="0.25">
      <c r="A2667">
        <v>2</v>
      </c>
      <c r="B2667">
        <v>2</v>
      </c>
      <c r="C2667">
        <v>2</v>
      </c>
      <c r="D2667">
        <v>2043</v>
      </c>
      <c r="E2667">
        <v>2246720</v>
      </c>
    </row>
    <row r="2668" spans="1:5" x14ac:dyDescent="0.25">
      <c r="A2668">
        <v>2</v>
      </c>
      <c r="B2668">
        <v>2</v>
      </c>
      <c r="C2668">
        <v>2</v>
      </c>
      <c r="D2668">
        <v>2044</v>
      </c>
      <c r="E2668">
        <v>2273782</v>
      </c>
    </row>
    <row r="2669" spans="1:5" x14ac:dyDescent="0.25">
      <c r="A2669">
        <v>2</v>
      </c>
      <c r="B2669">
        <v>2</v>
      </c>
      <c r="C2669">
        <v>2</v>
      </c>
      <c r="D2669">
        <v>2045</v>
      </c>
      <c r="E2669">
        <v>2300592</v>
      </c>
    </row>
    <row r="2670" spans="1:5" x14ac:dyDescent="0.25">
      <c r="A2670">
        <v>2</v>
      </c>
      <c r="B2670">
        <v>2</v>
      </c>
      <c r="C2670">
        <v>2</v>
      </c>
      <c r="D2670">
        <v>2046</v>
      </c>
      <c r="E2670">
        <v>2327137</v>
      </c>
    </row>
    <row r="2671" spans="1:5" x14ac:dyDescent="0.25">
      <c r="A2671">
        <v>2</v>
      </c>
      <c r="B2671">
        <v>2</v>
      </c>
      <c r="C2671">
        <v>2</v>
      </c>
      <c r="D2671">
        <v>2047</v>
      </c>
      <c r="E2671">
        <v>2353397</v>
      </c>
    </row>
    <row r="2672" spans="1:5" x14ac:dyDescent="0.25">
      <c r="A2672">
        <v>2</v>
      </c>
      <c r="B2672">
        <v>2</v>
      </c>
      <c r="C2672">
        <v>2</v>
      </c>
      <c r="D2672">
        <v>2048</v>
      </c>
      <c r="E2672">
        <v>2379310</v>
      </c>
    </row>
    <row r="2673" spans="1:5" x14ac:dyDescent="0.25">
      <c r="A2673">
        <v>2</v>
      </c>
      <c r="B2673">
        <v>2</v>
      </c>
      <c r="C2673">
        <v>2</v>
      </c>
      <c r="D2673">
        <v>2049</v>
      </c>
      <c r="E2673">
        <v>2404841</v>
      </c>
    </row>
    <row r="2674" spans="1:5" x14ac:dyDescent="0.25">
      <c r="A2674">
        <v>2</v>
      </c>
      <c r="B2674">
        <v>2</v>
      </c>
      <c r="C2674">
        <v>2</v>
      </c>
      <c r="D2674">
        <v>2050</v>
      </c>
      <c r="E2674">
        <v>2430011</v>
      </c>
    </row>
    <row r="2675" spans="1:5" x14ac:dyDescent="0.25">
      <c r="A2675">
        <v>2</v>
      </c>
      <c r="B2675">
        <v>2</v>
      </c>
      <c r="C2675">
        <v>3</v>
      </c>
      <c r="D2675">
        <v>2024</v>
      </c>
      <c r="E2675">
        <v>965490</v>
      </c>
    </row>
    <row r="2676" spans="1:5" x14ac:dyDescent="0.25">
      <c r="A2676">
        <v>2</v>
      </c>
      <c r="B2676">
        <v>2</v>
      </c>
      <c r="C2676">
        <v>3</v>
      </c>
      <c r="D2676">
        <v>2025</v>
      </c>
      <c r="E2676">
        <v>977499</v>
      </c>
    </row>
    <row r="2677" spans="1:5" x14ac:dyDescent="0.25">
      <c r="A2677">
        <v>2</v>
      </c>
      <c r="B2677">
        <v>2</v>
      </c>
      <c r="C2677">
        <v>3</v>
      </c>
      <c r="D2677">
        <v>2026</v>
      </c>
      <c r="E2677">
        <v>989440</v>
      </c>
    </row>
    <row r="2678" spans="1:5" x14ac:dyDescent="0.25">
      <c r="A2678">
        <v>2</v>
      </c>
      <c r="B2678">
        <v>2</v>
      </c>
      <c r="C2678">
        <v>3</v>
      </c>
      <c r="D2678">
        <v>2027</v>
      </c>
      <c r="E2678">
        <v>1001327</v>
      </c>
    </row>
    <row r="2679" spans="1:5" x14ac:dyDescent="0.25">
      <c r="A2679">
        <v>2</v>
      </c>
      <c r="B2679">
        <v>2</v>
      </c>
      <c r="C2679">
        <v>3</v>
      </c>
      <c r="D2679">
        <v>2028</v>
      </c>
      <c r="E2679">
        <v>1013150</v>
      </c>
    </row>
    <row r="2680" spans="1:5" x14ac:dyDescent="0.25">
      <c r="A2680">
        <v>2</v>
      </c>
      <c r="B2680">
        <v>2</v>
      </c>
      <c r="C2680">
        <v>3</v>
      </c>
      <c r="D2680">
        <v>2029</v>
      </c>
      <c r="E2680">
        <v>1024887</v>
      </c>
    </row>
    <row r="2681" spans="1:5" x14ac:dyDescent="0.25">
      <c r="A2681">
        <v>2</v>
      </c>
      <c r="B2681">
        <v>2</v>
      </c>
      <c r="C2681">
        <v>3</v>
      </c>
      <c r="D2681">
        <v>2030</v>
      </c>
      <c r="E2681">
        <v>1036568</v>
      </c>
    </row>
    <row r="2682" spans="1:5" x14ac:dyDescent="0.25">
      <c r="A2682">
        <v>2</v>
      </c>
      <c r="B2682">
        <v>2</v>
      </c>
      <c r="C2682">
        <v>3</v>
      </c>
      <c r="D2682">
        <v>2031</v>
      </c>
      <c r="E2682">
        <v>1048241</v>
      </c>
    </row>
    <row r="2683" spans="1:5" x14ac:dyDescent="0.25">
      <c r="A2683">
        <v>2</v>
      </c>
      <c r="B2683">
        <v>2</v>
      </c>
      <c r="C2683">
        <v>3</v>
      </c>
      <c r="D2683">
        <v>2032</v>
      </c>
      <c r="E2683">
        <v>1059871</v>
      </c>
    </row>
    <row r="2684" spans="1:5" x14ac:dyDescent="0.25">
      <c r="A2684">
        <v>2</v>
      </c>
      <c r="B2684">
        <v>2</v>
      </c>
      <c r="C2684">
        <v>3</v>
      </c>
      <c r="D2684">
        <v>2033</v>
      </c>
      <c r="E2684">
        <v>1071523</v>
      </c>
    </row>
    <row r="2685" spans="1:5" x14ac:dyDescent="0.25">
      <c r="A2685">
        <v>2</v>
      </c>
      <c r="B2685">
        <v>2</v>
      </c>
      <c r="C2685">
        <v>3</v>
      </c>
      <c r="D2685">
        <v>2034</v>
      </c>
      <c r="E2685">
        <v>1083188</v>
      </c>
    </row>
    <row r="2686" spans="1:5" x14ac:dyDescent="0.25">
      <c r="A2686">
        <v>2</v>
      </c>
      <c r="B2686">
        <v>2</v>
      </c>
      <c r="C2686">
        <v>3</v>
      </c>
      <c r="D2686">
        <v>2035</v>
      </c>
      <c r="E2686">
        <v>1094873</v>
      </c>
    </row>
    <row r="2687" spans="1:5" x14ac:dyDescent="0.25">
      <c r="A2687">
        <v>2</v>
      </c>
      <c r="B2687">
        <v>2</v>
      </c>
      <c r="C2687">
        <v>3</v>
      </c>
      <c r="D2687">
        <v>2036</v>
      </c>
      <c r="E2687">
        <v>1106578</v>
      </c>
    </row>
    <row r="2688" spans="1:5" x14ac:dyDescent="0.25">
      <c r="A2688">
        <v>2</v>
      </c>
      <c r="B2688">
        <v>2</v>
      </c>
      <c r="C2688">
        <v>3</v>
      </c>
      <c r="D2688">
        <v>2037</v>
      </c>
      <c r="E2688">
        <v>1118312</v>
      </c>
    </row>
    <row r="2689" spans="1:5" x14ac:dyDescent="0.25">
      <c r="A2689">
        <v>2</v>
      </c>
      <c r="B2689">
        <v>2</v>
      </c>
      <c r="C2689">
        <v>3</v>
      </c>
      <c r="D2689">
        <v>2038</v>
      </c>
      <c r="E2689">
        <v>1130074</v>
      </c>
    </row>
    <row r="2690" spans="1:5" x14ac:dyDescent="0.25">
      <c r="A2690">
        <v>2</v>
      </c>
      <c r="B2690">
        <v>2</v>
      </c>
      <c r="C2690">
        <v>3</v>
      </c>
      <c r="D2690">
        <v>2039</v>
      </c>
      <c r="E2690">
        <v>1141863</v>
      </c>
    </row>
    <row r="2691" spans="1:5" x14ac:dyDescent="0.25">
      <c r="A2691">
        <v>2</v>
      </c>
      <c r="B2691">
        <v>2</v>
      </c>
      <c r="C2691">
        <v>3</v>
      </c>
      <c r="D2691">
        <v>2040</v>
      </c>
      <c r="E2691">
        <v>1153664</v>
      </c>
    </row>
    <row r="2692" spans="1:5" x14ac:dyDescent="0.25">
      <c r="A2692">
        <v>2</v>
      </c>
      <c r="B2692">
        <v>2</v>
      </c>
      <c r="C2692">
        <v>3</v>
      </c>
      <c r="D2692">
        <v>2041</v>
      </c>
      <c r="E2692">
        <v>1165391</v>
      </c>
    </row>
    <row r="2693" spans="1:5" x14ac:dyDescent="0.25">
      <c r="A2693">
        <v>2</v>
      </c>
      <c r="B2693">
        <v>2</v>
      </c>
      <c r="C2693">
        <v>3</v>
      </c>
      <c r="D2693">
        <v>2042</v>
      </c>
      <c r="E2693">
        <v>1177045</v>
      </c>
    </row>
    <row r="2694" spans="1:5" x14ac:dyDescent="0.25">
      <c r="A2694">
        <v>2</v>
      </c>
      <c r="B2694">
        <v>2</v>
      </c>
      <c r="C2694">
        <v>3</v>
      </c>
      <c r="D2694">
        <v>2043</v>
      </c>
      <c r="E2694">
        <v>1188552</v>
      </c>
    </row>
    <row r="2695" spans="1:5" x14ac:dyDescent="0.25">
      <c r="A2695">
        <v>2</v>
      </c>
      <c r="B2695">
        <v>2</v>
      </c>
      <c r="C2695">
        <v>3</v>
      </c>
      <c r="D2695">
        <v>2044</v>
      </c>
      <c r="E2695">
        <v>1199870</v>
      </c>
    </row>
    <row r="2696" spans="1:5" x14ac:dyDescent="0.25">
      <c r="A2696">
        <v>2</v>
      </c>
      <c r="B2696">
        <v>2</v>
      </c>
      <c r="C2696">
        <v>3</v>
      </c>
      <c r="D2696">
        <v>2045</v>
      </c>
      <c r="E2696">
        <v>1210999</v>
      </c>
    </row>
    <row r="2697" spans="1:5" x14ac:dyDescent="0.25">
      <c r="A2697">
        <v>2</v>
      </c>
      <c r="B2697">
        <v>2</v>
      </c>
      <c r="C2697">
        <v>3</v>
      </c>
      <c r="D2697">
        <v>2046</v>
      </c>
      <c r="E2697">
        <v>1221886</v>
      </c>
    </row>
    <row r="2698" spans="1:5" x14ac:dyDescent="0.25">
      <c r="A2698">
        <v>2</v>
      </c>
      <c r="B2698">
        <v>2</v>
      </c>
      <c r="C2698">
        <v>3</v>
      </c>
      <c r="D2698">
        <v>2047</v>
      </c>
      <c r="E2698">
        <v>1232536</v>
      </c>
    </row>
    <row r="2699" spans="1:5" x14ac:dyDescent="0.25">
      <c r="A2699">
        <v>2</v>
      </c>
      <c r="B2699">
        <v>2</v>
      </c>
      <c r="C2699">
        <v>3</v>
      </c>
      <c r="D2699">
        <v>2048</v>
      </c>
      <c r="E2699">
        <v>1242909</v>
      </c>
    </row>
    <row r="2700" spans="1:5" x14ac:dyDescent="0.25">
      <c r="A2700">
        <v>2</v>
      </c>
      <c r="B2700">
        <v>2</v>
      </c>
      <c r="C2700">
        <v>3</v>
      </c>
      <c r="D2700">
        <v>2049</v>
      </c>
      <c r="E2700">
        <v>1252995</v>
      </c>
    </row>
    <row r="2701" spans="1:5" x14ac:dyDescent="0.25">
      <c r="A2701">
        <v>2</v>
      </c>
      <c r="B2701">
        <v>2</v>
      </c>
      <c r="C2701">
        <v>3</v>
      </c>
      <c r="D2701">
        <v>2050</v>
      </c>
      <c r="E2701">
        <v>1262760</v>
      </c>
    </row>
    <row r="2702" spans="1:5" x14ac:dyDescent="0.25">
      <c r="A2702">
        <v>2</v>
      </c>
      <c r="B2702">
        <v>2</v>
      </c>
      <c r="C2702">
        <v>4</v>
      </c>
      <c r="D2702">
        <v>2024</v>
      </c>
      <c r="E2702">
        <v>346919</v>
      </c>
    </row>
    <row r="2703" spans="1:5" x14ac:dyDescent="0.25">
      <c r="A2703">
        <v>2</v>
      </c>
      <c r="B2703">
        <v>2</v>
      </c>
      <c r="C2703">
        <v>4</v>
      </c>
      <c r="D2703">
        <v>2025</v>
      </c>
      <c r="E2703">
        <v>351623</v>
      </c>
    </row>
    <row r="2704" spans="1:5" x14ac:dyDescent="0.25">
      <c r="A2704">
        <v>2</v>
      </c>
      <c r="B2704">
        <v>2</v>
      </c>
      <c r="C2704">
        <v>4</v>
      </c>
      <c r="D2704">
        <v>2026</v>
      </c>
      <c r="E2704">
        <v>356331</v>
      </c>
    </row>
    <row r="2705" spans="1:5" x14ac:dyDescent="0.25">
      <c r="A2705">
        <v>2</v>
      </c>
      <c r="B2705">
        <v>2</v>
      </c>
      <c r="C2705">
        <v>4</v>
      </c>
      <c r="D2705">
        <v>2027</v>
      </c>
      <c r="E2705">
        <v>361044</v>
      </c>
    </row>
    <row r="2706" spans="1:5" x14ac:dyDescent="0.25">
      <c r="A2706">
        <v>2</v>
      </c>
      <c r="B2706">
        <v>2</v>
      </c>
      <c r="C2706">
        <v>4</v>
      </c>
      <c r="D2706">
        <v>2028</v>
      </c>
      <c r="E2706">
        <v>365769</v>
      </c>
    </row>
    <row r="2707" spans="1:5" x14ac:dyDescent="0.25">
      <c r="A2707">
        <v>2</v>
      </c>
      <c r="B2707">
        <v>2</v>
      </c>
      <c r="C2707">
        <v>4</v>
      </c>
      <c r="D2707">
        <v>2029</v>
      </c>
      <c r="E2707">
        <v>370512</v>
      </c>
    </row>
    <row r="2708" spans="1:5" x14ac:dyDescent="0.25">
      <c r="A2708">
        <v>2</v>
      </c>
      <c r="B2708">
        <v>2</v>
      </c>
      <c r="C2708">
        <v>4</v>
      </c>
      <c r="D2708">
        <v>2030</v>
      </c>
      <c r="E2708">
        <v>375285</v>
      </c>
    </row>
    <row r="2709" spans="1:5" x14ac:dyDescent="0.25">
      <c r="A2709">
        <v>2</v>
      </c>
      <c r="B2709">
        <v>2</v>
      </c>
      <c r="C2709">
        <v>4</v>
      </c>
      <c r="D2709">
        <v>2031</v>
      </c>
      <c r="E2709">
        <v>380057</v>
      </c>
    </row>
    <row r="2710" spans="1:5" x14ac:dyDescent="0.25">
      <c r="A2710">
        <v>2</v>
      </c>
      <c r="B2710">
        <v>2</v>
      </c>
      <c r="C2710">
        <v>4</v>
      </c>
      <c r="D2710">
        <v>2032</v>
      </c>
      <c r="E2710">
        <v>384878</v>
      </c>
    </row>
    <row r="2711" spans="1:5" x14ac:dyDescent="0.25">
      <c r="A2711">
        <v>2</v>
      </c>
      <c r="B2711">
        <v>2</v>
      </c>
      <c r="C2711">
        <v>4</v>
      </c>
      <c r="D2711">
        <v>2033</v>
      </c>
      <c r="E2711">
        <v>389735</v>
      </c>
    </row>
    <row r="2712" spans="1:5" x14ac:dyDescent="0.25">
      <c r="A2712">
        <v>2</v>
      </c>
      <c r="B2712">
        <v>2</v>
      </c>
      <c r="C2712">
        <v>4</v>
      </c>
      <c r="D2712">
        <v>2034</v>
      </c>
      <c r="E2712">
        <v>394629</v>
      </c>
    </row>
    <row r="2713" spans="1:5" x14ac:dyDescent="0.25">
      <c r="A2713">
        <v>2</v>
      </c>
      <c r="B2713">
        <v>2</v>
      </c>
      <c r="C2713">
        <v>4</v>
      </c>
      <c r="D2713">
        <v>2035</v>
      </c>
      <c r="E2713">
        <v>399557</v>
      </c>
    </row>
    <row r="2714" spans="1:5" x14ac:dyDescent="0.25">
      <c r="A2714">
        <v>2</v>
      </c>
      <c r="B2714">
        <v>2</v>
      </c>
      <c r="C2714">
        <v>4</v>
      </c>
      <c r="D2714">
        <v>2036</v>
      </c>
      <c r="E2714">
        <v>404543</v>
      </c>
    </row>
    <row r="2715" spans="1:5" x14ac:dyDescent="0.25">
      <c r="A2715">
        <v>2</v>
      </c>
      <c r="B2715">
        <v>2</v>
      </c>
      <c r="C2715">
        <v>4</v>
      </c>
      <c r="D2715">
        <v>2037</v>
      </c>
      <c r="E2715">
        <v>409574</v>
      </c>
    </row>
    <row r="2716" spans="1:5" x14ac:dyDescent="0.25">
      <c r="A2716">
        <v>2</v>
      </c>
      <c r="B2716">
        <v>2</v>
      </c>
      <c r="C2716">
        <v>4</v>
      </c>
      <c r="D2716">
        <v>2038</v>
      </c>
      <c r="E2716">
        <v>414642</v>
      </c>
    </row>
    <row r="2717" spans="1:5" x14ac:dyDescent="0.25">
      <c r="A2717">
        <v>2</v>
      </c>
      <c r="B2717">
        <v>2</v>
      </c>
      <c r="C2717">
        <v>4</v>
      </c>
      <c r="D2717">
        <v>2039</v>
      </c>
      <c r="E2717">
        <v>419781</v>
      </c>
    </row>
    <row r="2718" spans="1:5" x14ac:dyDescent="0.25">
      <c r="A2718">
        <v>2</v>
      </c>
      <c r="B2718">
        <v>2</v>
      </c>
      <c r="C2718">
        <v>4</v>
      </c>
      <c r="D2718">
        <v>2040</v>
      </c>
      <c r="E2718">
        <v>424957</v>
      </c>
    </row>
    <row r="2719" spans="1:5" x14ac:dyDescent="0.25">
      <c r="A2719">
        <v>2</v>
      </c>
      <c r="B2719">
        <v>2</v>
      </c>
      <c r="C2719">
        <v>4</v>
      </c>
      <c r="D2719">
        <v>2041</v>
      </c>
      <c r="E2719">
        <v>430181</v>
      </c>
    </row>
    <row r="2720" spans="1:5" x14ac:dyDescent="0.25">
      <c r="A2720">
        <v>2</v>
      </c>
      <c r="B2720">
        <v>2</v>
      </c>
      <c r="C2720">
        <v>4</v>
      </c>
      <c r="D2720">
        <v>2042</v>
      </c>
      <c r="E2720">
        <v>435463</v>
      </c>
    </row>
    <row r="2721" spans="1:5" x14ac:dyDescent="0.25">
      <c r="A2721">
        <v>2</v>
      </c>
      <c r="B2721">
        <v>2</v>
      </c>
      <c r="C2721">
        <v>4</v>
      </c>
      <c r="D2721">
        <v>2043</v>
      </c>
      <c r="E2721">
        <v>440782</v>
      </c>
    </row>
    <row r="2722" spans="1:5" x14ac:dyDescent="0.25">
      <c r="A2722">
        <v>2</v>
      </c>
      <c r="B2722">
        <v>2</v>
      </c>
      <c r="C2722">
        <v>4</v>
      </c>
      <c r="D2722">
        <v>2044</v>
      </c>
      <c r="E2722">
        <v>446125</v>
      </c>
    </row>
    <row r="2723" spans="1:5" x14ac:dyDescent="0.25">
      <c r="A2723">
        <v>2</v>
      </c>
      <c r="B2723">
        <v>2</v>
      </c>
      <c r="C2723">
        <v>4</v>
      </c>
      <c r="D2723">
        <v>2045</v>
      </c>
      <c r="E2723">
        <v>451496</v>
      </c>
    </row>
    <row r="2724" spans="1:5" x14ac:dyDescent="0.25">
      <c r="A2724">
        <v>2</v>
      </c>
      <c r="B2724">
        <v>2</v>
      </c>
      <c r="C2724">
        <v>4</v>
      </c>
      <c r="D2724">
        <v>2046</v>
      </c>
      <c r="E2724">
        <v>456896</v>
      </c>
    </row>
    <row r="2725" spans="1:5" x14ac:dyDescent="0.25">
      <c r="A2725">
        <v>2</v>
      </c>
      <c r="B2725">
        <v>2</v>
      </c>
      <c r="C2725">
        <v>4</v>
      </c>
      <c r="D2725">
        <v>2047</v>
      </c>
      <c r="E2725">
        <v>462306</v>
      </c>
    </row>
    <row r="2726" spans="1:5" x14ac:dyDescent="0.25">
      <c r="A2726">
        <v>2</v>
      </c>
      <c r="B2726">
        <v>2</v>
      </c>
      <c r="C2726">
        <v>4</v>
      </c>
      <c r="D2726">
        <v>2048</v>
      </c>
      <c r="E2726">
        <v>467712</v>
      </c>
    </row>
    <row r="2727" spans="1:5" x14ac:dyDescent="0.25">
      <c r="A2727">
        <v>2</v>
      </c>
      <c r="B2727">
        <v>2</v>
      </c>
      <c r="C2727">
        <v>4</v>
      </c>
      <c r="D2727">
        <v>2049</v>
      </c>
      <c r="E2727">
        <v>473106</v>
      </c>
    </row>
    <row r="2728" spans="1:5" x14ac:dyDescent="0.25">
      <c r="A2728">
        <v>2</v>
      </c>
      <c r="B2728">
        <v>2</v>
      </c>
      <c r="C2728">
        <v>4</v>
      </c>
      <c r="D2728">
        <v>2050</v>
      </c>
      <c r="E2728">
        <v>478469</v>
      </c>
    </row>
    <row r="2729" spans="1:5" x14ac:dyDescent="0.25">
      <c r="A2729">
        <v>2</v>
      </c>
      <c r="B2729">
        <v>2</v>
      </c>
      <c r="C2729">
        <v>5</v>
      </c>
      <c r="D2729">
        <v>2024</v>
      </c>
      <c r="E2729">
        <v>120266</v>
      </c>
    </row>
    <row r="2730" spans="1:5" x14ac:dyDescent="0.25">
      <c r="A2730">
        <v>2</v>
      </c>
      <c r="B2730">
        <v>2</v>
      </c>
      <c r="C2730">
        <v>5</v>
      </c>
      <c r="D2730">
        <v>2025</v>
      </c>
      <c r="E2730">
        <v>121658</v>
      </c>
    </row>
    <row r="2731" spans="1:5" x14ac:dyDescent="0.25">
      <c r="A2731">
        <v>2</v>
      </c>
      <c r="B2731">
        <v>2</v>
      </c>
      <c r="C2731">
        <v>5</v>
      </c>
      <c r="D2731">
        <v>2026</v>
      </c>
      <c r="E2731">
        <v>123025</v>
      </c>
    </row>
    <row r="2732" spans="1:5" x14ac:dyDescent="0.25">
      <c r="A2732">
        <v>2</v>
      </c>
      <c r="B2732">
        <v>2</v>
      </c>
      <c r="C2732">
        <v>5</v>
      </c>
      <c r="D2732">
        <v>2027</v>
      </c>
      <c r="E2732">
        <v>124375</v>
      </c>
    </row>
    <row r="2733" spans="1:5" x14ac:dyDescent="0.25">
      <c r="A2733">
        <v>2</v>
      </c>
      <c r="B2733">
        <v>2</v>
      </c>
      <c r="C2733">
        <v>5</v>
      </c>
      <c r="D2733">
        <v>2028</v>
      </c>
      <c r="E2733">
        <v>125713</v>
      </c>
    </row>
    <row r="2734" spans="1:5" x14ac:dyDescent="0.25">
      <c r="A2734">
        <v>2</v>
      </c>
      <c r="B2734">
        <v>2</v>
      </c>
      <c r="C2734">
        <v>5</v>
      </c>
      <c r="D2734">
        <v>2029</v>
      </c>
      <c r="E2734">
        <v>127044</v>
      </c>
    </row>
    <row r="2735" spans="1:5" x14ac:dyDescent="0.25">
      <c r="A2735">
        <v>2</v>
      </c>
      <c r="B2735">
        <v>2</v>
      </c>
      <c r="C2735">
        <v>5</v>
      </c>
      <c r="D2735">
        <v>2030</v>
      </c>
      <c r="E2735">
        <v>128364</v>
      </c>
    </row>
    <row r="2736" spans="1:5" x14ac:dyDescent="0.25">
      <c r="A2736">
        <v>2</v>
      </c>
      <c r="B2736">
        <v>2</v>
      </c>
      <c r="C2736">
        <v>5</v>
      </c>
      <c r="D2736">
        <v>2031</v>
      </c>
      <c r="E2736">
        <v>129696</v>
      </c>
    </row>
    <row r="2737" spans="1:5" x14ac:dyDescent="0.25">
      <c r="A2737">
        <v>2</v>
      </c>
      <c r="B2737">
        <v>2</v>
      </c>
      <c r="C2737">
        <v>5</v>
      </c>
      <c r="D2737">
        <v>2032</v>
      </c>
      <c r="E2737">
        <v>131019</v>
      </c>
    </row>
    <row r="2738" spans="1:5" x14ac:dyDescent="0.25">
      <c r="A2738">
        <v>2</v>
      </c>
      <c r="B2738">
        <v>2</v>
      </c>
      <c r="C2738">
        <v>5</v>
      </c>
      <c r="D2738">
        <v>2033</v>
      </c>
      <c r="E2738">
        <v>132341</v>
      </c>
    </row>
    <row r="2739" spans="1:5" x14ac:dyDescent="0.25">
      <c r="A2739">
        <v>2</v>
      </c>
      <c r="B2739">
        <v>2</v>
      </c>
      <c r="C2739">
        <v>5</v>
      </c>
      <c r="D2739">
        <v>2034</v>
      </c>
      <c r="E2739">
        <v>133669</v>
      </c>
    </row>
    <row r="2740" spans="1:5" x14ac:dyDescent="0.25">
      <c r="A2740">
        <v>2</v>
      </c>
      <c r="B2740">
        <v>2</v>
      </c>
      <c r="C2740">
        <v>5</v>
      </c>
      <c r="D2740">
        <v>2035</v>
      </c>
      <c r="E2740">
        <v>135001</v>
      </c>
    </row>
    <row r="2741" spans="1:5" x14ac:dyDescent="0.25">
      <c r="A2741">
        <v>2</v>
      </c>
      <c r="B2741">
        <v>2</v>
      </c>
      <c r="C2741">
        <v>5</v>
      </c>
      <c r="D2741">
        <v>2036</v>
      </c>
      <c r="E2741">
        <v>136333</v>
      </c>
    </row>
    <row r="2742" spans="1:5" x14ac:dyDescent="0.25">
      <c r="A2742">
        <v>2</v>
      </c>
      <c r="B2742">
        <v>2</v>
      </c>
      <c r="C2742">
        <v>5</v>
      </c>
      <c r="D2742">
        <v>2037</v>
      </c>
      <c r="E2742">
        <v>137676</v>
      </c>
    </row>
    <row r="2743" spans="1:5" x14ac:dyDescent="0.25">
      <c r="A2743">
        <v>2</v>
      </c>
      <c r="B2743">
        <v>2</v>
      </c>
      <c r="C2743">
        <v>5</v>
      </c>
      <c r="D2743">
        <v>2038</v>
      </c>
      <c r="E2743">
        <v>139029</v>
      </c>
    </row>
    <row r="2744" spans="1:5" x14ac:dyDescent="0.25">
      <c r="A2744">
        <v>2</v>
      </c>
      <c r="B2744">
        <v>2</v>
      </c>
      <c r="C2744">
        <v>5</v>
      </c>
      <c r="D2744">
        <v>2039</v>
      </c>
      <c r="E2744">
        <v>140403</v>
      </c>
    </row>
    <row r="2745" spans="1:5" x14ac:dyDescent="0.25">
      <c r="A2745">
        <v>2</v>
      </c>
      <c r="B2745">
        <v>2</v>
      </c>
      <c r="C2745">
        <v>5</v>
      </c>
      <c r="D2745">
        <v>2040</v>
      </c>
      <c r="E2745">
        <v>141781</v>
      </c>
    </row>
    <row r="2746" spans="1:5" x14ac:dyDescent="0.25">
      <c r="A2746">
        <v>2</v>
      </c>
      <c r="B2746">
        <v>2</v>
      </c>
      <c r="C2746">
        <v>5</v>
      </c>
      <c r="D2746">
        <v>2041</v>
      </c>
      <c r="E2746">
        <v>143174</v>
      </c>
    </row>
    <row r="2747" spans="1:5" x14ac:dyDescent="0.25">
      <c r="A2747">
        <v>2</v>
      </c>
      <c r="B2747">
        <v>2</v>
      </c>
      <c r="C2747">
        <v>5</v>
      </c>
      <c r="D2747">
        <v>2042</v>
      </c>
      <c r="E2747">
        <v>144560</v>
      </c>
    </row>
    <row r="2748" spans="1:5" x14ac:dyDescent="0.25">
      <c r="A2748">
        <v>2</v>
      </c>
      <c r="B2748">
        <v>2</v>
      </c>
      <c r="C2748">
        <v>5</v>
      </c>
      <c r="D2748">
        <v>2043</v>
      </c>
      <c r="E2748">
        <v>145956</v>
      </c>
    </row>
    <row r="2749" spans="1:5" x14ac:dyDescent="0.25">
      <c r="A2749">
        <v>2</v>
      </c>
      <c r="B2749">
        <v>2</v>
      </c>
      <c r="C2749">
        <v>5</v>
      </c>
      <c r="D2749">
        <v>2044</v>
      </c>
      <c r="E2749">
        <v>147352</v>
      </c>
    </row>
    <row r="2750" spans="1:5" x14ac:dyDescent="0.25">
      <c r="A2750">
        <v>2</v>
      </c>
      <c r="B2750">
        <v>2</v>
      </c>
      <c r="C2750">
        <v>5</v>
      </c>
      <c r="D2750">
        <v>2045</v>
      </c>
      <c r="E2750">
        <v>148754</v>
      </c>
    </row>
    <row r="2751" spans="1:5" x14ac:dyDescent="0.25">
      <c r="A2751">
        <v>2</v>
      </c>
      <c r="B2751">
        <v>2</v>
      </c>
      <c r="C2751">
        <v>5</v>
      </c>
      <c r="D2751">
        <v>2046</v>
      </c>
      <c r="E2751">
        <v>150146</v>
      </c>
    </row>
    <row r="2752" spans="1:5" x14ac:dyDescent="0.25">
      <c r="A2752">
        <v>2</v>
      </c>
      <c r="B2752">
        <v>2</v>
      </c>
      <c r="C2752">
        <v>5</v>
      </c>
      <c r="D2752">
        <v>2047</v>
      </c>
      <c r="E2752">
        <v>151524</v>
      </c>
    </row>
    <row r="2753" spans="1:5" x14ac:dyDescent="0.25">
      <c r="A2753">
        <v>2</v>
      </c>
      <c r="B2753">
        <v>2</v>
      </c>
      <c r="C2753">
        <v>5</v>
      </c>
      <c r="D2753">
        <v>2048</v>
      </c>
      <c r="E2753">
        <v>152896</v>
      </c>
    </row>
    <row r="2754" spans="1:5" x14ac:dyDescent="0.25">
      <c r="A2754">
        <v>2</v>
      </c>
      <c r="B2754">
        <v>2</v>
      </c>
      <c r="C2754">
        <v>5</v>
      </c>
      <c r="D2754">
        <v>2049</v>
      </c>
      <c r="E2754">
        <v>154247</v>
      </c>
    </row>
    <row r="2755" spans="1:5" x14ac:dyDescent="0.25">
      <c r="A2755">
        <v>2</v>
      </c>
      <c r="B2755">
        <v>2</v>
      </c>
      <c r="C2755">
        <v>5</v>
      </c>
      <c r="D2755">
        <v>2050</v>
      </c>
      <c r="E2755">
        <v>155568</v>
      </c>
    </row>
    <row r="2756" spans="1:5" x14ac:dyDescent="0.25">
      <c r="A2756">
        <v>2</v>
      </c>
      <c r="B2756">
        <v>2</v>
      </c>
      <c r="C2756">
        <v>6</v>
      </c>
      <c r="D2756">
        <v>2024</v>
      </c>
      <c r="E2756">
        <v>1092614</v>
      </c>
    </row>
    <row r="2757" spans="1:5" x14ac:dyDescent="0.25">
      <c r="A2757">
        <v>2</v>
      </c>
      <c r="B2757">
        <v>2</v>
      </c>
      <c r="C2757">
        <v>6</v>
      </c>
      <c r="D2757">
        <v>2025</v>
      </c>
      <c r="E2757">
        <v>1121867</v>
      </c>
    </row>
    <row r="2758" spans="1:5" x14ac:dyDescent="0.25">
      <c r="A2758">
        <v>2</v>
      </c>
      <c r="B2758">
        <v>2</v>
      </c>
      <c r="C2758">
        <v>6</v>
      </c>
      <c r="D2758">
        <v>2026</v>
      </c>
      <c r="E2758">
        <v>1151585</v>
      </c>
    </row>
    <row r="2759" spans="1:5" x14ac:dyDescent="0.25">
      <c r="A2759">
        <v>2</v>
      </c>
      <c r="B2759">
        <v>2</v>
      </c>
      <c r="C2759">
        <v>6</v>
      </c>
      <c r="D2759">
        <v>2027</v>
      </c>
      <c r="E2759">
        <v>1181776</v>
      </c>
    </row>
    <row r="2760" spans="1:5" x14ac:dyDescent="0.25">
      <c r="A2760">
        <v>2</v>
      </c>
      <c r="B2760">
        <v>2</v>
      </c>
      <c r="C2760">
        <v>6</v>
      </c>
      <c r="D2760">
        <v>2028</v>
      </c>
      <c r="E2760">
        <v>1212450</v>
      </c>
    </row>
    <row r="2761" spans="1:5" x14ac:dyDescent="0.25">
      <c r="A2761">
        <v>2</v>
      </c>
      <c r="B2761">
        <v>2</v>
      </c>
      <c r="C2761">
        <v>6</v>
      </c>
      <c r="D2761">
        <v>2029</v>
      </c>
      <c r="E2761">
        <v>1243600</v>
      </c>
    </row>
    <row r="2762" spans="1:5" x14ac:dyDescent="0.25">
      <c r="A2762">
        <v>2</v>
      </c>
      <c r="B2762">
        <v>2</v>
      </c>
      <c r="C2762">
        <v>6</v>
      </c>
      <c r="D2762">
        <v>2030</v>
      </c>
      <c r="E2762">
        <v>1275202</v>
      </c>
    </row>
    <row r="2763" spans="1:5" x14ac:dyDescent="0.25">
      <c r="A2763">
        <v>2</v>
      </c>
      <c r="B2763">
        <v>2</v>
      </c>
      <c r="C2763">
        <v>6</v>
      </c>
      <c r="D2763">
        <v>2031</v>
      </c>
      <c r="E2763">
        <v>1307351</v>
      </c>
    </row>
    <row r="2764" spans="1:5" x14ac:dyDescent="0.25">
      <c r="A2764">
        <v>2</v>
      </c>
      <c r="B2764">
        <v>2</v>
      </c>
      <c r="C2764">
        <v>6</v>
      </c>
      <c r="D2764">
        <v>2032</v>
      </c>
      <c r="E2764">
        <v>1339978</v>
      </c>
    </row>
    <row r="2765" spans="1:5" x14ac:dyDescent="0.25">
      <c r="A2765">
        <v>2</v>
      </c>
      <c r="B2765">
        <v>2</v>
      </c>
      <c r="C2765">
        <v>6</v>
      </c>
      <c r="D2765">
        <v>2033</v>
      </c>
      <c r="E2765">
        <v>1373173</v>
      </c>
    </row>
    <row r="2766" spans="1:5" x14ac:dyDescent="0.25">
      <c r="A2766">
        <v>2</v>
      </c>
      <c r="B2766">
        <v>2</v>
      </c>
      <c r="C2766">
        <v>6</v>
      </c>
      <c r="D2766">
        <v>2034</v>
      </c>
      <c r="E2766">
        <v>1406895</v>
      </c>
    </row>
    <row r="2767" spans="1:5" x14ac:dyDescent="0.25">
      <c r="A2767">
        <v>2</v>
      </c>
      <c r="B2767">
        <v>2</v>
      </c>
      <c r="C2767">
        <v>6</v>
      </c>
      <c r="D2767">
        <v>2035</v>
      </c>
      <c r="E2767">
        <v>1441122</v>
      </c>
    </row>
    <row r="2768" spans="1:5" x14ac:dyDescent="0.25">
      <c r="A2768">
        <v>2</v>
      </c>
      <c r="B2768">
        <v>2</v>
      </c>
      <c r="C2768">
        <v>6</v>
      </c>
      <c r="D2768">
        <v>2036</v>
      </c>
      <c r="E2768">
        <v>1475788</v>
      </c>
    </row>
    <row r="2769" spans="1:5" x14ac:dyDescent="0.25">
      <c r="A2769">
        <v>2</v>
      </c>
      <c r="B2769">
        <v>2</v>
      </c>
      <c r="C2769">
        <v>6</v>
      </c>
      <c r="D2769">
        <v>2037</v>
      </c>
      <c r="E2769">
        <v>1510931</v>
      </c>
    </row>
    <row r="2770" spans="1:5" x14ac:dyDescent="0.25">
      <c r="A2770">
        <v>2</v>
      </c>
      <c r="B2770">
        <v>2</v>
      </c>
      <c r="C2770">
        <v>6</v>
      </c>
      <c r="D2770">
        <v>2038</v>
      </c>
      <c r="E2770">
        <v>1546453</v>
      </c>
    </row>
    <row r="2771" spans="1:5" x14ac:dyDescent="0.25">
      <c r="A2771">
        <v>2</v>
      </c>
      <c r="B2771">
        <v>2</v>
      </c>
      <c r="C2771">
        <v>6</v>
      </c>
      <c r="D2771">
        <v>2039</v>
      </c>
      <c r="E2771">
        <v>1582392</v>
      </c>
    </row>
    <row r="2772" spans="1:5" x14ac:dyDescent="0.25">
      <c r="A2772">
        <v>2</v>
      </c>
      <c r="B2772">
        <v>2</v>
      </c>
      <c r="C2772">
        <v>6</v>
      </c>
      <c r="D2772">
        <v>2040</v>
      </c>
      <c r="E2772">
        <v>1618639</v>
      </c>
    </row>
    <row r="2773" spans="1:5" x14ac:dyDescent="0.25">
      <c r="A2773">
        <v>2</v>
      </c>
      <c r="B2773">
        <v>2</v>
      </c>
      <c r="C2773">
        <v>6</v>
      </c>
      <c r="D2773">
        <v>2041</v>
      </c>
      <c r="E2773">
        <v>1655189</v>
      </c>
    </row>
    <row r="2774" spans="1:5" x14ac:dyDescent="0.25">
      <c r="A2774">
        <v>2</v>
      </c>
      <c r="B2774">
        <v>2</v>
      </c>
      <c r="C2774">
        <v>6</v>
      </c>
      <c r="D2774">
        <v>2042</v>
      </c>
      <c r="E2774">
        <v>1691932</v>
      </c>
    </row>
    <row r="2775" spans="1:5" x14ac:dyDescent="0.25">
      <c r="A2775">
        <v>2</v>
      </c>
      <c r="B2775">
        <v>2</v>
      </c>
      <c r="C2775">
        <v>6</v>
      </c>
      <c r="D2775">
        <v>2043</v>
      </c>
      <c r="E2775">
        <v>1728895</v>
      </c>
    </row>
    <row r="2776" spans="1:5" x14ac:dyDescent="0.25">
      <c r="A2776">
        <v>2</v>
      </c>
      <c r="B2776">
        <v>2</v>
      </c>
      <c r="C2776">
        <v>6</v>
      </c>
      <c r="D2776">
        <v>2044</v>
      </c>
      <c r="E2776">
        <v>1766058</v>
      </c>
    </row>
    <row r="2777" spans="1:5" x14ac:dyDescent="0.25">
      <c r="A2777">
        <v>2</v>
      </c>
      <c r="B2777">
        <v>2</v>
      </c>
      <c r="C2777">
        <v>6</v>
      </c>
      <c r="D2777">
        <v>2045</v>
      </c>
      <c r="E2777">
        <v>1803371</v>
      </c>
    </row>
    <row r="2778" spans="1:5" x14ac:dyDescent="0.25">
      <c r="A2778">
        <v>2</v>
      </c>
      <c r="B2778">
        <v>2</v>
      </c>
      <c r="C2778">
        <v>6</v>
      </c>
      <c r="D2778">
        <v>2046</v>
      </c>
      <c r="E2778">
        <v>1840869</v>
      </c>
    </row>
    <row r="2779" spans="1:5" x14ac:dyDescent="0.25">
      <c r="A2779">
        <v>2</v>
      </c>
      <c r="B2779">
        <v>2</v>
      </c>
      <c r="C2779">
        <v>6</v>
      </c>
      <c r="D2779">
        <v>2047</v>
      </c>
      <c r="E2779">
        <v>1878503</v>
      </c>
    </row>
    <row r="2780" spans="1:5" x14ac:dyDescent="0.25">
      <c r="A2780">
        <v>2</v>
      </c>
      <c r="B2780">
        <v>2</v>
      </c>
      <c r="C2780">
        <v>6</v>
      </c>
      <c r="D2780">
        <v>2048</v>
      </c>
      <c r="E2780">
        <v>1916299</v>
      </c>
    </row>
    <row r="2781" spans="1:5" x14ac:dyDescent="0.25">
      <c r="A2781">
        <v>2</v>
      </c>
      <c r="B2781">
        <v>2</v>
      </c>
      <c r="C2781">
        <v>6</v>
      </c>
      <c r="D2781">
        <v>2049</v>
      </c>
      <c r="E2781">
        <v>1954246</v>
      </c>
    </row>
    <row r="2782" spans="1:5" x14ac:dyDescent="0.25">
      <c r="A2782">
        <v>2</v>
      </c>
      <c r="B2782">
        <v>2</v>
      </c>
      <c r="C2782">
        <v>6</v>
      </c>
      <c r="D2782">
        <v>2050</v>
      </c>
      <c r="E2782">
        <v>1992396</v>
      </c>
    </row>
    <row r="2783" spans="1:5" x14ac:dyDescent="0.25">
      <c r="A2783">
        <v>2</v>
      </c>
      <c r="B2783">
        <v>2</v>
      </c>
      <c r="C2783">
        <v>7</v>
      </c>
      <c r="D2783">
        <v>2024</v>
      </c>
      <c r="E2783">
        <v>29117094</v>
      </c>
    </row>
    <row r="2784" spans="1:5" x14ac:dyDescent="0.25">
      <c r="A2784">
        <v>2</v>
      </c>
      <c r="B2784">
        <v>2</v>
      </c>
      <c r="C2784">
        <v>7</v>
      </c>
      <c r="D2784">
        <v>2025</v>
      </c>
      <c r="E2784">
        <v>29578169</v>
      </c>
    </row>
    <row r="2785" spans="1:5" x14ac:dyDescent="0.25">
      <c r="A2785">
        <v>2</v>
      </c>
      <c r="B2785">
        <v>2</v>
      </c>
      <c r="C2785">
        <v>7</v>
      </c>
      <c r="D2785">
        <v>2026</v>
      </c>
      <c r="E2785">
        <v>30040339</v>
      </c>
    </row>
    <row r="2786" spans="1:5" x14ac:dyDescent="0.25">
      <c r="A2786">
        <v>2</v>
      </c>
      <c r="B2786">
        <v>2</v>
      </c>
      <c r="C2786">
        <v>7</v>
      </c>
      <c r="D2786">
        <v>2027</v>
      </c>
      <c r="E2786">
        <v>30503957</v>
      </c>
    </row>
    <row r="2787" spans="1:5" x14ac:dyDescent="0.25">
      <c r="A2787">
        <v>2</v>
      </c>
      <c r="B2787">
        <v>2</v>
      </c>
      <c r="C2787">
        <v>7</v>
      </c>
      <c r="D2787">
        <v>2028</v>
      </c>
      <c r="E2787">
        <v>30968978</v>
      </c>
    </row>
    <row r="2788" spans="1:5" x14ac:dyDescent="0.25">
      <c r="A2788">
        <v>2</v>
      </c>
      <c r="B2788">
        <v>2</v>
      </c>
      <c r="C2788">
        <v>7</v>
      </c>
      <c r="D2788">
        <v>2029</v>
      </c>
      <c r="E2788">
        <v>31434713</v>
      </c>
    </row>
    <row r="2789" spans="1:5" x14ac:dyDescent="0.25">
      <c r="A2789">
        <v>2</v>
      </c>
      <c r="B2789">
        <v>2</v>
      </c>
      <c r="C2789">
        <v>7</v>
      </c>
      <c r="D2789">
        <v>2030</v>
      </c>
      <c r="E2789">
        <v>31901193</v>
      </c>
    </row>
    <row r="2790" spans="1:5" x14ac:dyDescent="0.25">
      <c r="A2790">
        <v>2</v>
      </c>
      <c r="B2790">
        <v>2</v>
      </c>
      <c r="C2790">
        <v>7</v>
      </c>
      <c r="D2790">
        <v>2031</v>
      </c>
      <c r="E2790">
        <v>32368308</v>
      </c>
    </row>
    <row r="2791" spans="1:5" x14ac:dyDescent="0.25">
      <c r="A2791">
        <v>2</v>
      </c>
      <c r="B2791">
        <v>2</v>
      </c>
      <c r="C2791">
        <v>7</v>
      </c>
      <c r="D2791">
        <v>2032</v>
      </c>
      <c r="E2791">
        <v>32835575</v>
      </c>
    </row>
    <row r="2792" spans="1:5" x14ac:dyDescent="0.25">
      <c r="A2792">
        <v>2</v>
      </c>
      <c r="B2792">
        <v>2</v>
      </c>
      <c r="C2792">
        <v>7</v>
      </c>
      <c r="D2792">
        <v>2033</v>
      </c>
      <c r="E2792">
        <v>33302366</v>
      </c>
    </row>
    <row r="2793" spans="1:5" x14ac:dyDescent="0.25">
      <c r="A2793">
        <v>2</v>
      </c>
      <c r="B2793">
        <v>2</v>
      </c>
      <c r="C2793">
        <v>7</v>
      </c>
      <c r="D2793">
        <v>2034</v>
      </c>
      <c r="E2793">
        <v>33768056</v>
      </c>
    </row>
    <row r="2794" spans="1:5" x14ac:dyDescent="0.25">
      <c r="A2794">
        <v>2</v>
      </c>
      <c r="B2794">
        <v>2</v>
      </c>
      <c r="C2794">
        <v>7</v>
      </c>
      <c r="D2794">
        <v>2035</v>
      </c>
      <c r="E2794">
        <v>34231995</v>
      </c>
    </row>
    <row r="2795" spans="1:5" x14ac:dyDescent="0.25">
      <c r="A2795">
        <v>2</v>
      </c>
      <c r="B2795">
        <v>2</v>
      </c>
      <c r="C2795">
        <v>7</v>
      </c>
      <c r="D2795">
        <v>2036</v>
      </c>
      <c r="E2795">
        <v>34693446</v>
      </c>
    </row>
    <row r="2796" spans="1:5" x14ac:dyDescent="0.25">
      <c r="A2796">
        <v>2</v>
      </c>
      <c r="B2796">
        <v>2</v>
      </c>
      <c r="C2796">
        <v>7</v>
      </c>
      <c r="D2796">
        <v>2037</v>
      </c>
      <c r="E2796">
        <v>35151709</v>
      </c>
    </row>
    <row r="2797" spans="1:5" x14ac:dyDescent="0.25">
      <c r="A2797">
        <v>2</v>
      </c>
      <c r="B2797">
        <v>2</v>
      </c>
      <c r="C2797">
        <v>7</v>
      </c>
      <c r="D2797">
        <v>2038</v>
      </c>
      <c r="E2797">
        <v>35606014</v>
      </c>
    </row>
    <row r="2798" spans="1:5" x14ac:dyDescent="0.25">
      <c r="A2798">
        <v>2</v>
      </c>
      <c r="B2798">
        <v>2</v>
      </c>
      <c r="C2798">
        <v>7</v>
      </c>
      <c r="D2798">
        <v>2039</v>
      </c>
      <c r="E2798">
        <v>36055639</v>
      </c>
    </row>
    <row r="2799" spans="1:5" x14ac:dyDescent="0.25">
      <c r="A2799">
        <v>2</v>
      </c>
      <c r="B2799">
        <v>2</v>
      </c>
      <c r="C2799">
        <v>7</v>
      </c>
      <c r="D2799">
        <v>2040</v>
      </c>
      <c r="E2799">
        <v>36499856</v>
      </c>
    </row>
    <row r="2800" spans="1:5" x14ac:dyDescent="0.25">
      <c r="A2800">
        <v>2</v>
      </c>
      <c r="B2800">
        <v>2</v>
      </c>
      <c r="C2800">
        <v>7</v>
      </c>
      <c r="D2800">
        <v>2041</v>
      </c>
      <c r="E2800">
        <v>36937702</v>
      </c>
    </row>
    <row r="2801" spans="1:5" x14ac:dyDescent="0.25">
      <c r="A2801">
        <v>2</v>
      </c>
      <c r="B2801">
        <v>2</v>
      </c>
      <c r="C2801">
        <v>7</v>
      </c>
      <c r="D2801">
        <v>2042</v>
      </c>
      <c r="E2801">
        <v>37368558</v>
      </c>
    </row>
    <row r="2802" spans="1:5" x14ac:dyDescent="0.25">
      <c r="A2802">
        <v>2</v>
      </c>
      <c r="B2802">
        <v>2</v>
      </c>
      <c r="C2802">
        <v>7</v>
      </c>
      <c r="D2802">
        <v>2043</v>
      </c>
      <c r="E2802">
        <v>37792094</v>
      </c>
    </row>
    <row r="2803" spans="1:5" x14ac:dyDescent="0.25">
      <c r="A2803">
        <v>2</v>
      </c>
      <c r="B2803">
        <v>2</v>
      </c>
      <c r="C2803">
        <v>7</v>
      </c>
      <c r="D2803">
        <v>2044</v>
      </c>
      <c r="E2803">
        <v>38208057</v>
      </c>
    </row>
    <row r="2804" spans="1:5" x14ac:dyDescent="0.25">
      <c r="A2804">
        <v>2</v>
      </c>
      <c r="B2804">
        <v>2</v>
      </c>
      <c r="C2804">
        <v>7</v>
      </c>
      <c r="D2804">
        <v>2045</v>
      </c>
      <c r="E2804">
        <v>38616263</v>
      </c>
    </row>
    <row r="2805" spans="1:5" x14ac:dyDescent="0.25">
      <c r="A2805">
        <v>2</v>
      </c>
      <c r="B2805">
        <v>2</v>
      </c>
      <c r="C2805">
        <v>7</v>
      </c>
      <c r="D2805">
        <v>2046</v>
      </c>
      <c r="E2805">
        <v>39016781</v>
      </c>
    </row>
    <row r="2806" spans="1:5" x14ac:dyDescent="0.25">
      <c r="A2806">
        <v>2</v>
      </c>
      <c r="B2806">
        <v>2</v>
      </c>
      <c r="C2806">
        <v>7</v>
      </c>
      <c r="D2806">
        <v>2047</v>
      </c>
      <c r="E2806">
        <v>39409610</v>
      </c>
    </row>
    <row r="2807" spans="1:5" x14ac:dyDescent="0.25">
      <c r="A2807">
        <v>2</v>
      </c>
      <c r="B2807">
        <v>2</v>
      </c>
      <c r="C2807">
        <v>7</v>
      </c>
      <c r="D2807">
        <v>2048</v>
      </c>
      <c r="E2807">
        <v>39794902</v>
      </c>
    </row>
    <row r="2808" spans="1:5" x14ac:dyDescent="0.25">
      <c r="A2808">
        <v>2</v>
      </c>
      <c r="B2808">
        <v>2</v>
      </c>
      <c r="C2808">
        <v>7</v>
      </c>
      <c r="D2808">
        <v>2049</v>
      </c>
      <c r="E2808">
        <v>40172850</v>
      </c>
    </row>
    <row r="2809" spans="1:5" x14ac:dyDescent="0.25">
      <c r="A2809">
        <v>2</v>
      </c>
      <c r="B2809">
        <v>2</v>
      </c>
      <c r="C2809">
        <v>7</v>
      </c>
      <c r="D2809">
        <v>2050</v>
      </c>
      <c r="E2809">
        <v>40543764</v>
      </c>
    </row>
    <row r="2810" spans="1:5" x14ac:dyDescent="0.25">
      <c r="A2810">
        <v>2</v>
      </c>
      <c r="B2810">
        <v>2</v>
      </c>
      <c r="C2810">
        <v>8</v>
      </c>
      <c r="D2810">
        <v>2024</v>
      </c>
      <c r="E2810">
        <v>2270297</v>
      </c>
    </row>
    <row r="2811" spans="1:5" x14ac:dyDescent="0.25">
      <c r="A2811">
        <v>2</v>
      </c>
      <c r="B2811">
        <v>2</v>
      </c>
      <c r="C2811">
        <v>8</v>
      </c>
      <c r="D2811">
        <v>2025</v>
      </c>
      <c r="E2811">
        <v>2313419</v>
      </c>
    </row>
    <row r="2812" spans="1:5" x14ac:dyDescent="0.25">
      <c r="A2812">
        <v>2</v>
      </c>
      <c r="B2812">
        <v>2</v>
      </c>
      <c r="C2812">
        <v>8</v>
      </c>
      <c r="D2812">
        <v>2026</v>
      </c>
      <c r="E2812">
        <v>2356796</v>
      </c>
    </row>
    <row r="2813" spans="1:5" x14ac:dyDescent="0.25">
      <c r="A2813">
        <v>2</v>
      </c>
      <c r="B2813">
        <v>2</v>
      </c>
      <c r="C2813">
        <v>8</v>
      </c>
      <c r="D2813">
        <v>2027</v>
      </c>
      <c r="E2813">
        <v>2400540</v>
      </c>
    </row>
    <row r="2814" spans="1:5" x14ac:dyDescent="0.25">
      <c r="A2814">
        <v>2</v>
      </c>
      <c r="B2814">
        <v>2</v>
      </c>
      <c r="C2814">
        <v>8</v>
      </c>
      <c r="D2814">
        <v>2028</v>
      </c>
      <c r="E2814">
        <v>2444580</v>
      </c>
    </row>
    <row r="2815" spans="1:5" x14ac:dyDescent="0.25">
      <c r="A2815">
        <v>2</v>
      </c>
      <c r="B2815">
        <v>2</v>
      </c>
      <c r="C2815">
        <v>8</v>
      </c>
      <c r="D2815">
        <v>2029</v>
      </c>
      <c r="E2815">
        <v>2488918</v>
      </c>
    </row>
    <row r="2816" spans="1:5" x14ac:dyDescent="0.25">
      <c r="A2816">
        <v>2</v>
      </c>
      <c r="B2816">
        <v>2</v>
      </c>
      <c r="C2816">
        <v>8</v>
      </c>
      <c r="D2816">
        <v>2030</v>
      </c>
      <c r="E2816">
        <v>2533602</v>
      </c>
    </row>
    <row r="2817" spans="1:5" x14ac:dyDescent="0.25">
      <c r="A2817">
        <v>2</v>
      </c>
      <c r="B2817">
        <v>2</v>
      </c>
      <c r="C2817">
        <v>8</v>
      </c>
      <c r="D2817">
        <v>2031</v>
      </c>
      <c r="E2817">
        <v>2578670</v>
      </c>
    </row>
    <row r="2818" spans="1:5" x14ac:dyDescent="0.25">
      <c r="A2818">
        <v>2</v>
      </c>
      <c r="B2818">
        <v>2</v>
      </c>
      <c r="C2818">
        <v>8</v>
      </c>
      <c r="D2818">
        <v>2032</v>
      </c>
      <c r="E2818">
        <v>2624173</v>
      </c>
    </row>
    <row r="2819" spans="1:5" x14ac:dyDescent="0.25">
      <c r="A2819">
        <v>2</v>
      </c>
      <c r="B2819">
        <v>2</v>
      </c>
      <c r="C2819">
        <v>8</v>
      </c>
      <c r="D2819">
        <v>2033</v>
      </c>
      <c r="E2819">
        <v>2670179</v>
      </c>
    </row>
    <row r="2820" spans="1:5" x14ac:dyDescent="0.25">
      <c r="A2820">
        <v>2</v>
      </c>
      <c r="B2820">
        <v>2</v>
      </c>
      <c r="C2820">
        <v>8</v>
      </c>
      <c r="D2820">
        <v>2034</v>
      </c>
      <c r="E2820">
        <v>2716684</v>
      </c>
    </row>
    <row r="2821" spans="1:5" x14ac:dyDescent="0.25">
      <c r="A2821">
        <v>2</v>
      </c>
      <c r="B2821">
        <v>2</v>
      </c>
      <c r="C2821">
        <v>8</v>
      </c>
      <c r="D2821">
        <v>2035</v>
      </c>
      <c r="E2821">
        <v>2763655</v>
      </c>
    </row>
    <row r="2822" spans="1:5" x14ac:dyDescent="0.25">
      <c r="A2822">
        <v>2</v>
      </c>
      <c r="B2822">
        <v>2</v>
      </c>
      <c r="C2822">
        <v>8</v>
      </c>
      <c r="D2822">
        <v>2036</v>
      </c>
      <c r="E2822">
        <v>2811051</v>
      </c>
    </row>
    <row r="2823" spans="1:5" x14ac:dyDescent="0.25">
      <c r="A2823">
        <v>2</v>
      </c>
      <c r="B2823">
        <v>2</v>
      </c>
      <c r="C2823">
        <v>8</v>
      </c>
      <c r="D2823">
        <v>2037</v>
      </c>
      <c r="E2823">
        <v>2858895</v>
      </c>
    </row>
    <row r="2824" spans="1:5" x14ac:dyDescent="0.25">
      <c r="A2824">
        <v>2</v>
      </c>
      <c r="B2824">
        <v>2</v>
      </c>
      <c r="C2824">
        <v>8</v>
      </c>
      <c r="D2824">
        <v>2038</v>
      </c>
      <c r="E2824">
        <v>2907104</v>
      </c>
    </row>
    <row r="2825" spans="1:5" x14ac:dyDescent="0.25">
      <c r="A2825">
        <v>2</v>
      </c>
      <c r="B2825">
        <v>2</v>
      </c>
      <c r="C2825">
        <v>8</v>
      </c>
      <c r="D2825">
        <v>2039</v>
      </c>
      <c r="E2825">
        <v>2955703</v>
      </c>
    </row>
    <row r="2826" spans="1:5" x14ac:dyDescent="0.25">
      <c r="A2826">
        <v>2</v>
      </c>
      <c r="B2826">
        <v>2</v>
      </c>
      <c r="C2826">
        <v>8</v>
      </c>
      <c r="D2826">
        <v>2040</v>
      </c>
      <c r="E2826">
        <v>3004616</v>
      </c>
    </row>
    <row r="2827" spans="1:5" x14ac:dyDescent="0.25">
      <c r="A2827">
        <v>2</v>
      </c>
      <c r="B2827">
        <v>2</v>
      </c>
      <c r="C2827">
        <v>8</v>
      </c>
      <c r="D2827">
        <v>2041</v>
      </c>
      <c r="E2827">
        <v>3053728</v>
      </c>
    </row>
    <row r="2828" spans="1:5" x14ac:dyDescent="0.25">
      <c r="A2828">
        <v>2</v>
      </c>
      <c r="B2828">
        <v>2</v>
      </c>
      <c r="C2828">
        <v>8</v>
      </c>
      <c r="D2828">
        <v>2042</v>
      </c>
      <c r="E2828">
        <v>3102964</v>
      </c>
    </row>
    <row r="2829" spans="1:5" x14ac:dyDescent="0.25">
      <c r="A2829">
        <v>2</v>
      </c>
      <c r="B2829">
        <v>2</v>
      </c>
      <c r="C2829">
        <v>8</v>
      </c>
      <c r="D2829">
        <v>2043</v>
      </c>
      <c r="E2829">
        <v>3152217</v>
      </c>
    </row>
    <row r="2830" spans="1:5" x14ac:dyDescent="0.25">
      <c r="A2830">
        <v>2</v>
      </c>
      <c r="B2830">
        <v>2</v>
      </c>
      <c r="C2830">
        <v>8</v>
      </c>
      <c r="D2830">
        <v>2044</v>
      </c>
      <c r="E2830">
        <v>3201461</v>
      </c>
    </row>
    <row r="2831" spans="1:5" x14ac:dyDescent="0.25">
      <c r="A2831">
        <v>2</v>
      </c>
      <c r="B2831">
        <v>2</v>
      </c>
      <c r="C2831">
        <v>8</v>
      </c>
      <c r="D2831">
        <v>2045</v>
      </c>
      <c r="E2831">
        <v>3250604</v>
      </c>
    </row>
    <row r="2832" spans="1:5" x14ac:dyDescent="0.25">
      <c r="A2832">
        <v>2</v>
      </c>
      <c r="B2832">
        <v>2</v>
      </c>
      <c r="C2832">
        <v>8</v>
      </c>
      <c r="D2832">
        <v>2046</v>
      </c>
      <c r="E2832">
        <v>3299682</v>
      </c>
    </row>
    <row r="2833" spans="1:5" x14ac:dyDescent="0.25">
      <c r="A2833">
        <v>2</v>
      </c>
      <c r="B2833">
        <v>2</v>
      </c>
      <c r="C2833">
        <v>8</v>
      </c>
      <c r="D2833">
        <v>2047</v>
      </c>
      <c r="E2833">
        <v>3348609</v>
      </c>
    </row>
    <row r="2834" spans="1:5" x14ac:dyDescent="0.25">
      <c r="A2834">
        <v>2</v>
      </c>
      <c r="B2834">
        <v>2</v>
      </c>
      <c r="C2834">
        <v>8</v>
      </c>
      <c r="D2834">
        <v>2048</v>
      </c>
      <c r="E2834">
        <v>3397360</v>
      </c>
    </row>
    <row r="2835" spans="1:5" x14ac:dyDescent="0.25">
      <c r="A2835">
        <v>2</v>
      </c>
      <c r="B2835">
        <v>2</v>
      </c>
      <c r="C2835">
        <v>8</v>
      </c>
      <c r="D2835">
        <v>2049</v>
      </c>
      <c r="E2835">
        <v>3445892</v>
      </c>
    </row>
    <row r="2836" spans="1:5" x14ac:dyDescent="0.25">
      <c r="A2836">
        <v>2</v>
      </c>
      <c r="B2836">
        <v>2</v>
      </c>
      <c r="C2836">
        <v>8</v>
      </c>
      <c r="D2836">
        <v>2050</v>
      </c>
      <c r="E2836">
        <v>3494274</v>
      </c>
    </row>
    <row r="2837" spans="1:5" x14ac:dyDescent="0.25">
      <c r="A2837">
        <v>2</v>
      </c>
      <c r="B2837">
        <v>2</v>
      </c>
      <c r="C2837">
        <v>9</v>
      </c>
      <c r="D2837">
        <v>2024</v>
      </c>
      <c r="E2837">
        <v>1403311</v>
      </c>
    </row>
    <row r="2838" spans="1:5" x14ac:dyDescent="0.25">
      <c r="A2838">
        <v>2</v>
      </c>
      <c r="B2838">
        <v>2</v>
      </c>
      <c r="C2838">
        <v>9</v>
      </c>
      <c r="D2838">
        <v>2025</v>
      </c>
      <c r="E2838">
        <v>1423700</v>
      </c>
    </row>
    <row r="2839" spans="1:5" x14ac:dyDescent="0.25">
      <c r="A2839">
        <v>2</v>
      </c>
      <c r="B2839">
        <v>2</v>
      </c>
      <c r="C2839">
        <v>9</v>
      </c>
      <c r="D2839">
        <v>2026</v>
      </c>
      <c r="E2839">
        <v>1444084</v>
      </c>
    </row>
    <row r="2840" spans="1:5" x14ac:dyDescent="0.25">
      <c r="A2840">
        <v>2</v>
      </c>
      <c r="B2840">
        <v>2</v>
      </c>
      <c r="C2840">
        <v>9</v>
      </c>
      <c r="D2840">
        <v>2027</v>
      </c>
      <c r="E2840">
        <v>1464460</v>
      </c>
    </row>
    <row r="2841" spans="1:5" x14ac:dyDescent="0.25">
      <c r="A2841">
        <v>2</v>
      </c>
      <c r="B2841">
        <v>2</v>
      </c>
      <c r="C2841">
        <v>9</v>
      </c>
      <c r="D2841">
        <v>2028</v>
      </c>
      <c r="E2841">
        <v>1484795</v>
      </c>
    </row>
    <row r="2842" spans="1:5" x14ac:dyDescent="0.25">
      <c r="A2842">
        <v>2</v>
      </c>
      <c r="B2842">
        <v>2</v>
      </c>
      <c r="C2842">
        <v>9</v>
      </c>
      <c r="D2842">
        <v>2029</v>
      </c>
      <c r="E2842">
        <v>1505092</v>
      </c>
    </row>
    <row r="2843" spans="1:5" x14ac:dyDescent="0.25">
      <c r="A2843">
        <v>2</v>
      </c>
      <c r="B2843">
        <v>2</v>
      </c>
      <c r="C2843">
        <v>9</v>
      </c>
      <c r="D2843">
        <v>2030</v>
      </c>
      <c r="E2843">
        <v>1525352</v>
      </c>
    </row>
    <row r="2844" spans="1:5" x14ac:dyDescent="0.25">
      <c r="A2844">
        <v>2</v>
      </c>
      <c r="B2844">
        <v>2</v>
      </c>
      <c r="C2844">
        <v>9</v>
      </c>
      <c r="D2844">
        <v>2031</v>
      </c>
      <c r="E2844">
        <v>1545672</v>
      </c>
    </row>
    <row r="2845" spans="1:5" x14ac:dyDescent="0.25">
      <c r="A2845">
        <v>2</v>
      </c>
      <c r="B2845">
        <v>2</v>
      </c>
      <c r="C2845">
        <v>9</v>
      </c>
      <c r="D2845">
        <v>2032</v>
      </c>
      <c r="E2845">
        <v>1565965</v>
      </c>
    </row>
    <row r="2846" spans="1:5" x14ac:dyDescent="0.25">
      <c r="A2846">
        <v>2</v>
      </c>
      <c r="B2846">
        <v>2</v>
      </c>
      <c r="C2846">
        <v>9</v>
      </c>
      <c r="D2846">
        <v>2033</v>
      </c>
      <c r="E2846">
        <v>1586341</v>
      </c>
    </row>
    <row r="2847" spans="1:5" x14ac:dyDescent="0.25">
      <c r="A2847">
        <v>2</v>
      </c>
      <c r="B2847">
        <v>2</v>
      </c>
      <c r="C2847">
        <v>9</v>
      </c>
      <c r="D2847">
        <v>2034</v>
      </c>
      <c r="E2847">
        <v>1606748</v>
      </c>
    </row>
    <row r="2848" spans="1:5" x14ac:dyDescent="0.25">
      <c r="A2848">
        <v>2</v>
      </c>
      <c r="B2848">
        <v>2</v>
      </c>
      <c r="C2848">
        <v>9</v>
      </c>
      <c r="D2848">
        <v>2035</v>
      </c>
      <c r="E2848">
        <v>1627243</v>
      </c>
    </row>
    <row r="2849" spans="1:5" x14ac:dyDescent="0.25">
      <c r="A2849">
        <v>2</v>
      </c>
      <c r="B2849">
        <v>2</v>
      </c>
      <c r="C2849">
        <v>9</v>
      </c>
      <c r="D2849">
        <v>2036</v>
      </c>
      <c r="E2849">
        <v>1647746</v>
      </c>
    </row>
    <row r="2850" spans="1:5" x14ac:dyDescent="0.25">
      <c r="A2850">
        <v>2</v>
      </c>
      <c r="B2850">
        <v>2</v>
      </c>
      <c r="C2850">
        <v>9</v>
      </c>
      <c r="D2850">
        <v>2037</v>
      </c>
      <c r="E2850">
        <v>1668299</v>
      </c>
    </row>
    <row r="2851" spans="1:5" x14ac:dyDescent="0.25">
      <c r="A2851">
        <v>2</v>
      </c>
      <c r="B2851">
        <v>2</v>
      </c>
      <c r="C2851">
        <v>9</v>
      </c>
      <c r="D2851">
        <v>2038</v>
      </c>
      <c r="E2851">
        <v>1688846</v>
      </c>
    </row>
    <row r="2852" spans="1:5" x14ac:dyDescent="0.25">
      <c r="A2852">
        <v>2</v>
      </c>
      <c r="B2852">
        <v>2</v>
      </c>
      <c r="C2852">
        <v>9</v>
      </c>
      <c r="D2852">
        <v>2039</v>
      </c>
      <c r="E2852">
        <v>1709393</v>
      </c>
    </row>
    <row r="2853" spans="1:5" x14ac:dyDescent="0.25">
      <c r="A2853">
        <v>2</v>
      </c>
      <c r="B2853">
        <v>2</v>
      </c>
      <c r="C2853">
        <v>9</v>
      </c>
      <c r="D2853">
        <v>2040</v>
      </c>
      <c r="E2853">
        <v>1729905</v>
      </c>
    </row>
    <row r="2854" spans="1:5" x14ac:dyDescent="0.25">
      <c r="A2854">
        <v>2</v>
      </c>
      <c r="B2854">
        <v>2</v>
      </c>
      <c r="C2854">
        <v>9</v>
      </c>
      <c r="D2854">
        <v>2041</v>
      </c>
      <c r="E2854">
        <v>1750303</v>
      </c>
    </row>
    <row r="2855" spans="1:5" x14ac:dyDescent="0.25">
      <c r="A2855">
        <v>2</v>
      </c>
      <c r="B2855">
        <v>2</v>
      </c>
      <c r="C2855">
        <v>9</v>
      </c>
      <c r="D2855">
        <v>2042</v>
      </c>
      <c r="E2855">
        <v>1770519</v>
      </c>
    </row>
    <row r="2856" spans="1:5" x14ac:dyDescent="0.25">
      <c r="A2856">
        <v>2</v>
      </c>
      <c r="B2856">
        <v>2</v>
      </c>
      <c r="C2856">
        <v>9</v>
      </c>
      <c r="D2856">
        <v>2043</v>
      </c>
      <c r="E2856">
        <v>1790526</v>
      </c>
    </row>
    <row r="2857" spans="1:5" x14ac:dyDescent="0.25">
      <c r="A2857">
        <v>2</v>
      </c>
      <c r="B2857">
        <v>2</v>
      </c>
      <c r="C2857">
        <v>9</v>
      </c>
      <c r="D2857">
        <v>2044</v>
      </c>
      <c r="E2857">
        <v>1810274</v>
      </c>
    </row>
    <row r="2858" spans="1:5" x14ac:dyDescent="0.25">
      <c r="A2858">
        <v>2</v>
      </c>
      <c r="B2858">
        <v>2</v>
      </c>
      <c r="C2858">
        <v>9</v>
      </c>
      <c r="D2858">
        <v>2045</v>
      </c>
      <c r="E2858">
        <v>1829716</v>
      </c>
    </row>
    <row r="2859" spans="1:5" x14ac:dyDescent="0.25">
      <c r="A2859">
        <v>2</v>
      </c>
      <c r="B2859">
        <v>2</v>
      </c>
      <c r="C2859">
        <v>9</v>
      </c>
      <c r="D2859">
        <v>2046</v>
      </c>
      <c r="E2859">
        <v>1848839</v>
      </c>
    </row>
    <row r="2860" spans="1:5" x14ac:dyDescent="0.25">
      <c r="A2860">
        <v>2</v>
      </c>
      <c r="B2860">
        <v>2</v>
      </c>
      <c r="C2860">
        <v>9</v>
      </c>
      <c r="D2860">
        <v>2047</v>
      </c>
      <c r="E2860">
        <v>1867612</v>
      </c>
    </row>
    <row r="2861" spans="1:5" x14ac:dyDescent="0.25">
      <c r="A2861">
        <v>2</v>
      </c>
      <c r="B2861">
        <v>2</v>
      </c>
      <c r="C2861">
        <v>9</v>
      </c>
      <c r="D2861">
        <v>2048</v>
      </c>
      <c r="E2861">
        <v>1886007</v>
      </c>
    </row>
    <row r="2862" spans="1:5" x14ac:dyDescent="0.25">
      <c r="A2862">
        <v>2</v>
      </c>
      <c r="B2862">
        <v>2</v>
      </c>
      <c r="C2862">
        <v>9</v>
      </c>
      <c r="D2862">
        <v>2049</v>
      </c>
      <c r="E2862">
        <v>1903999</v>
      </c>
    </row>
    <row r="2863" spans="1:5" x14ac:dyDescent="0.25">
      <c r="A2863">
        <v>2</v>
      </c>
      <c r="B2863">
        <v>2</v>
      </c>
      <c r="C2863">
        <v>9</v>
      </c>
      <c r="D2863">
        <v>2050</v>
      </c>
      <c r="E2863">
        <v>1921592</v>
      </c>
    </row>
    <row r="2864" spans="1:5" x14ac:dyDescent="0.25">
      <c r="A2864">
        <v>2</v>
      </c>
      <c r="B2864">
        <v>2</v>
      </c>
      <c r="C2864">
        <v>10</v>
      </c>
      <c r="D2864">
        <v>2024</v>
      </c>
      <c r="E2864">
        <v>652327</v>
      </c>
    </row>
    <row r="2865" spans="1:5" x14ac:dyDescent="0.25">
      <c r="A2865">
        <v>2</v>
      </c>
      <c r="B2865">
        <v>2</v>
      </c>
      <c r="C2865">
        <v>10</v>
      </c>
      <c r="D2865">
        <v>2025</v>
      </c>
      <c r="E2865">
        <v>665447</v>
      </c>
    </row>
    <row r="2866" spans="1:5" x14ac:dyDescent="0.25">
      <c r="A2866">
        <v>2</v>
      </c>
      <c r="B2866">
        <v>2</v>
      </c>
      <c r="C2866">
        <v>10</v>
      </c>
      <c r="D2866">
        <v>2026</v>
      </c>
      <c r="E2866">
        <v>678728</v>
      </c>
    </row>
    <row r="2867" spans="1:5" x14ac:dyDescent="0.25">
      <c r="A2867">
        <v>2</v>
      </c>
      <c r="B2867">
        <v>2</v>
      </c>
      <c r="C2867">
        <v>10</v>
      </c>
      <c r="D2867">
        <v>2027</v>
      </c>
      <c r="E2867">
        <v>692172</v>
      </c>
    </row>
    <row r="2868" spans="1:5" x14ac:dyDescent="0.25">
      <c r="A2868">
        <v>2</v>
      </c>
      <c r="B2868">
        <v>2</v>
      </c>
      <c r="C2868">
        <v>10</v>
      </c>
      <c r="D2868">
        <v>2028</v>
      </c>
      <c r="E2868">
        <v>705801</v>
      </c>
    </row>
    <row r="2869" spans="1:5" x14ac:dyDescent="0.25">
      <c r="A2869">
        <v>2</v>
      </c>
      <c r="B2869">
        <v>2</v>
      </c>
      <c r="C2869">
        <v>10</v>
      </c>
      <c r="D2869">
        <v>2029</v>
      </c>
      <c r="E2869">
        <v>719613</v>
      </c>
    </row>
    <row r="2870" spans="1:5" x14ac:dyDescent="0.25">
      <c r="A2870">
        <v>2</v>
      </c>
      <c r="B2870">
        <v>2</v>
      </c>
      <c r="C2870">
        <v>10</v>
      </c>
      <c r="D2870">
        <v>2030</v>
      </c>
      <c r="E2870">
        <v>733616</v>
      </c>
    </row>
    <row r="2871" spans="1:5" x14ac:dyDescent="0.25">
      <c r="A2871">
        <v>2</v>
      </c>
      <c r="B2871">
        <v>2</v>
      </c>
      <c r="C2871">
        <v>10</v>
      </c>
      <c r="D2871">
        <v>2031</v>
      </c>
      <c r="E2871">
        <v>747822</v>
      </c>
    </row>
    <row r="2872" spans="1:5" x14ac:dyDescent="0.25">
      <c r="A2872">
        <v>2</v>
      </c>
      <c r="B2872">
        <v>2</v>
      </c>
      <c r="C2872">
        <v>10</v>
      </c>
      <c r="D2872">
        <v>2032</v>
      </c>
      <c r="E2872">
        <v>762255</v>
      </c>
    </row>
    <row r="2873" spans="1:5" x14ac:dyDescent="0.25">
      <c r="A2873">
        <v>2</v>
      </c>
      <c r="B2873">
        <v>2</v>
      </c>
      <c r="C2873">
        <v>10</v>
      </c>
      <c r="D2873">
        <v>2033</v>
      </c>
      <c r="E2873">
        <v>776963</v>
      </c>
    </row>
    <row r="2874" spans="1:5" x14ac:dyDescent="0.25">
      <c r="A2874">
        <v>2</v>
      </c>
      <c r="B2874">
        <v>2</v>
      </c>
      <c r="C2874">
        <v>10</v>
      </c>
      <c r="D2874">
        <v>2034</v>
      </c>
      <c r="E2874">
        <v>791918</v>
      </c>
    </row>
    <row r="2875" spans="1:5" x14ac:dyDescent="0.25">
      <c r="A2875">
        <v>2</v>
      </c>
      <c r="B2875">
        <v>2</v>
      </c>
      <c r="C2875">
        <v>10</v>
      </c>
      <c r="D2875">
        <v>2035</v>
      </c>
      <c r="E2875">
        <v>807114</v>
      </c>
    </row>
    <row r="2876" spans="1:5" x14ac:dyDescent="0.25">
      <c r="A2876">
        <v>2</v>
      </c>
      <c r="B2876">
        <v>2</v>
      </c>
      <c r="C2876">
        <v>10</v>
      </c>
      <c r="D2876">
        <v>2036</v>
      </c>
      <c r="E2876">
        <v>822548</v>
      </c>
    </row>
    <row r="2877" spans="1:5" x14ac:dyDescent="0.25">
      <c r="A2877">
        <v>2</v>
      </c>
      <c r="B2877">
        <v>2</v>
      </c>
      <c r="C2877">
        <v>10</v>
      </c>
      <c r="D2877">
        <v>2037</v>
      </c>
      <c r="E2877">
        <v>838250</v>
      </c>
    </row>
    <row r="2878" spans="1:5" x14ac:dyDescent="0.25">
      <c r="A2878">
        <v>2</v>
      </c>
      <c r="B2878">
        <v>2</v>
      </c>
      <c r="C2878">
        <v>10</v>
      </c>
      <c r="D2878">
        <v>2038</v>
      </c>
      <c r="E2878">
        <v>854167</v>
      </c>
    </row>
    <row r="2879" spans="1:5" x14ac:dyDescent="0.25">
      <c r="A2879">
        <v>2</v>
      </c>
      <c r="B2879">
        <v>2</v>
      </c>
      <c r="C2879">
        <v>10</v>
      </c>
      <c r="D2879">
        <v>2039</v>
      </c>
      <c r="E2879">
        <v>870362</v>
      </c>
    </row>
    <row r="2880" spans="1:5" x14ac:dyDescent="0.25">
      <c r="A2880">
        <v>2</v>
      </c>
      <c r="B2880">
        <v>2</v>
      </c>
      <c r="C2880">
        <v>10</v>
      </c>
      <c r="D2880">
        <v>2040</v>
      </c>
      <c r="E2880">
        <v>886764</v>
      </c>
    </row>
    <row r="2881" spans="1:5" x14ac:dyDescent="0.25">
      <c r="A2881">
        <v>2</v>
      </c>
      <c r="B2881">
        <v>2</v>
      </c>
      <c r="C2881">
        <v>10</v>
      </c>
      <c r="D2881">
        <v>2041</v>
      </c>
      <c r="E2881">
        <v>903383</v>
      </c>
    </row>
    <row r="2882" spans="1:5" x14ac:dyDescent="0.25">
      <c r="A2882">
        <v>2</v>
      </c>
      <c r="B2882">
        <v>2</v>
      </c>
      <c r="C2882">
        <v>10</v>
      </c>
      <c r="D2882">
        <v>2042</v>
      </c>
      <c r="E2882">
        <v>920198</v>
      </c>
    </row>
    <row r="2883" spans="1:5" x14ac:dyDescent="0.25">
      <c r="A2883">
        <v>2</v>
      </c>
      <c r="B2883">
        <v>2</v>
      </c>
      <c r="C2883">
        <v>10</v>
      </c>
      <c r="D2883">
        <v>2043</v>
      </c>
      <c r="E2883">
        <v>937197</v>
      </c>
    </row>
    <row r="2884" spans="1:5" x14ac:dyDescent="0.25">
      <c r="A2884">
        <v>2</v>
      </c>
      <c r="B2884">
        <v>2</v>
      </c>
      <c r="C2884">
        <v>10</v>
      </c>
      <c r="D2884">
        <v>2044</v>
      </c>
      <c r="E2884">
        <v>954344</v>
      </c>
    </row>
    <row r="2885" spans="1:5" x14ac:dyDescent="0.25">
      <c r="A2885">
        <v>2</v>
      </c>
      <c r="B2885">
        <v>2</v>
      </c>
      <c r="C2885">
        <v>10</v>
      </c>
      <c r="D2885">
        <v>2045</v>
      </c>
      <c r="E2885">
        <v>971662</v>
      </c>
    </row>
    <row r="2886" spans="1:5" x14ac:dyDescent="0.25">
      <c r="A2886">
        <v>2</v>
      </c>
      <c r="B2886">
        <v>2</v>
      </c>
      <c r="C2886">
        <v>10</v>
      </c>
      <c r="D2886">
        <v>2046</v>
      </c>
      <c r="E2886">
        <v>989109</v>
      </c>
    </row>
    <row r="2887" spans="1:5" x14ac:dyDescent="0.25">
      <c r="A2887">
        <v>2</v>
      </c>
      <c r="B2887">
        <v>2</v>
      </c>
      <c r="C2887">
        <v>10</v>
      </c>
      <c r="D2887">
        <v>2047</v>
      </c>
      <c r="E2887">
        <v>1006707</v>
      </c>
    </row>
    <row r="2888" spans="1:5" x14ac:dyDescent="0.25">
      <c r="A2888">
        <v>2</v>
      </c>
      <c r="B2888">
        <v>2</v>
      </c>
      <c r="C2888">
        <v>10</v>
      </c>
      <c r="D2888">
        <v>2048</v>
      </c>
      <c r="E2888">
        <v>1024375</v>
      </c>
    </row>
    <row r="2889" spans="1:5" x14ac:dyDescent="0.25">
      <c r="A2889">
        <v>2</v>
      </c>
      <c r="B2889">
        <v>2</v>
      </c>
      <c r="C2889">
        <v>10</v>
      </c>
      <c r="D2889">
        <v>2049</v>
      </c>
      <c r="E2889">
        <v>1042143</v>
      </c>
    </row>
    <row r="2890" spans="1:5" x14ac:dyDescent="0.25">
      <c r="A2890">
        <v>2</v>
      </c>
      <c r="B2890">
        <v>2</v>
      </c>
      <c r="C2890">
        <v>10</v>
      </c>
      <c r="D2890">
        <v>2050</v>
      </c>
      <c r="E2890">
        <v>1060003</v>
      </c>
    </row>
    <row r="2891" spans="1:5" x14ac:dyDescent="0.25">
      <c r="A2891">
        <v>2</v>
      </c>
      <c r="B2891">
        <v>2</v>
      </c>
      <c r="C2891">
        <v>11</v>
      </c>
      <c r="D2891">
        <v>2024</v>
      </c>
      <c r="E2891">
        <v>223926</v>
      </c>
    </row>
    <row r="2892" spans="1:5" x14ac:dyDescent="0.25">
      <c r="A2892">
        <v>2</v>
      </c>
      <c r="B2892">
        <v>2</v>
      </c>
      <c r="C2892">
        <v>11</v>
      </c>
      <c r="D2892">
        <v>2025</v>
      </c>
      <c r="E2892">
        <v>227841</v>
      </c>
    </row>
    <row r="2893" spans="1:5" x14ac:dyDescent="0.25">
      <c r="A2893">
        <v>2</v>
      </c>
      <c r="B2893">
        <v>2</v>
      </c>
      <c r="C2893">
        <v>11</v>
      </c>
      <c r="D2893">
        <v>2026</v>
      </c>
      <c r="E2893">
        <v>231752</v>
      </c>
    </row>
    <row r="2894" spans="1:5" x14ac:dyDescent="0.25">
      <c r="A2894">
        <v>2</v>
      </c>
      <c r="B2894">
        <v>2</v>
      </c>
      <c r="C2894">
        <v>11</v>
      </c>
      <c r="D2894">
        <v>2027</v>
      </c>
      <c r="E2894">
        <v>235655</v>
      </c>
    </row>
    <row r="2895" spans="1:5" x14ac:dyDescent="0.25">
      <c r="A2895">
        <v>2</v>
      </c>
      <c r="B2895">
        <v>2</v>
      </c>
      <c r="C2895">
        <v>11</v>
      </c>
      <c r="D2895">
        <v>2028</v>
      </c>
      <c r="E2895">
        <v>239553</v>
      </c>
    </row>
    <row r="2896" spans="1:5" x14ac:dyDescent="0.25">
      <c r="A2896">
        <v>2</v>
      </c>
      <c r="B2896">
        <v>2</v>
      </c>
      <c r="C2896">
        <v>11</v>
      </c>
      <c r="D2896">
        <v>2029</v>
      </c>
      <c r="E2896">
        <v>243470</v>
      </c>
    </row>
    <row r="2897" spans="1:5" x14ac:dyDescent="0.25">
      <c r="A2897">
        <v>2</v>
      </c>
      <c r="B2897">
        <v>2</v>
      </c>
      <c r="C2897">
        <v>11</v>
      </c>
      <c r="D2897">
        <v>2030</v>
      </c>
      <c r="E2897">
        <v>247394</v>
      </c>
    </row>
    <row r="2898" spans="1:5" x14ac:dyDescent="0.25">
      <c r="A2898">
        <v>2</v>
      </c>
      <c r="B2898">
        <v>2</v>
      </c>
      <c r="C2898">
        <v>11</v>
      </c>
      <c r="D2898">
        <v>2031</v>
      </c>
      <c r="E2898">
        <v>251353</v>
      </c>
    </row>
    <row r="2899" spans="1:5" x14ac:dyDescent="0.25">
      <c r="A2899">
        <v>2</v>
      </c>
      <c r="B2899">
        <v>2</v>
      </c>
      <c r="C2899">
        <v>11</v>
      </c>
      <c r="D2899">
        <v>2032</v>
      </c>
      <c r="E2899">
        <v>255334</v>
      </c>
    </row>
    <row r="2900" spans="1:5" x14ac:dyDescent="0.25">
      <c r="A2900">
        <v>2</v>
      </c>
      <c r="B2900">
        <v>2</v>
      </c>
      <c r="C2900">
        <v>11</v>
      </c>
      <c r="D2900">
        <v>2033</v>
      </c>
      <c r="E2900">
        <v>259376</v>
      </c>
    </row>
    <row r="2901" spans="1:5" x14ac:dyDescent="0.25">
      <c r="A2901">
        <v>2</v>
      </c>
      <c r="B2901">
        <v>2</v>
      </c>
      <c r="C2901">
        <v>11</v>
      </c>
      <c r="D2901">
        <v>2034</v>
      </c>
      <c r="E2901">
        <v>263451</v>
      </c>
    </row>
    <row r="2902" spans="1:5" x14ac:dyDescent="0.25">
      <c r="A2902">
        <v>2</v>
      </c>
      <c r="B2902">
        <v>2</v>
      </c>
      <c r="C2902">
        <v>11</v>
      </c>
      <c r="D2902">
        <v>2035</v>
      </c>
      <c r="E2902">
        <v>267592</v>
      </c>
    </row>
    <row r="2903" spans="1:5" x14ac:dyDescent="0.25">
      <c r="A2903">
        <v>2</v>
      </c>
      <c r="B2903">
        <v>2</v>
      </c>
      <c r="C2903">
        <v>11</v>
      </c>
      <c r="D2903">
        <v>2036</v>
      </c>
      <c r="E2903">
        <v>271752</v>
      </c>
    </row>
    <row r="2904" spans="1:5" x14ac:dyDescent="0.25">
      <c r="A2904">
        <v>2</v>
      </c>
      <c r="B2904">
        <v>2</v>
      </c>
      <c r="C2904">
        <v>11</v>
      </c>
      <c r="D2904">
        <v>2037</v>
      </c>
      <c r="E2904">
        <v>275975</v>
      </c>
    </row>
    <row r="2905" spans="1:5" x14ac:dyDescent="0.25">
      <c r="A2905">
        <v>2</v>
      </c>
      <c r="B2905">
        <v>2</v>
      </c>
      <c r="C2905">
        <v>11</v>
      </c>
      <c r="D2905">
        <v>2038</v>
      </c>
      <c r="E2905">
        <v>280256</v>
      </c>
    </row>
    <row r="2906" spans="1:5" x14ac:dyDescent="0.25">
      <c r="A2906">
        <v>2</v>
      </c>
      <c r="B2906">
        <v>2</v>
      </c>
      <c r="C2906">
        <v>11</v>
      </c>
      <c r="D2906">
        <v>2039</v>
      </c>
      <c r="E2906">
        <v>284604</v>
      </c>
    </row>
    <row r="2907" spans="1:5" x14ac:dyDescent="0.25">
      <c r="A2907">
        <v>2</v>
      </c>
      <c r="B2907">
        <v>2</v>
      </c>
      <c r="C2907">
        <v>11</v>
      </c>
      <c r="D2907">
        <v>2040</v>
      </c>
      <c r="E2907">
        <v>288990</v>
      </c>
    </row>
    <row r="2908" spans="1:5" x14ac:dyDescent="0.25">
      <c r="A2908">
        <v>2</v>
      </c>
      <c r="B2908">
        <v>2</v>
      </c>
      <c r="C2908">
        <v>11</v>
      </c>
      <c r="D2908">
        <v>2041</v>
      </c>
      <c r="E2908">
        <v>293428</v>
      </c>
    </row>
    <row r="2909" spans="1:5" x14ac:dyDescent="0.25">
      <c r="A2909">
        <v>2</v>
      </c>
      <c r="B2909">
        <v>2</v>
      </c>
      <c r="C2909">
        <v>11</v>
      </c>
      <c r="D2909">
        <v>2042</v>
      </c>
      <c r="E2909">
        <v>297893</v>
      </c>
    </row>
    <row r="2910" spans="1:5" x14ac:dyDescent="0.25">
      <c r="A2910">
        <v>2</v>
      </c>
      <c r="B2910">
        <v>2</v>
      </c>
      <c r="C2910">
        <v>11</v>
      </c>
      <c r="D2910">
        <v>2043</v>
      </c>
      <c r="E2910">
        <v>302417</v>
      </c>
    </row>
    <row r="2911" spans="1:5" x14ac:dyDescent="0.25">
      <c r="A2911">
        <v>2</v>
      </c>
      <c r="B2911">
        <v>2</v>
      </c>
      <c r="C2911">
        <v>11</v>
      </c>
      <c r="D2911">
        <v>2044</v>
      </c>
      <c r="E2911">
        <v>306961</v>
      </c>
    </row>
    <row r="2912" spans="1:5" x14ac:dyDescent="0.25">
      <c r="A2912">
        <v>2</v>
      </c>
      <c r="B2912">
        <v>2</v>
      </c>
      <c r="C2912">
        <v>11</v>
      </c>
      <c r="D2912">
        <v>2045</v>
      </c>
      <c r="E2912">
        <v>311546</v>
      </c>
    </row>
    <row r="2913" spans="1:5" x14ac:dyDescent="0.25">
      <c r="A2913">
        <v>2</v>
      </c>
      <c r="B2913">
        <v>2</v>
      </c>
      <c r="C2913">
        <v>11</v>
      </c>
      <c r="D2913">
        <v>2046</v>
      </c>
      <c r="E2913">
        <v>316131</v>
      </c>
    </row>
    <row r="2914" spans="1:5" x14ac:dyDescent="0.25">
      <c r="A2914">
        <v>2</v>
      </c>
      <c r="B2914">
        <v>2</v>
      </c>
      <c r="C2914">
        <v>11</v>
      </c>
      <c r="D2914">
        <v>2047</v>
      </c>
      <c r="E2914">
        <v>320741</v>
      </c>
    </row>
    <row r="2915" spans="1:5" x14ac:dyDescent="0.25">
      <c r="A2915">
        <v>2</v>
      </c>
      <c r="B2915">
        <v>2</v>
      </c>
      <c r="C2915">
        <v>11</v>
      </c>
      <c r="D2915">
        <v>2048</v>
      </c>
      <c r="E2915">
        <v>325340</v>
      </c>
    </row>
    <row r="2916" spans="1:5" x14ac:dyDescent="0.25">
      <c r="A2916">
        <v>2</v>
      </c>
      <c r="B2916">
        <v>2</v>
      </c>
      <c r="C2916">
        <v>11</v>
      </c>
      <c r="D2916">
        <v>2049</v>
      </c>
      <c r="E2916">
        <v>329939</v>
      </c>
    </row>
    <row r="2917" spans="1:5" x14ac:dyDescent="0.25">
      <c r="A2917">
        <v>2</v>
      </c>
      <c r="B2917">
        <v>2</v>
      </c>
      <c r="C2917">
        <v>11</v>
      </c>
      <c r="D2917">
        <v>2050</v>
      </c>
      <c r="E2917">
        <v>334547</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593"/>
  <sheetViews>
    <sheetView workbookViewId="0">
      <pane ySplit="1" topLeftCell="A2" activePane="bottomLeft" state="frozen"/>
      <selection pane="bottomLeft"/>
    </sheetView>
  </sheetViews>
  <sheetFormatPr defaultRowHeight="15" x14ac:dyDescent="0.25"/>
  <cols>
    <col min="1" max="1" width="10" customWidth="1"/>
    <col min="2" max="2" width="22" customWidth="1"/>
    <col min="3" max="5" width="8" customWidth="1"/>
    <col min="6" max="6" width="14" customWidth="1"/>
  </cols>
  <sheetData>
    <row r="1" spans="1:6" x14ac:dyDescent="0.25">
      <c r="A1" s="5" t="s">
        <v>232</v>
      </c>
      <c r="B1" s="5" t="s">
        <v>233</v>
      </c>
      <c r="C1" s="5" t="s">
        <v>224</v>
      </c>
      <c r="D1" s="5" t="s">
        <v>229</v>
      </c>
      <c r="E1" s="5" t="s">
        <v>230</v>
      </c>
      <c r="F1" s="5" t="s">
        <v>234</v>
      </c>
    </row>
    <row r="2" spans="1:6" x14ac:dyDescent="0.25">
      <c r="A2" t="s">
        <v>37</v>
      </c>
      <c r="B2" t="s">
        <v>1</v>
      </c>
      <c r="C2">
        <v>0</v>
      </c>
      <c r="D2">
        <v>0</v>
      </c>
      <c r="E2">
        <v>1</v>
      </c>
      <c r="F2">
        <v>3545537</v>
      </c>
    </row>
    <row r="3" spans="1:6" x14ac:dyDescent="0.25">
      <c r="A3" t="s">
        <v>37</v>
      </c>
      <c r="B3" t="s">
        <v>1</v>
      </c>
      <c r="C3">
        <v>0</v>
      </c>
      <c r="D3">
        <v>0</v>
      </c>
      <c r="E3">
        <v>2</v>
      </c>
      <c r="F3">
        <v>1368358</v>
      </c>
    </row>
    <row r="4" spans="1:6" x14ac:dyDescent="0.25">
      <c r="A4" t="s">
        <v>37</v>
      </c>
      <c r="B4" t="s">
        <v>1</v>
      </c>
      <c r="C4">
        <v>0</v>
      </c>
      <c r="D4">
        <v>0</v>
      </c>
      <c r="E4">
        <v>3</v>
      </c>
      <c r="F4">
        <v>40544</v>
      </c>
    </row>
    <row r="5" spans="1:6" x14ac:dyDescent="0.25">
      <c r="A5" t="s">
        <v>37</v>
      </c>
      <c r="B5" t="s">
        <v>1</v>
      </c>
      <c r="C5">
        <v>0</v>
      </c>
      <c r="D5">
        <v>0</v>
      </c>
      <c r="E5">
        <v>4</v>
      </c>
      <c r="F5">
        <v>89421</v>
      </c>
    </row>
    <row r="6" spans="1:6" x14ac:dyDescent="0.25">
      <c r="A6" t="s">
        <v>37</v>
      </c>
      <c r="B6" t="s">
        <v>1</v>
      </c>
      <c r="C6">
        <v>0</v>
      </c>
      <c r="D6">
        <v>0</v>
      </c>
      <c r="E6">
        <v>5</v>
      </c>
      <c r="F6">
        <v>6630</v>
      </c>
    </row>
    <row r="7" spans="1:6" x14ac:dyDescent="0.25">
      <c r="A7" t="s">
        <v>37</v>
      </c>
      <c r="B7" t="s">
        <v>1</v>
      </c>
      <c r="C7">
        <v>0</v>
      </c>
      <c r="D7">
        <v>0</v>
      </c>
      <c r="E7">
        <v>6</v>
      </c>
      <c r="F7">
        <v>107209</v>
      </c>
    </row>
    <row r="8" spans="1:6" x14ac:dyDescent="0.25">
      <c r="A8" t="s">
        <v>37</v>
      </c>
      <c r="B8" t="s">
        <v>1</v>
      </c>
      <c r="C8">
        <v>0</v>
      </c>
      <c r="D8">
        <v>1</v>
      </c>
      <c r="E8">
        <v>1</v>
      </c>
      <c r="F8">
        <v>3284059</v>
      </c>
    </row>
    <row r="9" spans="1:6" x14ac:dyDescent="0.25">
      <c r="A9" t="s">
        <v>37</v>
      </c>
      <c r="B9" t="s">
        <v>1</v>
      </c>
      <c r="C9">
        <v>0</v>
      </c>
      <c r="D9">
        <v>1</v>
      </c>
      <c r="E9">
        <v>2</v>
      </c>
      <c r="F9">
        <v>1347486</v>
      </c>
    </row>
    <row r="10" spans="1:6" x14ac:dyDescent="0.25">
      <c r="A10" t="s">
        <v>37</v>
      </c>
      <c r="B10" t="s">
        <v>1</v>
      </c>
      <c r="C10">
        <v>0</v>
      </c>
      <c r="D10">
        <v>1</v>
      </c>
      <c r="E10">
        <v>3</v>
      </c>
      <c r="F10">
        <v>28411</v>
      </c>
    </row>
    <row r="11" spans="1:6" x14ac:dyDescent="0.25">
      <c r="A11" t="s">
        <v>37</v>
      </c>
      <c r="B11" t="s">
        <v>1</v>
      </c>
      <c r="C11">
        <v>0</v>
      </c>
      <c r="D11">
        <v>1</v>
      </c>
      <c r="E11">
        <v>4</v>
      </c>
      <c r="F11">
        <v>86926</v>
      </c>
    </row>
    <row r="12" spans="1:6" x14ac:dyDescent="0.25">
      <c r="A12" t="s">
        <v>37</v>
      </c>
      <c r="B12" t="s">
        <v>1</v>
      </c>
      <c r="C12">
        <v>0</v>
      </c>
      <c r="D12">
        <v>1</v>
      </c>
      <c r="E12">
        <v>5</v>
      </c>
      <c r="F12">
        <v>2916</v>
      </c>
    </row>
    <row r="13" spans="1:6" x14ac:dyDescent="0.25">
      <c r="A13" t="s">
        <v>37</v>
      </c>
      <c r="B13" t="s">
        <v>1</v>
      </c>
      <c r="C13">
        <v>0</v>
      </c>
      <c r="D13">
        <v>1</v>
      </c>
      <c r="E13">
        <v>6</v>
      </c>
      <c r="F13">
        <v>96454</v>
      </c>
    </row>
    <row r="14" spans="1:6" x14ac:dyDescent="0.25">
      <c r="A14" t="s">
        <v>37</v>
      </c>
      <c r="B14" t="s">
        <v>1</v>
      </c>
      <c r="C14">
        <v>0</v>
      </c>
      <c r="D14">
        <v>2</v>
      </c>
      <c r="E14">
        <v>1</v>
      </c>
      <c r="F14">
        <v>261478</v>
      </c>
    </row>
    <row r="15" spans="1:6" x14ac:dyDescent="0.25">
      <c r="A15" t="s">
        <v>37</v>
      </c>
      <c r="B15" t="s">
        <v>1</v>
      </c>
      <c r="C15">
        <v>0</v>
      </c>
      <c r="D15">
        <v>2</v>
      </c>
      <c r="E15">
        <v>2</v>
      </c>
      <c r="F15">
        <v>20872</v>
      </c>
    </row>
    <row r="16" spans="1:6" x14ac:dyDescent="0.25">
      <c r="A16" t="s">
        <v>37</v>
      </c>
      <c r="B16" t="s">
        <v>1</v>
      </c>
      <c r="C16">
        <v>0</v>
      </c>
      <c r="D16">
        <v>2</v>
      </c>
      <c r="E16">
        <v>3</v>
      </c>
      <c r="F16">
        <v>12133</v>
      </c>
    </row>
    <row r="17" spans="1:6" x14ac:dyDescent="0.25">
      <c r="A17" t="s">
        <v>37</v>
      </c>
      <c r="B17" t="s">
        <v>1</v>
      </c>
      <c r="C17">
        <v>0</v>
      </c>
      <c r="D17">
        <v>2</v>
      </c>
      <c r="E17">
        <v>4</v>
      </c>
      <c r="F17">
        <v>2495</v>
      </c>
    </row>
    <row r="18" spans="1:6" x14ac:dyDescent="0.25">
      <c r="A18" t="s">
        <v>37</v>
      </c>
      <c r="B18" t="s">
        <v>1</v>
      </c>
      <c r="C18">
        <v>0</v>
      </c>
      <c r="D18">
        <v>2</v>
      </c>
      <c r="E18">
        <v>5</v>
      </c>
      <c r="F18">
        <v>3714</v>
      </c>
    </row>
    <row r="19" spans="1:6" x14ac:dyDescent="0.25">
      <c r="A19" t="s">
        <v>37</v>
      </c>
      <c r="B19" t="s">
        <v>1</v>
      </c>
      <c r="C19">
        <v>0</v>
      </c>
      <c r="D19">
        <v>2</v>
      </c>
      <c r="E19">
        <v>6</v>
      </c>
      <c r="F19">
        <v>10755</v>
      </c>
    </row>
    <row r="20" spans="1:6" x14ac:dyDescent="0.25">
      <c r="A20" t="s">
        <v>37</v>
      </c>
      <c r="B20" t="s">
        <v>1</v>
      </c>
      <c r="C20">
        <v>1</v>
      </c>
      <c r="D20">
        <v>0</v>
      </c>
      <c r="E20">
        <v>1</v>
      </c>
      <c r="F20">
        <v>1746664</v>
      </c>
    </row>
    <row r="21" spans="1:6" x14ac:dyDescent="0.25">
      <c r="A21" t="s">
        <v>37</v>
      </c>
      <c r="B21" t="s">
        <v>1</v>
      </c>
      <c r="C21">
        <v>1</v>
      </c>
      <c r="D21">
        <v>0</v>
      </c>
      <c r="E21">
        <v>2</v>
      </c>
      <c r="F21">
        <v>636474</v>
      </c>
    </row>
    <row r="22" spans="1:6" x14ac:dyDescent="0.25">
      <c r="A22" t="s">
        <v>37</v>
      </c>
      <c r="B22" t="s">
        <v>1</v>
      </c>
      <c r="C22">
        <v>1</v>
      </c>
      <c r="D22">
        <v>0</v>
      </c>
      <c r="E22">
        <v>3</v>
      </c>
      <c r="F22">
        <v>20881</v>
      </c>
    </row>
    <row r="23" spans="1:6" x14ac:dyDescent="0.25">
      <c r="A23" t="s">
        <v>37</v>
      </c>
      <c r="B23" t="s">
        <v>1</v>
      </c>
      <c r="C23">
        <v>1</v>
      </c>
      <c r="D23">
        <v>0</v>
      </c>
      <c r="E23">
        <v>4</v>
      </c>
      <c r="F23">
        <v>42736</v>
      </c>
    </row>
    <row r="24" spans="1:6" x14ac:dyDescent="0.25">
      <c r="A24" t="s">
        <v>37</v>
      </c>
      <c r="B24" t="s">
        <v>1</v>
      </c>
      <c r="C24">
        <v>1</v>
      </c>
      <c r="D24">
        <v>0</v>
      </c>
      <c r="E24">
        <v>5</v>
      </c>
      <c r="F24">
        <v>3555</v>
      </c>
    </row>
    <row r="25" spans="1:6" x14ac:dyDescent="0.25">
      <c r="A25" t="s">
        <v>37</v>
      </c>
      <c r="B25" t="s">
        <v>1</v>
      </c>
      <c r="C25">
        <v>1</v>
      </c>
      <c r="D25">
        <v>0</v>
      </c>
      <c r="E25">
        <v>6</v>
      </c>
      <c r="F25">
        <v>52860</v>
      </c>
    </row>
    <row r="26" spans="1:6" x14ac:dyDescent="0.25">
      <c r="A26" t="s">
        <v>37</v>
      </c>
      <c r="B26" t="s">
        <v>1</v>
      </c>
      <c r="C26">
        <v>1</v>
      </c>
      <c r="D26">
        <v>1</v>
      </c>
      <c r="E26">
        <v>1</v>
      </c>
      <c r="F26">
        <v>1611044</v>
      </c>
    </row>
    <row r="27" spans="1:6" x14ac:dyDescent="0.25">
      <c r="A27" t="s">
        <v>37</v>
      </c>
      <c r="B27" t="s">
        <v>1</v>
      </c>
      <c r="C27">
        <v>1</v>
      </c>
      <c r="D27">
        <v>1</v>
      </c>
      <c r="E27">
        <v>2</v>
      </c>
      <c r="F27">
        <v>625893</v>
      </c>
    </row>
    <row r="28" spans="1:6" x14ac:dyDescent="0.25">
      <c r="A28" t="s">
        <v>37</v>
      </c>
      <c r="B28" t="s">
        <v>1</v>
      </c>
      <c r="C28">
        <v>1</v>
      </c>
      <c r="D28">
        <v>1</v>
      </c>
      <c r="E28">
        <v>3</v>
      </c>
      <c r="F28">
        <v>14018</v>
      </c>
    </row>
    <row r="29" spans="1:6" x14ac:dyDescent="0.25">
      <c r="A29" t="s">
        <v>37</v>
      </c>
      <c r="B29" t="s">
        <v>1</v>
      </c>
      <c r="C29">
        <v>1</v>
      </c>
      <c r="D29">
        <v>1</v>
      </c>
      <c r="E29">
        <v>4</v>
      </c>
      <c r="F29">
        <v>41454</v>
      </c>
    </row>
    <row r="30" spans="1:6" x14ac:dyDescent="0.25">
      <c r="A30" t="s">
        <v>37</v>
      </c>
      <c r="B30" t="s">
        <v>1</v>
      </c>
      <c r="C30">
        <v>1</v>
      </c>
      <c r="D30">
        <v>1</v>
      </c>
      <c r="E30">
        <v>5</v>
      </c>
      <c r="F30">
        <v>1469</v>
      </c>
    </row>
    <row r="31" spans="1:6" x14ac:dyDescent="0.25">
      <c r="A31" t="s">
        <v>37</v>
      </c>
      <c r="B31" t="s">
        <v>1</v>
      </c>
      <c r="C31">
        <v>1</v>
      </c>
      <c r="D31">
        <v>1</v>
      </c>
      <c r="E31">
        <v>6</v>
      </c>
      <c r="F31">
        <v>47391</v>
      </c>
    </row>
    <row r="32" spans="1:6" x14ac:dyDescent="0.25">
      <c r="A32" t="s">
        <v>37</v>
      </c>
      <c r="B32" t="s">
        <v>1</v>
      </c>
      <c r="C32">
        <v>1</v>
      </c>
      <c r="D32">
        <v>2</v>
      </c>
      <c r="E32">
        <v>1</v>
      </c>
      <c r="F32">
        <v>135620</v>
      </c>
    </row>
    <row r="33" spans="1:6" x14ac:dyDescent="0.25">
      <c r="A33" t="s">
        <v>37</v>
      </c>
      <c r="B33" t="s">
        <v>1</v>
      </c>
      <c r="C33">
        <v>1</v>
      </c>
      <c r="D33">
        <v>2</v>
      </c>
      <c r="E33">
        <v>2</v>
      </c>
      <c r="F33">
        <v>10581</v>
      </c>
    </row>
    <row r="34" spans="1:6" x14ac:dyDescent="0.25">
      <c r="A34" t="s">
        <v>37</v>
      </c>
      <c r="B34" t="s">
        <v>1</v>
      </c>
      <c r="C34">
        <v>1</v>
      </c>
      <c r="D34">
        <v>2</v>
      </c>
      <c r="E34">
        <v>3</v>
      </c>
      <c r="F34">
        <v>6863</v>
      </c>
    </row>
    <row r="35" spans="1:6" x14ac:dyDescent="0.25">
      <c r="A35" t="s">
        <v>37</v>
      </c>
      <c r="B35" t="s">
        <v>1</v>
      </c>
      <c r="C35">
        <v>1</v>
      </c>
      <c r="D35">
        <v>2</v>
      </c>
      <c r="E35">
        <v>4</v>
      </c>
      <c r="F35">
        <v>1282</v>
      </c>
    </row>
    <row r="36" spans="1:6" x14ac:dyDescent="0.25">
      <c r="A36" t="s">
        <v>37</v>
      </c>
      <c r="B36" t="s">
        <v>1</v>
      </c>
      <c r="C36">
        <v>1</v>
      </c>
      <c r="D36">
        <v>2</v>
      </c>
      <c r="E36">
        <v>5</v>
      </c>
      <c r="F36">
        <v>2086</v>
      </c>
    </row>
    <row r="37" spans="1:6" x14ac:dyDescent="0.25">
      <c r="A37" t="s">
        <v>37</v>
      </c>
      <c r="B37" t="s">
        <v>1</v>
      </c>
      <c r="C37">
        <v>1</v>
      </c>
      <c r="D37">
        <v>2</v>
      </c>
      <c r="E37">
        <v>6</v>
      </c>
      <c r="F37">
        <v>5469</v>
      </c>
    </row>
    <row r="38" spans="1:6" x14ac:dyDescent="0.25">
      <c r="A38" t="s">
        <v>37</v>
      </c>
      <c r="B38" t="s">
        <v>1</v>
      </c>
      <c r="C38">
        <v>2</v>
      </c>
      <c r="D38">
        <v>0</v>
      </c>
      <c r="E38">
        <v>1</v>
      </c>
      <c r="F38">
        <v>1798873</v>
      </c>
    </row>
    <row r="39" spans="1:6" x14ac:dyDescent="0.25">
      <c r="A39" t="s">
        <v>37</v>
      </c>
      <c r="B39" t="s">
        <v>1</v>
      </c>
      <c r="C39">
        <v>2</v>
      </c>
      <c r="D39">
        <v>0</v>
      </c>
      <c r="E39">
        <v>2</v>
      </c>
      <c r="F39">
        <v>731884</v>
      </c>
    </row>
    <row r="40" spans="1:6" x14ac:dyDescent="0.25">
      <c r="A40" t="s">
        <v>37</v>
      </c>
      <c r="B40" t="s">
        <v>1</v>
      </c>
      <c r="C40">
        <v>2</v>
      </c>
      <c r="D40">
        <v>0</v>
      </c>
      <c r="E40">
        <v>3</v>
      </c>
      <c r="F40">
        <v>19663</v>
      </c>
    </row>
    <row r="41" spans="1:6" x14ac:dyDescent="0.25">
      <c r="A41" t="s">
        <v>37</v>
      </c>
      <c r="B41" t="s">
        <v>1</v>
      </c>
      <c r="C41">
        <v>2</v>
      </c>
      <c r="D41">
        <v>0</v>
      </c>
      <c r="E41">
        <v>4</v>
      </c>
      <c r="F41">
        <v>46685</v>
      </c>
    </row>
    <row r="42" spans="1:6" x14ac:dyDescent="0.25">
      <c r="A42" t="s">
        <v>37</v>
      </c>
      <c r="B42" t="s">
        <v>1</v>
      </c>
      <c r="C42">
        <v>2</v>
      </c>
      <c r="D42">
        <v>0</v>
      </c>
      <c r="E42">
        <v>5</v>
      </c>
      <c r="F42">
        <v>3075</v>
      </c>
    </row>
    <row r="43" spans="1:6" x14ac:dyDescent="0.25">
      <c r="A43" t="s">
        <v>37</v>
      </c>
      <c r="B43" t="s">
        <v>1</v>
      </c>
      <c r="C43">
        <v>2</v>
      </c>
      <c r="D43">
        <v>0</v>
      </c>
      <c r="E43">
        <v>6</v>
      </c>
      <c r="F43">
        <v>54349</v>
      </c>
    </row>
    <row r="44" spans="1:6" x14ac:dyDescent="0.25">
      <c r="A44" t="s">
        <v>37</v>
      </c>
      <c r="B44" t="s">
        <v>1</v>
      </c>
      <c r="C44">
        <v>2</v>
      </c>
      <c r="D44">
        <v>1</v>
      </c>
      <c r="E44">
        <v>1</v>
      </c>
      <c r="F44">
        <v>1673015</v>
      </c>
    </row>
    <row r="45" spans="1:6" x14ac:dyDescent="0.25">
      <c r="A45" t="s">
        <v>37</v>
      </c>
      <c r="B45" t="s">
        <v>1</v>
      </c>
      <c r="C45">
        <v>2</v>
      </c>
      <c r="D45">
        <v>1</v>
      </c>
      <c r="E45">
        <v>2</v>
      </c>
      <c r="F45">
        <v>721593</v>
      </c>
    </row>
    <row r="46" spans="1:6" x14ac:dyDescent="0.25">
      <c r="A46" t="s">
        <v>37</v>
      </c>
      <c r="B46" t="s">
        <v>1</v>
      </c>
      <c r="C46">
        <v>2</v>
      </c>
      <c r="D46">
        <v>1</v>
      </c>
      <c r="E46">
        <v>3</v>
      </c>
      <c r="F46">
        <v>14393</v>
      </c>
    </row>
    <row r="47" spans="1:6" x14ac:dyDescent="0.25">
      <c r="A47" t="s">
        <v>37</v>
      </c>
      <c r="B47" t="s">
        <v>1</v>
      </c>
      <c r="C47">
        <v>2</v>
      </c>
      <c r="D47">
        <v>1</v>
      </c>
      <c r="E47">
        <v>4</v>
      </c>
      <c r="F47">
        <v>45472</v>
      </c>
    </row>
    <row r="48" spans="1:6" x14ac:dyDescent="0.25">
      <c r="A48" t="s">
        <v>37</v>
      </c>
      <c r="B48" t="s">
        <v>1</v>
      </c>
      <c r="C48">
        <v>2</v>
      </c>
      <c r="D48">
        <v>1</v>
      </c>
      <c r="E48">
        <v>5</v>
      </c>
      <c r="F48">
        <v>1447</v>
      </c>
    </row>
    <row r="49" spans="1:6" x14ac:dyDescent="0.25">
      <c r="A49" t="s">
        <v>37</v>
      </c>
      <c r="B49" t="s">
        <v>1</v>
      </c>
      <c r="C49">
        <v>2</v>
      </c>
      <c r="D49">
        <v>1</v>
      </c>
      <c r="E49">
        <v>6</v>
      </c>
      <c r="F49">
        <v>49063</v>
      </c>
    </row>
    <row r="50" spans="1:6" x14ac:dyDescent="0.25">
      <c r="A50" t="s">
        <v>37</v>
      </c>
      <c r="B50" t="s">
        <v>1</v>
      </c>
      <c r="C50">
        <v>2</v>
      </c>
      <c r="D50">
        <v>2</v>
      </c>
      <c r="E50">
        <v>1</v>
      </c>
      <c r="F50">
        <v>125858</v>
      </c>
    </row>
    <row r="51" spans="1:6" x14ac:dyDescent="0.25">
      <c r="A51" t="s">
        <v>37</v>
      </c>
      <c r="B51" t="s">
        <v>1</v>
      </c>
      <c r="C51">
        <v>2</v>
      </c>
      <c r="D51">
        <v>2</v>
      </c>
      <c r="E51">
        <v>2</v>
      </c>
      <c r="F51">
        <v>10291</v>
      </c>
    </row>
    <row r="52" spans="1:6" x14ac:dyDescent="0.25">
      <c r="A52" t="s">
        <v>37</v>
      </c>
      <c r="B52" t="s">
        <v>1</v>
      </c>
      <c r="C52">
        <v>2</v>
      </c>
      <c r="D52">
        <v>2</v>
      </c>
      <c r="E52">
        <v>3</v>
      </c>
      <c r="F52">
        <v>5270</v>
      </c>
    </row>
    <row r="53" spans="1:6" x14ac:dyDescent="0.25">
      <c r="A53" t="s">
        <v>37</v>
      </c>
      <c r="B53" t="s">
        <v>1</v>
      </c>
      <c r="C53">
        <v>2</v>
      </c>
      <c r="D53">
        <v>2</v>
      </c>
      <c r="E53">
        <v>4</v>
      </c>
      <c r="F53">
        <v>1213</v>
      </c>
    </row>
    <row r="54" spans="1:6" x14ac:dyDescent="0.25">
      <c r="A54" t="s">
        <v>37</v>
      </c>
      <c r="B54" t="s">
        <v>1</v>
      </c>
      <c r="C54">
        <v>2</v>
      </c>
      <c r="D54">
        <v>2</v>
      </c>
      <c r="E54">
        <v>5</v>
      </c>
      <c r="F54">
        <v>1628</v>
      </c>
    </row>
    <row r="55" spans="1:6" x14ac:dyDescent="0.25">
      <c r="A55" t="s">
        <v>37</v>
      </c>
      <c r="B55" t="s">
        <v>1</v>
      </c>
      <c r="C55">
        <v>2</v>
      </c>
      <c r="D55">
        <v>2</v>
      </c>
      <c r="E55">
        <v>6</v>
      </c>
      <c r="F55">
        <v>5286</v>
      </c>
    </row>
    <row r="56" spans="1:6" x14ac:dyDescent="0.25">
      <c r="A56" t="s">
        <v>40</v>
      </c>
      <c r="B56" t="s">
        <v>42</v>
      </c>
      <c r="C56">
        <v>0</v>
      </c>
      <c r="D56">
        <v>0</v>
      </c>
      <c r="E56">
        <v>1</v>
      </c>
      <c r="F56">
        <v>6137861</v>
      </c>
    </row>
    <row r="57" spans="1:6" x14ac:dyDescent="0.25">
      <c r="A57" t="s">
        <v>40</v>
      </c>
      <c r="B57" t="s">
        <v>42</v>
      </c>
      <c r="C57">
        <v>0</v>
      </c>
      <c r="D57">
        <v>0</v>
      </c>
      <c r="E57">
        <v>2</v>
      </c>
      <c r="F57">
        <v>443135</v>
      </c>
    </row>
    <row r="58" spans="1:6" x14ac:dyDescent="0.25">
      <c r="A58" t="s">
        <v>40</v>
      </c>
      <c r="B58" t="s">
        <v>42</v>
      </c>
      <c r="C58">
        <v>0</v>
      </c>
      <c r="D58">
        <v>0</v>
      </c>
      <c r="E58">
        <v>3</v>
      </c>
      <c r="F58">
        <v>389519</v>
      </c>
    </row>
    <row r="59" spans="1:6" x14ac:dyDescent="0.25">
      <c r="A59" t="s">
        <v>40</v>
      </c>
      <c r="B59" t="s">
        <v>42</v>
      </c>
      <c r="C59">
        <v>0</v>
      </c>
      <c r="D59">
        <v>0</v>
      </c>
      <c r="E59">
        <v>4</v>
      </c>
      <c r="F59">
        <v>336506</v>
      </c>
    </row>
    <row r="60" spans="1:6" x14ac:dyDescent="0.25">
      <c r="A60" t="s">
        <v>40</v>
      </c>
      <c r="B60" t="s">
        <v>42</v>
      </c>
      <c r="C60">
        <v>0</v>
      </c>
      <c r="D60">
        <v>0</v>
      </c>
      <c r="E60">
        <v>5</v>
      </c>
      <c r="F60">
        <v>22425</v>
      </c>
    </row>
    <row r="61" spans="1:6" x14ac:dyDescent="0.25">
      <c r="A61" t="s">
        <v>40</v>
      </c>
      <c r="B61" t="s">
        <v>42</v>
      </c>
      <c r="C61">
        <v>0</v>
      </c>
      <c r="D61">
        <v>0</v>
      </c>
      <c r="E61">
        <v>6</v>
      </c>
      <c r="F61">
        <v>252938</v>
      </c>
    </row>
    <row r="62" spans="1:6" x14ac:dyDescent="0.25">
      <c r="A62" t="s">
        <v>40</v>
      </c>
      <c r="B62" t="s">
        <v>42</v>
      </c>
      <c r="C62">
        <v>0</v>
      </c>
      <c r="D62">
        <v>1</v>
      </c>
      <c r="E62">
        <v>1</v>
      </c>
      <c r="F62">
        <v>3971061</v>
      </c>
    </row>
    <row r="63" spans="1:6" x14ac:dyDescent="0.25">
      <c r="A63" t="s">
        <v>40</v>
      </c>
      <c r="B63" t="s">
        <v>42</v>
      </c>
      <c r="C63">
        <v>0</v>
      </c>
      <c r="D63">
        <v>1</v>
      </c>
      <c r="E63">
        <v>2</v>
      </c>
      <c r="F63">
        <v>383460</v>
      </c>
    </row>
    <row r="64" spans="1:6" x14ac:dyDescent="0.25">
      <c r="A64" t="s">
        <v>40</v>
      </c>
      <c r="B64" t="s">
        <v>42</v>
      </c>
      <c r="C64">
        <v>0</v>
      </c>
      <c r="D64">
        <v>1</v>
      </c>
      <c r="E64">
        <v>3</v>
      </c>
      <c r="F64">
        <v>280997</v>
      </c>
    </row>
    <row r="65" spans="1:6" x14ac:dyDescent="0.25">
      <c r="A65" t="s">
        <v>40</v>
      </c>
      <c r="B65" t="s">
        <v>42</v>
      </c>
      <c r="C65">
        <v>0</v>
      </c>
      <c r="D65">
        <v>1</v>
      </c>
      <c r="E65">
        <v>4</v>
      </c>
      <c r="F65">
        <v>313814</v>
      </c>
    </row>
    <row r="66" spans="1:6" x14ac:dyDescent="0.25">
      <c r="A66" t="s">
        <v>40</v>
      </c>
      <c r="B66" t="s">
        <v>42</v>
      </c>
      <c r="C66">
        <v>0</v>
      </c>
      <c r="D66">
        <v>1</v>
      </c>
      <c r="E66">
        <v>5</v>
      </c>
      <c r="F66">
        <v>15346</v>
      </c>
    </row>
    <row r="67" spans="1:6" x14ac:dyDescent="0.25">
      <c r="A67" t="s">
        <v>40</v>
      </c>
      <c r="B67" t="s">
        <v>42</v>
      </c>
      <c r="C67">
        <v>0</v>
      </c>
      <c r="D67">
        <v>1</v>
      </c>
      <c r="E67">
        <v>6</v>
      </c>
      <c r="F67">
        <v>182043</v>
      </c>
    </row>
    <row r="68" spans="1:6" x14ac:dyDescent="0.25">
      <c r="A68" t="s">
        <v>40</v>
      </c>
      <c r="B68" t="s">
        <v>42</v>
      </c>
      <c r="C68">
        <v>0</v>
      </c>
      <c r="D68">
        <v>2</v>
      </c>
      <c r="E68">
        <v>1</v>
      </c>
      <c r="F68">
        <v>2166800</v>
      </c>
    </row>
    <row r="69" spans="1:6" x14ac:dyDescent="0.25">
      <c r="A69" t="s">
        <v>40</v>
      </c>
      <c r="B69" t="s">
        <v>42</v>
      </c>
      <c r="C69">
        <v>0</v>
      </c>
      <c r="D69">
        <v>2</v>
      </c>
      <c r="E69">
        <v>2</v>
      </c>
      <c r="F69">
        <v>59675</v>
      </c>
    </row>
    <row r="70" spans="1:6" x14ac:dyDescent="0.25">
      <c r="A70" t="s">
        <v>40</v>
      </c>
      <c r="B70" t="s">
        <v>42</v>
      </c>
      <c r="C70">
        <v>0</v>
      </c>
      <c r="D70">
        <v>2</v>
      </c>
      <c r="E70">
        <v>3</v>
      </c>
      <c r="F70">
        <v>108522</v>
      </c>
    </row>
    <row r="71" spans="1:6" x14ac:dyDescent="0.25">
      <c r="A71" t="s">
        <v>40</v>
      </c>
      <c r="B71" t="s">
        <v>42</v>
      </c>
      <c r="C71">
        <v>0</v>
      </c>
      <c r="D71">
        <v>2</v>
      </c>
      <c r="E71">
        <v>4</v>
      </c>
      <c r="F71">
        <v>22692</v>
      </c>
    </row>
    <row r="72" spans="1:6" x14ac:dyDescent="0.25">
      <c r="A72" t="s">
        <v>40</v>
      </c>
      <c r="B72" t="s">
        <v>42</v>
      </c>
      <c r="C72">
        <v>0</v>
      </c>
      <c r="D72">
        <v>2</v>
      </c>
      <c r="E72">
        <v>5</v>
      </c>
      <c r="F72">
        <v>7079</v>
      </c>
    </row>
    <row r="73" spans="1:6" x14ac:dyDescent="0.25">
      <c r="A73" t="s">
        <v>40</v>
      </c>
      <c r="B73" t="s">
        <v>42</v>
      </c>
      <c r="C73">
        <v>0</v>
      </c>
      <c r="D73">
        <v>2</v>
      </c>
      <c r="E73">
        <v>6</v>
      </c>
      <c r="F73">
        <v>70895</v>
      </c>
    </row>
    <row r="74" spans="1:6" x14ac:dyDescent="0.25">
      <c r="A74" t="s">
        <v>40</v>
      </c>
      <c r="B74" t="s">
        <v>42</v>
      </c>
      <c r="C74">
        <v>1</v>
      </c>
      <c r="D74">
        <v>0</v>
      </c>
      <c r="E74">
        <v>1</v>
      </c>
      <c r="F74">
        <v>3064927</v>
      </c>
    </row>
    <row r="75" spans="1:6" x14ac:dyDescent="0.25">
      <c r="A75" t="s">
        <v>40</v>
      </c>
      <c r="B75" t="s">
        <v>42</v>
      </c>
      <c r="C75">
        <v>1</v>
      </c>
      <c r="D75">
        <v>0</v>
      </c>
      <c r="E75">
        <v>2</v>
      </c>
      <c r="F75">
        <v>229402</v>
      </c>
    </row>
    <row r="76" spans="1:6" x14ac:dyDescent="0.25">
      <c r="A76" t="s">
        <v>40</v>
      </c>
      <c r="B76" t="s">
        <v>42</v>
      </c>
      <c r="C76">
        <v>1</v>
      </c>
      <c r="D76">
        <v>0</v>
      </c>
      <c r="E76">
        <v>3</v>
      </c>
      <c r="F76">
        <v>191521</v>
      </c>
    </row>
    <row r="77" spans="1:6" x14ac:dyDescent="0.25">
      <c r="A77" t="s">
        <v>40</v>
      </c>
      <c r="B77" t="s">
        <v>42</v>
      </c>
      <c r="C77">
        <v>1</v>
      </c>
      <c r="D77">
        <v>0</v>
      </c>
      <c r="E77">
        <v>4</v>
      </c>
      <c r="F77">
        <v>159790</v>
      </c>
    </row>
    <row r="78" spans="1:6" x14ac:dyDescent="0.25">
      <c r="A78" t="s">
        <v>40</v>
      </c>
      <c r="B78" t="s">
        <v>42</v>
      </c>
      <c r="C78">
        <v>1</v>
      </c>
      <c r="D78">
        <v>0</v>
      </c>
      <c r="E78">
        <v>5</v>
      </c>
      <c r="F78">
        <v>11806</v>
      </c>
    </row>
    <row r="79" spans="1:6" x14ac:dyDescent="0.25">
      <c r="A79" t="s">
        <v>40</v>
      </c>
      <c r="B79" t="s">
        <v>42</v>
      </c>
      <c r="C79">
        <v>1</v>
      </c>
      <c r="D79">
        <v>0</v>
      </c>
      <c r="E79">
        <v>6</v>
      </c>
      <c r="F79">
        <v>126663</v>
      </c>
    </row>
    <row r="80" spans="1:6" x14ac:dyDescent="0.25">
      <c r="A80" t="s">
        <v>40</v>
      </c>
      <c r="B80" t="s">
        <v>42</v>
      </c>
      <c r="C80">
        <v>1</v>
      </c>
      <c r="D80">
        <v>1</v>
      </c>
      <c r="E80">
        <v>1</v>
      </c>
      <c r="F80">
        <v>1972945</v>
      </c>
    </row>
    <row r="81" spans="1:6" x14ac:dyDescent="0.25">
      <c r="A81" t="s">
        <v>40</v>
      </c>
      <c r="B81" t="s">
        <v>42</v>
      </c>
      <c r="C81">
        <v>1</v>
      </c>
      <c r="D81">
        <v>1</v>
      </c>
      <c r="E81">
        <v>2</v>
      </c>
      <c r="F81">
        <v>199473</v>
      </c>
    </row>
    <row r="82" spans="1:6" x14ac:dyDescent="0.25">
      <c r="A82" t="s">
        <v>40</v>
      </c>
      <c r="B82" t="s">
        <v>42</v>
      </c>
      <c r="C82">
        <v>1</v>
      </c>
      <c r="D82">
        <v>1</v>
      </c>
      <c r="E82">
        <v>3</v>
      </c>
      <c r="F82">
        <v>135843</v>
      </c>
    </row>
    <row r="83" spans="1:6" x14ac:dyDescent="0.25">
      <c r="A83" t="s">
        <v>40</v>
      </c>
      <c r="B83" t="s">
        <v>42</v>
      </c>
      <c r="C83">
        <v>1</v>
      </c>
      <c r="D83">
        <v>1</v>
      </c>
      <c r="E83">
        <v>4</v>
      </c>
      <c r="F83">
        <v>148353</v>
      </c>
    </row>
    <row r="84" spans="1:6" x14ac:dyDescent="0.25">
      <c r="A84" t="s">
        <v>40</v>
      </c>
      <c r="B84" t="s">
        <v>42</v>
      </c>
      <c r="C84">
        <v>1</v>
      </c>
      <c r="D84">
        <v>1</v>
      </c>
      <c r="E84">
        <v>5</v>
      </c>
      <c r="F84">
        <v>8206</v>
      </c>
    </row>
    <row r="85" spans="1:6" x14ac:dyDescent="0.25">
      <c r="A85" t="s">
        <v>40</v>
      </c>
      <c r="B85" t="s">
        <v>42</v>
      </c>
      <c r="C85">
        <v>1</v>
      </c>
      <c r="D85">
        <v>1</v>
      </c>
      <c r="E85">
        <v>6</v>
      </c>
      <c r="F85">
        <v>90750</v>
      </c>
    </row>
    <row r="86" spans="1:6" x14ac:dyDescent="0.25">
      <c r="A86" t="s">
        <v>40</v>
      </c>
      <c r="B86" t="s">
        <v>42</v>
      </c>
      <c r="C86">
        <v>1</v>
      </c>
      <c r="D86">
        <v>2</v>
      </c>
      <c r="E86">
        <v>1</v>
      </c>
      <c r="F86">
        <v>1091982</v>
      </c>
    </row>
    <row r="87" spans="1:6" x14ac:dyDescent="0.25">
      <c r="A87" t="s">
        <v>40</v>
      </c>
      <c r="B87" t="s">
        <v>42</v>
      </c>
      <c r="C87">
        <v>1</v>
      </c>
      <c r="D87">
        <v>2</v>
      </c>
      <c r="E87">
        <v>2</v>
      </c>
      <c r="F87">
        <v>29929</v>
      </c>
    </row>
    <row r="88" spans="1:6" x14ac:dyDescent="0.25">
      <c r="A88" t="s">
        <v>40</v>
      </c>
      <c r="B88" t="s">
        <v>42</v>
      </c>
      <c r="C88">
        <v>1</v>
      </c>
      <c r="D88">
        <v>2</v>
      </c>
      <c r="E88">
        <v>3</v>
      </c>
      <c r="F88">
        <v>55678</v>
      </c>
    </row>
    <row r="89" spans="1:6" x14ac:dyDescent="0.25">
      <c r="A89" t="s">
        <v>40</v>
      </c>
      <c r="B89" t="s">
        <v>42</v>
      </c>
      <c r="C89">
        <v>1</v>
      </c>
      <c r="D89">
        <v>2</v>
      </c>
      <c r="E89">
        <v>4</v>
      </c>
      <c r="F89">
        <v>11437</v>
      </c>
    </row>
    <row r="90" spans="1:6" x14ac:dyDescent="0.25">
      <c r="A90" t="s">
        <v>40</v>
      </c>
      <c r="B90" t="s">
        <v>42</v>
      </c>
      <c r="C90">
        <v>1</v>
      </c>
      <c r="D90">
        <v>2</v>
      </c>
      <c r="E90">
        <v>5</v>
      </c>
      <c r="F90">
        <v>3600</v>
      </c>
    </row>
    <row r="91" spans="1:6" x14ac:dyDescent="0.25">
      <c r="A91" t="s">
        <v>40</v>
      </c>
      <c r="B91" t="s">
        <v>42</v>
      </c>
      <c r="C91">
        <v>1</v>
      </c>
      <c r="D91">
        <v>2</v>
      </c>
      <c r="E91">
        <v>6</v>
      </c>
      <c r="F91">
        <v>35913</v>
      </c>
    </row>
    <row r="92" spans="1:6" x14ac:dyDescent="0.25">
      <c r="A92" t="s">
        <v>40</v>
      </c>
      <c r="B92" t="s">
        <v>42</v>
      </c>
      <c r="C92">
        <v>2</v>
      </c>
      <c r="D92">
        <v>0</v>
      </c>
      <c r="E92">
        <v>1</v>
      </c>
      <c r="F92">
        <v>3072934</v>
      </c>
    </row>
    <row r="93" spans="1:6" x14ac:dyDescent="0.25">
      <c r="A93" t="s">
        <v>40</v>
      </c>
      <c r="B93" t="s">
        <v>42</v>
      </c>
      <c r="C93">
        <v>2</v>
      </c>
      <c r="D93">
        <v>0</v>
      </c>
      <c r="E93">
        <v>2</v>
      </c>
      <c r="F93">
        <v>213733</v>
      </c>
    </row>
    <row r="94" spans="1:6" x14ac:dyDescent="0.25">
      <c r="A94" t="s">
        <v>40</v>
      </c>
      <c r="B94" t="s">
        <v>42</v>
      </c>
      <c r="C94">
        <v>2</v>
      </c>
      <c r="D94">
        <v>0</v>
      </c>
      <c r="E94">
        <v>3</v>
      </c>
      <c r="F94">
        <v>197998</v>
      </c>
    </row>
    <row r="95" spans="1:6" x14ac:dyDescent="0.25">
      <c r="A95" t="s">
        <v>40</v>
      </c>
      <c r="B95" t="s">
        <v>42</v>
      </c>
      <c r="C95">
        <v>2</v>
      </c>
      <c r="D95">
        <v>0</v>
      </c>
      <c r="E95">
        <v>4</v>
      </c>
      <c r="F95">
        <v>176716</v>
      </c>
    </row>
    <row r="96" spans="1:6" x14ac:dyDescent="0.25">
      <c r="A96" t="s">
        <v>40</v>
      </c>
      <c r="B96" t="s">
        <v>42</v>
      </c>
      <c r="C96">
        <v>2</v>
      </c>
      <c r="D96">
        <v>0</v>
      </c>
      <c r="E96">
        <v>5</v>
      </c>
      <c r="F96">
        <v>10619</v>
      </c>
    </row>
    <row r="97" spans="1:6" x14ac:dyDescent="0.25">
      <c r="A97" t="s">
        <v>40</v>
      </c>
      <c r="B97" t="s">
        <v>42</v>
      </c>
      <c r="C97">
        <v>2</v>
      </c>
      <c r="D97">
        <v>0</v>
      </c>
      <c r="E97">
        <v>6</v>
      </c>
      <c r="F97">
        <v>126275</v>
      </c>
    </row>
    <row r="98" spans="1:6" x14ac:dyDescent="0.25">
      <c r="A98" t="s">
        <v>40</v>
      </c>
      <c r="B98" t="s">
        <v>42</v>
      </c>
      <c r="C98">
        <v>2</v>
      </c>
      <c r="D98">
        <v>1</v>
      </c>
      <c r="E98">
        <v>1</v>
      </c>
      <c r="F98">
        <v>1998116</v>
      </c>
    </row>
    <row r="99" spans="1:6" x14ac:dyDescent="0.25">
      <c r="A99" t="s">
        <v>40</v>
      </c>
      <c r="B99" t="s">
        <v>42</v>
      </c>
      <c r="C99">
        <v>2</v>
      </c>
      <c r="D99">
        <v>1</v>
      </c>
      <c r="E99">
        <v>2</v>
      </c>
      <c r="F99">
        <v>183987</v>
      </c>
    </row>
    <row r="100" spans="1:6" x14ac:dyDescent="0.25">
      <c r="A100" t="s">
        <v>40</v>
      </c>
      <c r="B100" t="s">
        <v>42</v>
      </c>
      <c r="C100">
        <v>2</v>
      </c>
      <c r="D100">
        <v>1</v>
      </c>
      <c r="E100">
        <v>3</v>
      </c>
      <c r="F100">
        <v>145154</v>
      </c>
    </row>
    <row r="101" spans="1:6" x14ac:dyDescent="0.25">
      <c r="A101" t="s">
        <v>40</v>
      </c>
      <c r="B101" t="s">
        <v>42</v>
      </c>
      <c r="C101">
        <v>2</v>
      </c>
      <c r="D101">
        <v>1</v>
      </c>
      <c r="E101">
        <v>4</v>
      </c>
      <c r="F101">
        <v>165461</v>
      </c>
    </row>
    <row r="102" spans="1:6" x14ac:dyDescent="0.25">
      <c r="A102" t="s">
        <v>40</v>
      </c>
      <c r="B102" t="s">
        <v>42</v>
      </c>
      <c r="C102">
        <v>2</v>
      </c>
      <c r="D102">
        <v>1</v>
      </c>
      <c r="E102">
        <v>5</v>
      </c>
      <c r="F102">
        <v>7140</v>
      </c>
    </row>
    <row r="103" spans="1:6" x14ac:dyDescent="0.25">
      <c r="A103" t="s">
        <v>40</v>
      </c>
      <c r="B103" t="s">
        <v>42</v>
      </c>
      <c r="C103">
        <v>2</v>
      </c>
      <c r="D103">
        <v>1</v>
      </c>
      <c r="E103">
        <v>6</v>
      </c>
      <c r="F103">
        <v>91293</v>
      </c>
    </row>
    <row r="104" spans="1:6" x14ac:dyDescent="0.25">
      <c r="A104" t="s">
        <v>40</v>
      </c>
      <c r="B104" t="s">
        <v>42</v>
      </c>
      <c r="C104">
        <v>2</v>
      </c>
      <c r="D104">
        <v>2</v>
      </c>
      <c r="E104">
        <v>1</v>
      </c>
      <c r="F104">
        <v>1074818</v>
      </c>
    </row>
    <row r="105" spans="1:6" x14ac:dyDescent="0.25">
      <c r="A105" t="s">
        <v>40</v>
      </c>
      <c r="B105" t="s">
        <v>42</v>
      </c>
      <c r="C105">
        <v>2</v>
      </c>
      <c r="D105">
        <v>2</v>
      </c>
      <c r="E105">
        <v>2</v>
      </c>
      <c r="F105">
        <v>29746</v>
      </c>
    </row>
    <row r="106" spans="1:6" x14ac:dyDescent="0.25">
      <c r="A106" t="s">
        <v>40</v>
      </c>
      <c r="B106" t="s">
        <v>42</v>
      </c>
      <c r="C106">
        <v>2</v>
      </c>
      <c r="D106">
        <v>2</v>
      </c>
      <c r="E106">
        <v>3</v>
      </c>
      <c r="F106">
        <v>52844</v>
      </c>
    </row>
    <row r="107" spans="1:6" x14ac:dyDescent="0.25">
      <c r="A107" t="s">
        <v>40</v>
      </c>
      <c r="B107" t="s">
        <v>42</v>
      </c>
      <c r="C107">
        <v>2</v>
      </c>
      <c r="D107">
        <v>2</v>
      </c>
      <c r="E107">
        <v>4</v>
      </c>
      <c r="F107">
        <v>11255</v>
      </c>
    </row>
    <row r="108" spans="1:6" x14ac:dyDescent="0.25">
      <c r="A108" t="s">
        <v>40</v>
      </c>
      <c r="B108" t="s">
        <v>42</v>
      </c>
      <c r="C108">
        <v>2</v>
      </c>
      <c r="D108">
        <v>2</v>
      </c>
      <c r="E108">
        <v>5</v>
      </c>
      <c r="F108">
        <v>3479</v>
      </c>
    </row>
    <row r="109" spans="1:6" x14ac:dyDescent="0.25">
      <c r="A109" t="s">
        <v>40</v>
      </c>
      <c r="B109" t="s">
        <v>42</v>
      </c>
      <c r="C109">
        <v>2</v>
      </c>
      <c r="D109">
        <v>2</v>
      </c>
      <c r="E109">
        <v>6</v>
      </c>
      <c r="F109">
        <v>34982</v>
      </c>
    </row>
    <row r="110" spans="1:6" x14ac:dyDescent="0.25">
      <c r="A110" t="s">
        <v>44</v>
      </c>
      <c r="B110" t="s">
        <v>46</v>
      </c>
      <c r="C110">
        <v>0</v>
      </c>
      <c r="D110">
        <v>0</v>
      </c>
      <c r="E110">
        <v>1</v>
      </c>
      <c r="F110">
        <v>2415105</v>
      </c>
    </row>
    <row r="111" spans="1:6" x14ac:dyDescent="0.25">
      <c r="A111" t="s">
        <v>44</v>
      </c>
      <c r="B111" t="s">
        <v>46</v>
      </c>
      <c r="C111">
        <v>0</v>
      </c>
      <c r="D111">
        <v>0</v>
      </c>
      <c r="E111">
        <v>2</v>
      </c>
      <c r="F111">
        <v>480352</v>
      </c>
    </row>
    <row r="112" spans="1:6" x14ac:dyDescent="0.25">
      <c r="A112" t="s">
        <v>44</v>
      </c>
      <c r="B112" t="s">
        <v>46</v>
      </c>
      <c r="C112">
        <v>0</v>
      </c>
      <c r="D112">
        <v>0</v>
      </c>
      <c r="E112">
        <v>3</v>
      </c>
      <c r="F112">
        <v>36414</v>
      </c>
    </row>
    <row r="113" spans="1:6" x14ac:dyDescent="0.25">
      <c r="A113" t="s">
        <v>44</v>
      </c>
      <c r="B113" t="s">
        <v>46</v>
      </c>
      <c r="C113">
        <v>0</v>
      </c>
      <c r="D113">
        <v>0</v>
      </c>
      <c r="E113">
        <v>4</v>
      </c>
      <c r="F113">
        <v>61173</v>
      </c>
    </row>
    <row r="114" spans="1:6" x14ac:dyDescent="0.25">
      <c r="A114" t="s">
        <v>44</v>
      </c>
      <c r="B114" t="s">
        <v>46</v>
      </c>
      <c r="C114">
        <v>0</v>
      </c>
      <c r="D114">
        <v>0</v>
      </c>
      <c r="E114">
        <v>5</v>
      </c>
      <c r="F114">
        <v>16485</v>
      </c>
    </row>
    <row r="115" spans="1:6" x14ac:dyDescent="0.25">
      <c r="A115" t="s">
        <v>44</v>
      </c>
      <c r="B115" t="s">
        <v>46</v>
      </c>
      <c r="C115">
        <v>0</v>
      </c>
      <c r="D115">
        <v>0</v>
      </c>
      <c r="E115">
        <v>6</v>
      </c>
      <c r="F115">
        <v>78825</v>
      </c>
    </row>
    <row r="116" spans="1:6" x14ac:dyDescent="0.25">
      <c r="A116" t="s">
        <v>44</v>
      </c>
      <c r="B116" t="s">
        <v>46</v>
      </c>
      <c r="C116">
        <v>0</v>
      </c>
      <c r="D116">
        <v>1</v>
      </c>
      <c r="E116">
        <v>1</v>
      </c>
      <c r="F116">
        <v>2155025</v>
      </c>
    </row>
    <row r="117" spans="1:6" x14ac:dyDescent="0.25">
      <c r="A117" t="s">
        <v>44</v>
      </c>
      <c r="B117" t="s">
        <v>46</v>
      </c>
      <c r="C117">
        <v>0</v>
      </c>
      <c r="D117">
        <v>1</v>
      </c>
      <c r="E117">
        <v>2</v>
      </c>
      <c r="F117">
        <v>469898</v>
      </c>
    </row>
    <row r="118" spans="1:6" x14ac:dyDescent="0.25">
      <c r="A118" t="s">
        <v>44</v>
      </c>
      <c r="B118" t="s">
        <v>46</v>
      </c>
      <c r="C118">
        <v>0</v>
      </c>
      <c r="D118">
        <v>1</v>
      </c>
      <c r="E118">
        <v>3</v>
      </c>
      <c r="F118">
        <v>24821</v>
      </c>
    </row>
    <row r="119" spans="1:6" x14ac:dyDescent="0.25">
      <c r="A119" t="s">
        <v>44</v>
      </c>
      <c r="B119" t="s">
        <v>46</v>
      </c>
      <c r="C119">
        <v>0</v>
      </c>
      <c r="D119">
        <v>1</v>
      </c>
      <c r="E119">
        <v>4</v>
      </c>
      <c r="F119">
        <v>58850</v>
      </c>
    </row>
    <row r="120" spans="1:6" x14ac:dyDescent="0.25">
      <c r="A120" t="s">
        <v>44</v>
      </c>
      <c r="B120" t="s">
        <v>46</v>
      </c>
      <c r="C120">
        <v>0</v>
      </c>
      <c r="D120">
        <v>1</v>
      </c>
      <c r="E120">
        <v>5</v>
      </c>
      <c r="F120">
        <v>14741</v>
      </c>
    </row>
    <row r="121" spans="1:6" x14ac:dyDescent="0.25">
      <c r="A121" t="s">
        <v>44</v>
      </c>
      <c r="B121" t="s">
        <v>46</v>
      </c>
      <c r="C121">
        <v>0</v>
      </c>
      <c r="D121">
        <v>1</v>
      </c>
      <c r="E121">
        <v>6</v>
      </c>
      <c r="F121">
        <v>69444</v>
      </c>
    </row>
    <row r="122" spans="1:6" x14ac:dyDescent="0.25">
      <c r="A122" t="s">
        <v>44</v>
      </c>
      <c r="B122" t="s">
        <v>46</v>
      </c>
      <c r="C122">
        <v>0</v>
      </c>
      <c r="D122">
        <v>2</v>
      </c>
      <c r="E122">
        <v>1</v>
      </c>
      <c r="F122">
        <v>260080</v>
      </c>
    </row>
    <row r="123" spans="1:6" x14ac:dyDescent="0.25">
      <c r="A123" t="s">
        <v>44</v>
      </c>
      <c r="B123" t="s">
        <v>46</v>
      </c>
      <c r="C123">
        <v>0</v>
      </c>
      <c r="D123">
        <v>2</v>
      </c>
      <c r="E123">
        <v>2</v>
      </c>
      <c r="F123">
        <v>10454</v>
      </c>
    </row>
    <row r="124" spans="1:6" x14ac:dyDescent="0.25">
      <c r="A124" t="s">
        <v>44</v>
      </c>
      <c r="B124" t="s">
        <v>46</v>
      </c>
      <c r="C124">
        <v>0</v>
      </c>
      <c r="D124">
        <v>2</v>
      </c>
      <c r="E124">
        <v>3</v>
      </c>
      <c r="F124">
        <v>11593</v>
      </c>
    </row>
    <row r="125" spans="1:6" x14ac:dyDescent="0.25">
      <c r="A125" t="s">
        <v>44</v>
      </c>
      <c r="B125" t="s">
        <v>46</v>
      </c>
      <c r="C125">
        <v>0</v>
      </c>
      <c r="D125">
        <v>2</v>
      </c>
      <c r="E125">
        <v>4</v>
      </c>
      <c r="F125">
        <v>2323</v>
      </c>
    </row>
    <row r="126" spans="1:6" x14ac:dyDescent="0.25">
      <c r="A126" t="s">
        <v>44</v>
      </c>
      <c r="B126" t="s">
        <v>46</v>
      </c>
      <c r="C126">
        <v>0</v>
      </c>
      <c r="D126">
        <v>2</v>
      </c>
      <c r="E126">
        <v>5</v>
      </c>
      <c r="F126">
        <v>1744</v>
      </c>
    </row>
    <row r="127" spans="1:6" x14ac:dyDescent="0.25">
      <c r="A127" t="s">
        <v>44</v>
      </c>
      <c r="B127" t="s">
        <v>46</v>
      </c>
      <c r="C127">
        <v>0</v>
      </c>
      <c r="D127">
        <v>2</v>
      </c>
      <c r="E127">
        <v>6</v>
      </c>
      <c r="F127">
        <v>9381</v>
      </c>
    </row>
    <row r="128" spans="1:6" x14ac:dyDescent="0.25">
      <c r="A128" t="s">
        <v>44</v>
      </c>
      <c r="B128" t="s">
        <v>46</v>
      </c>
      <c r="C128">
        <v>1</v>
      </c>
      <c r="D128">
        <v>0</v>
      </c>
      <c r="E128">
        <v>1</v>
      </c>
      <c r="F128">
        <v>1199072</v>
      </c>
    </row>
    <row r="129" spans="1:6" x14ac:dyDescent="0.25">
      <c r="A129" t="s">
        <v>44</v>
      </c>
      <c r="B129" t="s">
        <v>46</v>
      </c>
      <c r="C129">
        <v>1</v>
      </c>
      <c r="D129">
        <v>0</v>
      </c>
      <c r="E129">
        <v>2</v>
      </c>
      <c r="F129">
        <v>229132</v>
      </c>
    </row>
    <row r="130" spans="1:6" x14ac:dyDescent="0.25">
      <c r="A130" t="s">
        <v>44</v>
      </c>
      <c r="B130" t="s">
        <v>46</v>
      </c>
      <c r="C130">
        <v>1</v>
      </c>
      <c r="D130">
        <v>0</v>
      </c>
      <c r="E130">
        <v>3</v>
      </c>
      <c r="F130">
        <v>18285</v>
      </c>
    </row>
    <row r="131" spans="1:6" x14ac:dyDescent="0.25">
      <c r="A131" t="s">
        <v>44</v>
      </c>
      <c r="B131" t="s">
        <v>46</v>
      </c>
      <c r="C131">
        <v>1</v>
      </c>
      <c r="D131">
        <v>0</v>
      </c>
      <c r="E131">
        <v>4</v>
      </c>
      <c r="F131">
        <v>30058</v>
      </c>
    </row>
    <row r="132" spans="1:6" x14ac:dyDescent="0.25">
      <c r="A132" t="s">
        <v>44</v>
      </c>
      <c r="B132" t="s">
        <v>46</v>
      </c>
      <c r="C132">
        <v>1</v>
      </c>
      <c r="D132">
        <v>0</v>
      </c>
      <c r="E132">
        <v>5</v>
      </c>
      <c r="F132">
        <v>8808</v>
      </c>
    </row>
    <row r="133" spans="1:6" x14ac:dyDescent="0.25">
      <c r="A133" t="s">
        <v>44</v>
      </c>
      <c r="B133" t="s">
        <v>46</v>
      </c>
      <c r="C133">
        <v>1</v>
      </c>
      <c r="D133">
        <v>0</v>
      </c>
      <c r="E133">
        <v>6</v>
      </c>
      <c r="F133">
        <v>39178</v>
      </c>
    </row>
    <row r="134" spans="1:6" x14ac:dyDescent="0.25">
      <c r="A134" t="s">
        <v>44</v>
      </c>
      <c r="B134" t="s">
        <v>46</v>
      </c>
      <c r="C134">
        <v>1</v>
      </c>
      <c r="D134">
        <v>1</v>
      </c>
      <c r="E134">
        <v>1</v>
      </c>
      <c r="F134">
        <v>1063518</v>
      </c>
    </row>
    <row r="135" spans="1:6" x14ac:dyDescent="0.25">
      <c r="A135" t="s">
        <v>44</v>
      </c>
      <c r="B135" t="s">
        <v>46</v>
      </c>
      <c r="C135">
        <v>1</v>
      </c>
      <c r="D135">
        <v>1</v>
      </c>
      <c r="E135">
        <v>2</v>
      </c>
      <c r="F135">
        <v>223709</v>
      </c>
    </row>
    <row r="136" spans="1:6" x14ac:dyDescent="0.25">
      <c r="A136" t="s">
        <v>44</v>
      </c>
      <c r="B136" t="s">
        <v>46</v>
      </c>
      <c r="C136">
        <v>1</v>
      </c>
      <c r="D136">
        <v>1</v>
      </c>
      <c r="E136">
        <v>3</v>
      </c>
      <c r="F136">
        <v>12329</v>
      </c>
    </row>
    <row r="137" spans="1:6" x14ac:dyDescent="0.25">
      <c r="A137" t="s">
        <v>44</v>
      </c>
      <c r="B137" t="s">
        <v>46</v>
      </c>
      <c r="C137">
        <v>1</v>
      </c>
      <c r="D137">
        <v>1</v>
      </c>
      <c r="E137">
        <v>4</v>
      </c>
      <c r="F137">
        <v>28866</v>
      </c>
    </row>
    <row r="138" spans="1:6" x14ac:dyDescent="0.25">
      <c r="A138" t="s">
        <v>44</v>
      </c>
      <c r="B138" t="s">
        <v>46</v>
      </c>
      <c r="C138">
        <v>1</v>
      </c>
      <c r="D138">
        <v>1</v>
      </c>
      <c r="E138">
        <v>5</v>
      </c>
      <c r="F138">
        <v>7882</v>
      </c>
    </row>
    <row r="139" spans="1:6" x14ac:dyDescent="0.25">
      <c r="A139" t="s">
        <v>44</v>
      </c>
      <c r="B139" t="s">
        <v>46</v>
      </c>
      <c r="C139">
        <v>1</v>
      </c>
      <c r="D139">
        <v>1</v>
      </c>
      <c r="E139">
        <v>6</v>
      </c>
      <c r="F139">
        <v>34468</v>
      </c>
    </row>
    <row r="140" spans="1:6" x14ac:dyDescent="0.25">
      <c r="A140" t="s">
        <v>44</v>
      </c>
      <c r="B140" t="s">
        <v>46</v>
      </c>
      <c r="C140">
        <v>1</v>
      </c>
      <c r="D140">
        <v>2</v>
      </c>
      <c r="E140">
        <v>1</v>
      </c>
      <c r="F140">
        <v>135554</v>
      </c>
    </row>
    <row r="141" spans="1:6" x14ac:dyDescent="0.25">
      <c r="A141" t="s">
        <v>44</v>
      </c>
      <c r="B141" t="s">
        <v>46</v>
      </c>
      <c r="C141">
        <v>1</v>
      </c>
      <c r="D141">
        <v>2</v>
      </c>
      <c r="E141">
        <v>2</v>
      </c>
      <c r="F141">
        <v>5423</v>
      </c>
    </row>
    <row r="142" spans="1:6" x14ac:dyDescent="0.25">
      <c r="A142" t="s">
        <v>44</v>
      </c>
      <c r="B142" t="s">
        <v>46</v>
      </c>
      <c r="C142">
        <v>1</v>
      </c>
      <c r="D142">
        <v>2</v>
      </c>
      <c r="E142">
        <v>3</v>
      </c>
      <c r="F142">
        <v>5956</v>
      </c>
    </row>
    <row r="143" spans="1:6" x14ac:dyDescent="0.25">
      <c r="A143" t="s">
        <v>44</v>
      </c>
      <c r="B143" t="s">
        <v>46</v>
      </c>
      <c r="C143">
        <v>1</v>
      </c>
      <c r="D143">
        <v>2</v>
      </c>
      <c r="E143">
        <v>4</v>
      </c>
      <c r="F143">
        <v>1192</v>
      </c>
    </row>
    <row r="144" spans="1:6" x14ac:dyDescent="0.25">
      <c r="A144" t="s">
        <v>44</v>
      </c>
      <c r="B144" t="s">
        <v>46</v>
      </c>
      <c r="C144">
        <v>1</v>
      </c>
      <c r="D144">
        <v>2</v>
      </c>
      <c r="E144">
        <v>5</v>
      </c>
      <c r="F144">
        <v>926</v>
      </c>
    </row>
    <row r="145" spans="1:6" x14ac:dyDescent="0.25">
      <c r="A145" t="s">
        <v>44</v>
      </c>
      <c r="B145" t="s">
        <v>46</v>
      </c>
      <c r="C145">
        <v>1</v>
      </c>
      <c r="D145">
        <v>2</v>
      </c>
      <c r="E145">
        <v>6</v>
      </c>
      <c r="F145">
        <v>4710</v>
      </c>
    </row>
    <row r="146" spans="1:6" x14ac:dyDescent="0.25">
      <c r="A146" t="s">
        <v>44</v>
      </c>
      <c r="B146" t="s">
        <v>46</v>
      </c>
      <c r="C146">
        <v>2</v>
      </c>
      <c r="D146">
        <v>0</v>
      </c>
      <c r="E146">
        <v>1</v>
      </c>
      <c r="F146">
        <v>1216033</v>
      </c>
    </row>
    <row r="147" spans="1:6" x14ac:dyDescent="0.25">
      <c r="A147" t="s">
        <v>44</v>
      </c>
      <c r="B147" t="s">
        <v>46</v>
      </c>
      <c r="C147">
        <v>2</v>
      </c>
      <c r="D147">
        <v>0</v>
      </c>
      <c r="E147">
        <v>2</v>
      </c>
      <c r="F147">
        <v>251220</v>
      </c>
    </row>
    <row r="148" spans="1:6" x14ac:dyDescent="0.25">
      <c r="A148" t="s">
        <v>44</v>
      </c>
      <c r="B148" t="s">
        <v>46</v>
      </c>
      <c r="C148">
        <v>2</v>
      </c>
      <c r="D148">
        <v>0</v>
      </c>
      <c r="E148">
        <v>3</v>
      </c>
      <c r="F148">
        <v>18129</v>
      </c>
    </row>
    <row r="149" spans="1:6" x14ac:dyDescent="0.25">
      <c r="A149" t="s">
        <v>44</v>
      </c>
      <c r="B149" t="s">
        <v>46</v>
      </c>
      <c r="C149">
        <v>2</v>
      </c>
      <c r="D149">
        <v>0</v>
      </c>
      <c r="E149">
        <v>4</v>
      </c>
      <c r="F149">
        <v>31115</v>
      </c>
    </row>
    <row r="150" spans="1:6" x14ac:dyDescent="0.25">
      <c r="A150" t="s">
        <v>44</v>
      </c>
      <c r="B150" t="s">
        <v>46</v>
      </c>
      <c r="C150">
        <v>2</v>
      </c>
      <c r="D150">
        <v>0</v>
      </c>
      <c r="E150">
        <v>5</v>
      </c>
      <c r="F150">
        <v>7677</v>
      </c>
    </row>
    <row r="151" spans="1:6" x14ac:dyDescent="0.25">
      <c r="A151" t="s">
        <v>44</v>
      </c>
      <c r="B151" t="s">
        <v>46</v>
      </c>
      <c r="C151">
        <v>2</v>
      </c>
      <c r="D151">
        <v>0</v>
      </c>
      <c r="E151">
        <v>6</v>
      </c>
      <c r="F151">
        <v>39647</v>
      </c>
    </row>
    <row r="152" spans="1:6" x14ac:dyDescent="0.25">
      <c r="A152" t="s">
        <v>44</v>
      </c>
      <c r="B152" t="s">
        <v>46</v>
      </c>
      <c r="C152">
        <v>2</v>
      </c>
      <c r="D152">
        <v>1</v>
      </c>
      <c r="E152">
        <v>1</v>
      </c>
      <c r="F152">
        <v>1091507</v>
      </c>
    </row>
    <row r="153" spans="1:6" x14ac:dyDescent="0.25">
      <c r="A153" t="s">
        <v>44</v>
      </c>
      <c r="B153" t="s">
        <v>46</v>
      </c>
      <c r="C153">
        <v>2</v>
      </c>
      <c r="D153">
        <v>1</v>
      </c>
      <c r="E153">
        <v>2</v>
      </c>
      <c r="F153">
        <v>246189</v>
      </c>
    </row>
    <row r="154" spans="1:6" x14ac:dyDescent="0.25">
      <c r="A154" t="s">
        <v>44</v>
      </c>
      <c r="B154" t="s">
        <v>46</v>
      </c>
      <c r="C154">
        <v>2</v>
      </c>
      <c r="D154">
        <v>1</v>
      </c>
      <c r="E154">
        <v>3</v>
      </c>
      <c r="F154">
        <v>12492</v>
      </c>
    </row>
    <row r="155" spans="1:6" x14ac:dyDescent="0.25">
      <c r="A155" t="s">
        <v>44</v>
      </c>
      <c r="B155" t="s">
        <v>46</v>
      </c>
      <c r="C155">
        <v>2</v>
      </c>
      <c r="D155">
        <v>1</v>
      </c>
      <c r="E155">
        <v>4</v>
      </c>
      <c r="F155">
        <v>29984</v>
      </c>
    </row>
    <row r="156" spans="1:6" x14ac:dyDescent="0.25">
      <c r="A156" t="s">
        <v>44</v>
      </c>
      <c r="B156" t="s">
        <v>46</v>
      </c>
      <c r="C156">
        <v>2</v>
      </c>
      <c r="D156">
        <v>1</v>
      </c>
      <c r="E156">
        <v>5</v>
      </c>
      <c r="F156">
        <v>6859</v>
      </c>
    </row>
    <row r="157" spans="1:6" x14ac:dyDescent="0.25">
      <c r="A157" t="s">
        <v>44</v>
      </c>
      <c r="B157" t="s">
        <v>46</v>
      </c>
      <c r="C157">
        <v>2</v>
      </c>
      <c r="D157">
        <v>1</v>
      </c>
      <c r="E157">
        <v>6</v>
      </c>
      <c r="F157">
        <v>34976</v>
      </c>
    </row>
    <row r="158" spans="1:6" x14ac:dyDescent="0.25">
      <c r="A158" t="s">
        <v>44</v>
      </c>
      <c r="B158" t="s">
        <v>46</v>
      </c>
      <c r="C158">
        <v>2</v>
      </c>
      <c r="D158">
        <v>2</v>
      </c>
      <c r="E158">
        <v>1</v>
      </c>
      <c r="F158">
        <v>124526</v>
      </c>
    </row>
    <row r="159" spans="1:6" x14ac:dyDescent="0.25">
      <c r="A159" t="s">
        <v>44</v>
      </c>
      <c r="B159" t="s">
        <v>46</v>
      </c>
      <c r="C159">
        <v>2</v>
      </c>
      <c r="D159">
        <v>2</v>
      </c>
      <c r="E159">
        <v>2</v>
      </c>
      <c r="F159">
        <v>5031</v>
      </c>
    </row>
    <row r="160" spans="1:6" x14ac:dyDescent="0.25">
      <c r="A160" t="s">
        <v>44</v>
      </c>
      <c r="B160" t="s">
        <v>46</v>
      </c>
      <c r="C160">
        <v>2</v>
      </c>
      <c r="D160">
        <v>2</v>
      </c>
      <c r="E160">
        <v>3</v>
      </c>
      <c r="F160">
        <v>5637</v>
      </c>
    </row>
    <row r="161" spans="1:6" x14ac:dyDescent="0.25">
      <c r="A161" t="s">
        <v>44</v>
      </c>
      <c r="B161" t="s">
        <v>46</v>
      </c>
      <c r="C161">
        <v>2</v>
      </c>
      <c r="D161">
        <v>2</v>
      </c>
      <c r="E161">
        <v>4</v>
      </c>
      <c r="F161">
        <v>1131</v>
      </c>
    </row>
    <row r="162" spans="1:6" x14ac:dyDescent="0.25">
      <c r="A162" t="s">
        <v>44</v>
      </c>
      <c r="B162" t="s">
        <v>46</v>
      </c>
      <c r="C162">
        <v>2</v>
      </c>
      <c r="D162">
        <v>2</v>
      </c>
      <c r="E162">
        <v>5</v>
      </c>
      <c r="F162">
        <v>818</v>
      </c>
    </row>
    <row r="163" spans="1:6" x14ac:dyDescent="0.25">
      <c r="A163" t="s">
        <v>44</v>
      </c>
      <c r="B163" t="s">
        <v>46</v>
      </c>
      <c r="C163">
        <v>2</v>
      </c>
      <c r="D163">
        <v>2</v>
      </c>
      <c r="E163">
        <v>6</v>
      </c>
      <c r="F163">
        <v>4671</v>
      </c>
    </row>
    <row r="164" spans="1:6" x14ac:dyDescent="0.25">
      <c r="A164" t="s">
        <v>48</v>
      </c>
      <c r="B164" t="s">
        <v>50</v>
      </c>
      <c r="C164">
        <v>0</v>
      </c>
      <c r="D164">
        <v>0</v>
      </c>
      <c r="E164">
        <v>1</v>
      </c>
      <c r="F164">
        <v>27538266</v>
      </c>
    </row>
    <row r="165" spans="1:6" x14ac:dyDescent="0.25">
      <c r="A165" t="s">
        <v>48</v>
      </c>
      <c r="B165" t="s">
        <v>50</v>
      </c>
      <c r="C165">
        <v>0</v>
      </c>
      <c r="D165">
        <v>0</v>
      </c>
      <c r="E165">
        <v>2</v>
      </c>
      <c r="F165">
        <v>2527183</v>
      </c>
    </row>
    <row r="166" spans="1:6" x14ac:dyDescent="0.25">
      <c r="A166" t="s">
        <v>48</v>
      </c>
      <c r="B166" t="s">
        <v>50</v>
      </c>
      <c r="C166">
        <v>0</v>
      </c>
      <c r="D166">
        <v>0</v>
      </c>
      <c r="E166">
        <v>3</v>
      </c>
      <c r="F166">
        <v>716157</v>
      </c>
    </row>
    <row r="167" spans="1:6" x14ac:dyDescent="0.25">
      <c r="A167" t="s">
        <v>48</v>
      </c>
      <c r="B167" t="s">
        <v>50</v>
      </c>
      <c r="C167">
        <v>0</v>
      </c>
      <c r="D167">
        <v>0</v>
      </c>
      <c r="E167">
        <v>4</v>
      </c>
      <c r="F167">
        <v>6711911</v>
      </c>
    </row>
    <row r="168" spans="1:6" x14ac:dyDescent="0.25">
      <c r="A168" t="s">
        <v>48</v>
      </c>
      <c r="B168" t="s">
        <v>50</v>
      </c>
      <c r="C168">
        <v>0</v>
      </c>
      <c r="D168">
        <v>0</v>
      </c>
      <c r="E168">
        <v>5</v>
      </c>
      <c r="F168">
        <v>208908</v>
      </c>
    </row>
    <row r="169" spans="1:6" x14ac:dyDescent="0.25">
      <c r="A169" t="s">
        <v>48</v>
      </c>
      <c r="B169" t="s">
        <v>50</v>
      </c>
      <c r="C169">
        <v>0</v>
      </c>
      <c r="D169">
        <v>0</v>
      </c>
      <c r="E169">
        <v>6</v>
      </c>
      <c r="F169">
        <v>1728838</v>
      </c>
    </row>
    <row r="170" spans="1:6" x14ac:dyDescent="0.25">
      <c r="A170" t="s">
        <v>48</v>
      </c>
      <c r="B170" t="s">
        <v>50</v>
      </c>
      <c r="C170">
        <v>0</v>
      </c>
      <c r="D170">
        <v>1</v>
      </c>
      <c r="E170">
        <v>1</v>
      </c>
      <c r="F170">
        <v>13239268</v>
      </c>
    </row>
    <row r="171" spans="1:6" x14ac:dyDescent="0.25">
      <c r="A171" t="s">
        <v>48</v>
      </c>
      <c r="B171" t="s">
        <v>50</v>
      </c>
      <c r="C171">
        <v>0</v>
      </c>
      <c r="D171">
        <v>1</v>
      </c>
      <c r="E171">
        <v>2</v>
      </c>
      <c r="F171">
        <v>2167697</v>
      </c>
    </row>
    <row r="172" spans="1:6" x14ac:dyDescent="0.25">
      <c r="A172" t="s">
        <v>48</v>
      </c>
      <c r="B172" t="s">
        <v>50</v>
      </c>
      <c r="C172">
        <v>0</v>
      </c>
      <c r="D172">
        <v>1</v>
      </c>
      <c r="E172">
        <v>3</v>
      </c>
      <c r="F172">
        <v>156234</v>
      </c>
    </row>
    <row r="173" spans="1:6" x14ac:dyDescent="0.25">
      <c r="A173" t="s">
        <v>48</v>
      </c>
      <c r="B173" t="s">
        <v>50</v>
      </c>
      <c r="C173">
        <v>0</v>
      </c>
      <c r="D173">
        <v>1</v>
      </c>
      <c r="E173">
        <v>4</v>
      </c>
      <c r="F173">
        <v>6433660</v>
      </c>
    </row>
    <row r="174" spans="1:6" x14ac:dyDescent="0.25">
      <c r="A174" t="s">
        <v>48</v>
      </c>
      <c r="B174" t="s">
        <v>50</v>
      </c>
      <c r="C174">
        <v>0</v>
      </c>
      <c r="D174">
        <v>1</v>
      </c>
      <c r="E174">
        <v>5</v>
      </c>
      <c r="F174">
        <v>148681</v>
      </c>
    </row>
    <row r="175" spans="1:6" x14ac:dyDescent="0.25">
      <c r="A175" t="s">
        <v>48</v>
      </c>
      <c r="B175" t="s">
        <v>50</v>
      </c>
      <c r="C175">
        <v>0</v>
      </c>
      <c r="D175">
        <v>1</v>
      </c>
      <c r="E175">
        <v>6</v>
      </c>
      <c r="F175">
        <v>1216508</v>
      </c>
    </row>
    <row r="176" spans="1:6" x14ac:dyDescent="0.25">
      <c r="A176" t="s">
        <v>48</v>
      </c>
      <c r="B176" t="s">
        <v>50</v>
      </c>
      <c r="C176">
        <v>0</v>
      </c>
      <c r="D176">
        <v>2</v>
      </c>
      <c r="E176">
        <v>1</v>
      </c>
      <c r="F176">
        <v>14298998</v>
      </c>
    </row>
    <row r="177" spans="1:6" x14ac:dyDescent="0.25">
      <c r="A177" t="s">
        <v>48</v>
      </c>
      <c r="B177" t="s">
        <v>50</v>
      </c>
      <c r="C177">
        <v>0</v>
      </c>
      <c r="D177">
        <v>2</v>
      </c>
      <c r="E177">
        <v>2</v>
      </c>
      <c r="F177">
        <v>359486</v>
      </c>
    </row>
    <row r="178" spans="1:6" x14ac:dyDescent="0.25">
      <c r="A178" t="s">
        <v>48</v>
      </c>
      <c r="B178" t="s">
        <v>50</v>
      </c>
      <c r="C178">
        <v>0</v>
      </c>
      <c r="D178">
        <v>2</v>
      </c>
      <c r="E178">
        <v>3</v>
      </c>
      <c r="F178">
        <v>559923</v>
      </c>
    </row>
    <row r="179" spans="1:6" x14ac:dyDescent="0.25">
      <c r="A179" t="s">
        <v>48</v>
      </c>
      <c r="B179" t="s">
        <v>50</v>
      </c>
      <c r="C179">
        <v>0</v>
      </c>
      <c r="D179">
        <v>2</v>
      </c>
      <c r="E179">
        <v>4</v>
      </c>
      <c r="F179">
        <v>278251</v>
      </c>
    </row>
    <row r="180" spans="1:6" x14ac:dyDescent="0.25">
      <c r="A180" t="s">
        <v>48</v>
      </c>
      <c r="B180" t="s">
        <v>50</v>
      </c>
      <c r="C180">
        <v>0</v>
      </c>
      <c r="D180">
        <v>2</v>
      </c>
      <c r="E180">
        <v>5</v>
      </c>
      <c r="F180">
        <v>60227</v>
      </c>
    </row>
    <row r="181" spans="1:6" x14ac:dyDescent="0.25">
      <c r="A181" t="s">
        <v>48</v>
      </c>
      <c r="B181" t="s">
        <v>50</v>
      </c>
      <c r="C181">
        <v>0</v>
      </c>
      <c r="D181">
        <v>2</v>
      </c>
      <c r="E181">
        <v>6</v>
      </c>
      <c r="F181">
        <v>512330</v>
      </c>
    </row>
    <row r="182" spans="1:6" x14ac:dyDescent="0.25">
      <c r="A182" t="s">
        <v>48</v>
      </c>
      <c r="B182" t="s">
        <v>50</v>
      </c>
      <c r="C182">
        <v>1</v>
      </c>
      <c r="D182">
        <v>0</v>
      </c>
      <c r="E182">
        <v>1</v>
      </c>
      <c r="F182">
        <v>13859475</v>
      </c>
    </row>
    <row r="183" spans="1:6" x14ac:dyDescent="0.25">
      <c r="A183" t="s">
        <v>48</v>
      </c>
      <c r="B183" t="s">
        <v>50</v>
      </c>
      <c r="C183">
        <v>1</v>
      </c>
      <c r="D183">
        <v>0</v>
      </c>
      <c r="E183">
        <v>2</v>
      </c>
      <c r="F183">
        <v>1263063</v>
      </c>
    </row>
    <row r="184" spans="1:6" x14ac:dyDescent="0.25">
      <c r="A184" t="s">
        <v>48</v>
      </c>
      <c r="B184" t="s">
        <v>50</v>
      </c>
      <c r="C184">
        <v>1</v>
      </c>
      <c r="D184">
        <v>0</v>
      </c>
      <c r="E184">
        <v>3</v>
      </c>
      <c r="F184">
        <v>366153</v>
      </c>
    </row>
    <row r="185" spans="1:6" x14ac:dyDescent="0.25">
      <c r="A185" t="s">
        <v>48</v>
      </c>
      <c r="B185" t="s">
        <v>50</v>
      </c>
      <c r="C185">
        <v>1</v>
      </c>
      <c r="D185">
        <v>0</v>
      </c>
      <c r="E185">
        <v>4</v>
      </c>
      <c r="F185">
        <v>3214723</v>
      </c>
    </row>
    <row r="186" spans="1:6" x14ac:dyDescent="0.25">
      <c r="A186" t="s">
        <v>48</v>
      </c>
      <c r="B186" t="s">
        <v>50</v>
      </c>
      <c r="C186">
        <v>1</v>
      </c>
      <c r="D186">
        <v>0</v>
      </c>
      <c r="E186">
        <v>5</v>
      </c>
      <c r="F186">
        <v>104216</v>
      </c>
    </row>
    <row r="187" spans="1:6" x14ac:dyDescent="0.25">
      <c r="A187" t="s">
        <v>48</v>
      </c>
      <c r="B187" t="s">
        <v>50</v>
      </c>
      <c r="C187">
        <v>1</v>
      </c>
      <c r="D187">
        <v>0</v>
      </c>
      <c r="E187">
        <v>6</v>
      </c>
      <c r="F187">
        <v>864459</v>
      </c>
    </row>
    <row r="188" spans="1:6" x14ac:dyDescent="0.25">
      <c r="A188" t="s">
        <v>48</v>
      </c>
      <c r="B188" t="s">
        <v>50</v>
      </c>
      <c r="C188">
        <v>1</v>
      </c>
      <c r="D188">
        <v>1</v>
      </c>
      <c r="E188">
        <v>1</v>
      </c>
      <c r="F188">
        <v>6656408</v>
      </c>
    </row>
    <row r="189" spans="1:6" x14ac:dyDescent="0.25">
      <c r="A189" t="s">
        <v>48</v>
      </c>
      <c r="B189" t="s">
        <v>50</v>
      </c>
      <c r="C189">
        <v>1</v>
      </c>
      <c r="D189">
        <v>1</v>
      </c>
      <c r="E189">
        <v>2</v>
      </c>
      <c r="F189">
        <v>1084644</v>
      </c>
    </row>
    <row r="190" spans="1:6" x14ac:dyDescent="0.25">
      <c r="A190" t="s">
        <v>48</v>
      </c>
      <c r="B190" t="s">
        <v>50</v>
      </c>
      <c r="C190">
        <v>1</v>
      </c>
      <c r="D190">
        <v>1</v>
      </c>
      <c r="E190">
        <v>3</v>
      </c>
      <c r="F190">
        <v>77371</v>
      </c>
    </row>
    <row r="191" spans="1:6" x14ac:dyDescent="0.25">
      <c r="A191" t="s">
        <v>48</v>
      </c>
      <c r="B191" t="s">
        <v>50</v>
      </c>
      <c r="C191">
        <v>1</v>
      </c>
      <c r="D191">
        <v>1</v>
      </c>
      <c r="E191">
        <v>4</v>
      </c>
      <c r="F191">
        <v>3076001</v>
      </c>
    </row>
    <row r="192" spans="1:6" x14ac:dyDescent="0.25">
      <c r="A192" t="s">
        <v>48</v>
      </c>
      <c r="B192" t="s">
        <v>50</v>
      </c>
      <c r="C192">
        <v>1</v>
      </c>
      <c r="D192">
        <v>1</v>
      </c>
      <c r="E192">
        <v>5</v>
      </c>
      <c r="F192">
        <v>73615</v>
      </c>
    </row>
    <row r="193" spans="1:6" x14ac:dyDescent="0.25">
      <c r="A193" t="s">
        <v>48</v>
      </c>
      <c r="B193" t="s">
        <v>50</v>
      </c>
      <c r="C193">
        <v>1</v>
      </c>
      <c r="D193">
        <v>1</v>
      </c>
      <c r="E193">
        <v>6</v>
      </c>
      <c r="F193">
        <v>607600</v>
      </c>
    </row>
    <row r="194" spans="1:6" x14ac:dyDescent="0.25">
      <c r="A194" t="s">
        <v>48</v>
      </c>
      <c r="B194" t="s">
        <v>50</v>
      </c>
      <c r="C194">
        <v>1</v>
      </c>
      <c r="D194">
        <v>2</v>
      </c>
      <c r="E194">
        <v>1</v>
      </c>
      <c r="F194">
        <v>7203067</v>
      </c>
    </row>
    <row r="195" spans="1:6" x14ac:dyDescent="0.25">
      <c r="A195" t="s">
        <v>48</v>
      </c>
      <c r="B195" t="s">
        <v>50</v>
      </c>
      <c r="C195">
        <v>1</v>
      </c>
      <c r="D195">
        <v>2</v>
      </c>
      <c r="E195">
        <v>2</v>
      </c>
      <c r="F195">
        <v>178419</v>
      </c>
    </row>
    <row r="196" spans="1:6" x14ac:dyDescent="0.25">
      <c r="A196" t="s">
        <v>48</v>
      </c>
      <c r="B196" t="s">
        <v>50</v>
      </c>
      <c r="C196">
        <v>1</v>
      </c>
      <c r="D196">
        <v>2</v>
      </c>
      <c r="E196">
        <v>3</v>
      </c>
      <c r="F196">
        <v>288782</v>
      </c>
    </row>
    <row r="197" spans="1:6" x14ac:dyDescent="0.25">
      <c r="A197" t="s">
        <v>48</v>
      </c>
      <c r="B197" t="s">
        <v>50</v>
      </c>
      <c r="C197">
        <v>1</v>
      </c>
      <c r="D197">
        <v>2</v>
      </c>
      <c r="E197">
        <v>4</v>
      </c>
      <c r="F197">
        <v>138722</v>
      </c>
    </row>
    <row r="198" spans="1:6" x14ac:dyDescent="0.25">
      <c r="A198" t="s">
        <v>48</v>
      </c>
      <c r="B198" t="s">
        <v>50</v>
      </c>
      <c r="C198">
        <v>1</v>
      </c>
      <c r="D198">
        <v>2</v>
      </c>
      <c r="E198">
        <v>5</v>
      </c>
      <c r="F198">
        <v>30601</v>
      </c>
    </row>
    <row r="199" spans="1:6" x14ac:dyDescent="0.25">
      <c r="A199" t="s">
        <v>48</v>
      </c>
      <c r="B199" t="s">
        <v>50</v>
      </c>
      <c r="C199">
        <v>1</v>
      </c>
      <c r="D199">
        <v>2</v>
      </c>
      <c r="E199">
        <v>6</v>
      </c>
      <c r="F199">
        <v>256859</v>
      </c>
    </row>
    <row r="200" spans="1:6" x14ac:dyDescent="0.25">
      <c r="A200" t="s">
        <v>48</v>
      </c>
      <c r="B200" t="s">
        <v>50</v>
      </c>
      <c r="C200">
        <v>2</v>
      </c>
      <c r="D200">
        <v>0</v>
      </c>
      <c r="E200">
        <v>1</v>
      </c>
      <c r="F200">
        <v>13678791</v>
      </c>
    </row>
    <row r="201" spans="1:6" x14ac:dyDescent="0.25">
      <c r="A201" t="s">
        <v>48</v>
      </c>
      <c r="B201" t="s">
        <v>50</v>
      </c>
      <c r="C201">
        <v>2</v>
      </c>
      <c r="D201">
        <v>0</v>
      </c>
      <c r="E201">
        <v>2</v>
      </c>
      <c r="F201">
        <v>1264120</v>
      </c>
    </row>
    <row r="202" spans="1:6" x14ac:dyDescent="0.25">
      <c r="A202" t="s">
        <v>48</v>
      </c>
      <c r="B202" t="s">
        <v>50</v>
      </c>
      <c r="C202">
        <v>2</v>
      </c>
      <c r="D202">
        <v>0</v>
      </c>
      <c r="E202">
        <v>3</v>
      </c>
      <c r="F202">
        <v>350004</v>
      </c>
    </row>
    <row r="203" spans="1:6" x14ac:dyDescent="0.25">
      <c r="A203" t="s">
        <v>48</v>
      </c>
      <c r="B203" t="s">
        <v>50</v>
      </c>
      <c r="C203">
        <v>2</v>
      </c>
      <c r="D203">
        <v>0</v>
      </c>
      <c r="E203">
        <v>4</v>
      </c>
      <c r="F203">
        <v>3497188</v>
      </c>
    </row>
    <row r="204" spans="1:6" x14ac:dyDescent="0.25">
      <c r="A204" t="s">
        <v>48</v>
      </c>
      <c r="B204" t="s">
        <v>50</v>
      </c>
      <c r="C204">
        <v>2</v>
      </c>
      <c r="D204">
        <v>0</v>
      </c>
      <c r="E204">
        <v>5</v>
      </c>
      <c r="F204">
        <v>104692</v>
      </c>
    </row>
    <row r="205" spans="1:6" x14ac:dyDescent="0.25">
      <c r="A205" t="s">
        <v>48</v>
      </c>
      <c r="B205" t="s">
        <v>50</v>
      </c>
      <c r="C205">
        <v>2</v>
      </c>
      <c r="D205">
        <v>0</v>
      </c>
      <c r="E205">
        <v>6</v>
      </c>
      <c r="F205">
        <v>864379</v>
      </c>
    </row>
    <row r="206" spans="1:6" x14ac:dyDescent="0.25">
      <c r="A206" t="s">
        <v>48</v>
      </c>
      <c r="B206" t="s">
        <v>50</v>
      </c>
      <c r="C206">
        <v>2</v>
      </c>
      <c r="D206">
        <v>1</v>
      </c>
      <c r="E206">
        <v>1</v>
      </c>
      <c r="F206">
        <v>6582860</v>
      </c>
    </row>
    <row r="207" spans="1:6" x14ac:dyDescent="0.25">
      <c r="A207" t="s">
        <v>48</v>
      </c>
      <c r="B207" t="s">
        <v>50</v>
      </c>
      <c r="C207">
        <v>2</v>
      </c>
      <c r="D207">
        <v>1</v>
      </c>
      <c r="E207">
        <v>2</v>
      </c>
      <c r="F207">
        <v>1083053</v>
      </c>
    </row>
    <row r="208" spans="1:6" x14ac:dyDescent="0.25">
      <c r="A208" t="s">
        <v>48</v>
      </c>
      <c r="B208" t="s">
        <v>50</v>
      </c>
      <c r="C208">
        <v>2</v>
      </c>
      <c r="D208">
        <v>1</v>
      </c>
      <c r="E208">
        <v>3</v>
      </c>
      <c r="F208">
        <v>78863</v>
      </c>
    </row>
    <row r="209" spans="1:6" x14ac:dyDescent="0.25">
      <c r="A209" t="s">
        <v>48</v>
      </c>
      <c r="B209" t="s">
        <v>50</v>
      </c>
      <c r="C209">
        <v>2</v>
      </c>
      <c r="D209">
        <v>1</v>
      </c>
      <c r="E209">
        <v>4</v>
      </c>
      <c r="F209">
        <v>3357659</v>
      </c>
    </row>
    <row r="210" spans="1:6" x14ac:dyDescent="0.25">
      <c r="A210" t="s">
        <v>48</v>
      </c>
      <c r="B210" t="s">
        <v>50</v>
      </c>
      <c r="C210">
        <v>2</v>
      </c>
      <c r="D210">
        <v>1</v>
      </c>
      <c r="E210">
        <v>5</v>
      </c>
      <c r="F210">
        <v>75066</v>
      </c>
    </row>
    <row r="211" spans="1:6" x14ac:dyDescent="0.25">
      <c r="A211" t="s">
        <v>48</v>
      </c>
      <c r="B211" t="s">
        <v>50</v>
      </c>
      <c r="C211">
        <v>2</v>
      </c>
      <c r="D211">
        <v>1</v>
      </c>
      <c r="E211">
        <v>6</v>
      </c>
      <c r="F211">
        <v>608908</v>
      </c>
    </row>
    <row r="212" spans="1:6" x14ac:dyDescent="0.25">
      <c r="A212" t="s">
        <v>48</v>
      </c>
      <c r="B212" t="s">
        <v>50</v>
      </c>
      <c r="C212">
        <v>2</v>
      </c>
      <c r="D212">
        <v>2</v>
      </c>
      <c r="E212">
        <v>1</v>
      </c>
      <c r="F212">
        <v>7095931</v>
      </c>
    </row>
    <row r="213" spans="1:6" x14ac:dyDescent="0.25">
      <c r="A213" t="s">
        <v>48</v>
      </c>
      <c r="B213" t="s">
        <v>50</v>
      </c>
      <c r="C213">
        <v>2</v>
      </c>
      <c r="D213">
        <v>2</v>
      </c>
      <c r="E213">
        <v>2</v>
      </c>
      <c r="F213">
        <v>181067</v>
      </c>
    </row>
    <row r="214" spans="1:6" x14ac:dyDescent="0.25">
      <c r="A214" t="s">
        <v>48</v>
      </c>
      <c r="B214" t="s">
        <v>50</v>
      </c>
      <c r="C214">
        <v>2</v>
      </c>
      <c r="D214">
        <v>2</v>
      </c>
      <c r="E214">
        <v>3</v>
      </c>
      <c r="F214">
        <v>271141</v>
      </c>
    </row>
    <row r="215" spans="1:6" x14ac:dyDescent="0.25">
      <c r="A215" t="s">
        <v>48</v>
      </c>
      <c r="B215" t="s">
        <v>50</v>
      </c>
      <c r="C215">
        <v>2</v>
      </c>
      <c r="D215">
        <v>2</v>
      </c>
      <c r="E215">
        <v>4</v>
      </c>
      <c r="F215">
        <v>139529</v>
      </c>
    </row>
    <row r="216" spans="1:6" x14ac:dyDescent="0.25">
      <c r="A216" t="s">
        <v>48</v>
      </c>
      <c r="B216" t="s">
        <v>50</v>
      </c>
      <c r="C216">
        <v>2</v>
      </c>
      <c r="D216">
        <v>2</v>
      </c>
      <c r="E216">
        <v>5</v>
      </c>
      <c r="F216">
        <v>29626</v>
      </c>
    </row>
    <row r="217" spans="1:6" x14ac:dyDescent="0.25">
      <c r="A217" t="s">
        <v>48</v>
      </c>
      <c r="B217" t="s">
        <v>50</v>
      </c>
      <c r="C217">
        <v>2</v>
      </c>
      <c r="D217">
        <v>2</v>
      </c>
      <c r="E217">
        <v>6</v>
      </c>
      <c r="F217">
        <v>255471</v>
      </c>
    </row>
    <row r="218" spans="1:6" x14ac:dyDescent="0.25">
      <c r="A218" t="s">
        <v>52</v>
      </c>
      <c r="B218" t="s">
        <v>54</v>
      </c>
      <c r="C218">
        <v>0</v>
      </c>
      <c r="D218">
        <v>0</v>
      </c>
      <c r="E218">
        <v>1</v>
      </c>
      <c r="F218">
        <v>5088948</v>
      </c>
    </row>
    <row r="219" spans="1:6" x14ac:dyDescent="0.25">
      <c r="A219" t="s">
        <v>52</v>
      </c>
      <c r="B219" t="s">
        <v>54</v>
      </c>
      <c r="C219">
        <v>0</v>
      </c>
      <c r="D219">
        <v>0</v>
      </c>
      <c r="E219">
        <v>2</v>
      </c>
      <c r="F219">
        <v>295736</v>
      </c>
    </row>
    <row r="220" spans="1:6" x14ac:dyDescent="0.25">
      <c r="A220" t="s">
        <v>52</v>
      </c>
      <c r="B220" t="s">
        <v>54</v>
      </c>
      <c r="C220">
        <v>0</v>
      </c>
      <c r="D220">
        <v>0</v>
      </c>
      <c r="E220">
        <v>3</v>
      </c>
      <c r="F220">
        <v>102358</v>
      </c>
    </row>
    <row r="221" spans="1:6" x14ac:dyDescent="0.25">
      <c r="A221" t="s">
        <v>52</v>
      </c>
      <c r="B221" t="s">
        <v>54</v>
      </c>
      <c r="C221">
        <v>0</v>
      </c>
      <c r="D221">
        <v>0</v>
      </c>
      <c r="E221">
        <v>4</v>
      </c>
      <c r="F221">
        <v>243833</v>
      </c>
    </row>
    <row r="222" spans="1:6" x14ac:dyDescent="0.25">
      <c r="A222" t="s">
        <v>52</v>
      </c>
      <c r="B222" t="s">
        <v>54</v>
      </c>
      <c r="C222">
        <v>0</v>
      </c>
      <c r="D222">
        <v>0</v>
      </c>
      <c r="E222">
        <v>5</v>
      </c>
      <c r="F222">
        <v>14155</v>
      </c>
    </row>
    <row r="223" spans="1:6" x14ac:dyDescent="0.25">
      <c r="A223" t="s">
        <v>52</v>
      </c>
      <c r="B223" t="s">
        <v>54</v>
      </c>
      <c r="C223">
        <v>0</v>
      </c>
      <c r="D223">
        <v>0</v>
      </c>
      <c r="E223">
        <v>6</v>
      </c>
      <c r="F223">
        <v>212463</v>
      </c>
    </row>
    <row r="224" spans="1:6" x14ac:dyDescent="0.25">
      <c r="A224" t="s">
        <v>52</v>
      </c>
      <c r="B224" t="s">
        <v>54</v>
      </c>
      <c r="C224">
        <v>0</v>
      </c>
      <c r="D224">
        <v>1</v>
      </c>
      <c r="E224">
        <v>1</v>
      </c>
      <c r="F224">
        <v>3881364</v>
      </c>
    </row>
    <row r="225" spans="1:6" x14ac:dyDescent="0.25">
      <c r="A225" t="s">
        <v>52</v>
      </c>
      <c r="B225" t="s">
        <v>54</v>
      </c>
      <c r="C225">
        <v>0</v>
      </c>
      <c r="D225">
        <v>1</v>
      </c>
      <c r="E225">
        <v>2</v>
      </c>
      <c r="F225">
        <v>257149</v>
      </c>
    </row>
    <row r="226" spans="1:6" x14ac:dyDescent="0.25">
      <c r="A226" t="s">
        <v>52</v>
      </c>
      <c r="B226" t="s">
        <v>54</v>
      </c>
      <c r="C226">
        <v>0</v>
      </c>
      <c r="D226">
        <v>1</v>
      </c>
      <c r="E226">
        <v>3</v>
      </c>
      <c r="F226">
        <v>37094</v>
      </c>
    </row>
    <row r="227" spans="1:6" x14ac:dyDescent="0.25">
      <c r="A227" t="s">
        <v>52</v>
      </c>
      <c r="B227" t="s">
        <v>54</v>
      </c>
      <c r="C227">
        <v>0</v>
      </c>
      <c r="D227">
        <v>1</v>
      </c>
      <c r="E227">
        <v>4</v>
      </c>
      <c r="F227">
        <v>231121</v>
      </c>
    </row>
    <row r="228" spans="1:6" x14ac:dyDescent="0.25">
      <c r="A228" t="s">
        <v>52</v>
      </c>
      <c r="B228" t="s">
        <v>54</v>
      </c>
      <c r="C228">
        <v>0</v>
      </c>
      <c r="D228">
        <v>1</v>
      </c>
      <c r="E228">
        <v>5</v>
      </c>
      <c r="F228">
        <v>10047</v>
      </c>
    </row>
    <row r="229" spans="1:6" x14ac:dyDescent="0.25">
      <c r="A229" t="s">
        <v>52</v>
      </c>
      <c r="B229" t="s">
        <v>54</v>
      </c>
      <c r="C229">
        <v>0</v>
      </c>
      <c r="D229">
        <v>1</v>
      </c>
      <c r="E229">
        <v>6</v>
      </c>
      <c r="F229">
        <v>157779</v>
      </c>
    </row>
    <row r="230" spans="1:6" x14ac:dyDescent="0.25">
      <c r="A230" t="s">
        <v>52</v>
      </c>
      <c r="B230" t="s">
        <v>54</v>
      </c>
      <c r="C230">
        <v>0</v>
      </c>
      <c r="D230">
        <v>2</v>
      </c>
      <c r="E230">
        <v>1</v>
      </c>
      <c r="F230">
        <v>1207584</v>
      </c>
    </row>
    <row r="231" spans="1:6" x14ac:dyDescent="0.25">
      <c r="A231" t="s">
        <v>52</v>
      </c>
      <c r="B231" t="s">
        <v>54</v>
      </c>
      <c r="C231">
        <v>0</v>
      </c>
      <c r="D231">
        <v>2</v>
      </c>
      <c r="E231">
        <v>2</v>
      </c>
      <c r="F231">
        <v>38587</v>
      </c>
    </row>
    <row r="232" spans="1:6" x14ac:dyDescent="0.25">
      <c r="A232" t="s">
        <v>52</v>
      </c>
      <c r="B232" t="s">
        <v>54</v>
      </c>
      <c r="C232">
        <v>0</v>
      </c>
      <c r="D232">
        <v>2</v>
      </c>
      <c r="E232">
        <v>3</v>
      </c>
      <c r="F232">
        <v>65264</v>
      </c>
    </row>
    <row r="233" spans="1:6" x14ac:dyDescent="0.25">
      <c r="A233" t="s">
        <v>52</v>
      </c>
      <c r="B233" t="s">
        <v>54</v>
      </c>
      <c r="C233">
        <v>0</v>
      </c>
      <c r="D233">
        <v>2</v>
      </c>
      <c r="E233">
        <v>4</v>
      </c>
      <c r="F233">
        <v>12712</v>
      </c>
    </row>
    <row r="234" spans="1:6" x14ac:dyDescent="0.25">
      <c r="A234" t="s">
        <v>52</v>
      </c>
      <c r="B234" t="s">
        <v>54</v>
      </c>
      <c r="C234">
        <v>0</v>
      </c>
      <c r="D234">
        <v>2</v>
      </c>
      <c r="E234">
        <v>5</v>
      </c>
      <c r="F234">
        <v>4108</v>
      </c>
    </row>
    <row r="235" spans="1:6" x14ac:dyDescent="0.25">
      <c r="A235" t="s">
        <v>52</v>
      </c>
      <c r="B235" t="s">
        <v>54</v>
      </c>
      <c r="C235">
        <v>0</v>
      </c>
      <c r="D235">
        <v>2</v>
      </c>
      <c r="E235">
        <v>6</v>
      </c>
      <c r="F235">
        <v>54684</v>
      </c>
    </row>
    <row r="236" spans="1:6" x14ac:dyDescent="0.25">
      <c r="A236" t="s">
        <v>52</v>
      </c>
      <c r="B236" t="s">
        <v>54</v>
      </c>
      <c r="C236">
        <v>1</v>
      </c>
      <c r="D236">
        <v>0</v>
      </c>
      <c r="E236">
        <v>1</v>
      </c>
      <c r="F236">
        <v>2576368</v>
      </c>
    </row>
    <row r="237" spans="1:6" x14ac:dyDescent="0.25">
      <c r="A237" t="s">
        <v>52</v>
      </c>
      <c r="B237" t="s">
        <v>54</v>
      </c>
      <c r="C237">
        <v>1</v>
      </c>
      <c r="D237">
        <v>0</v>
      </c>
      <c r="E237">
        <v>2</v>
      </c>
      <c r="F237">
        <v>158546</v>
      </c>
    </row>
    <row r="238" spans="1:6" x14ac:dyDescent="0.25">
      <c r="A238" t="s">
        <v>52</v>
      </c>
      <c r="B238" t="s">
        <v>54</v>
      </c>
      <c r="C238">
        <v>1</v>
      </c>
      <c r="D238">
        <v>0</v>
      </c>
      <c r="E238">
        <v>3</v>
      </c>
      <c r="F238">
        <v>52359</v>
      </c>
    </row>
    <row r="239" spans="1:6" x14ac:dyDescent="0.25">
      <c r="A239" t="s">
        <v>52</v>
      </c>
      <c r="B239" t="s">
        <v>54</v>
      </c>
      <c r="C239">
        <v>1</v>
      </c>
      <c r="D239">
        <v>0</v>
      </c>
      <c r="E239">
        <v>4</v>
      </c>
      <c r="F239">
        <v>115478</v>
      </c>
    </row>
    <row r="240" spans="1:6" x14ac:dyDescent="0.25">
      <c r="A240" t="s">
        <v>52</v>
      </c>
      <c r="B240" t="s">
        <v>54</v>
      </c>
      <c r="C240">
        <v>1</v>
      </c>
      <c r="D240">
        <v>0</v>
      </c>
      <c r="E240">
        <v>5</v>
      </c>
      <c r="F240">
        <v>7258</v>
      </c>
    </row>
    <row r="241" spans="1:6" x14ac:dyDescent="0.25">
      <c r="A241" t="s">
        <v>52</v>
      </c>
      <c r="B241" t="s">
        <v>54</v>
      </c>
      <c r="C241">
        <v>1</v>
      </c>
      <c r="D241">
        <v>0</v>
      </c>
      <c r="E241">
        <v>6</v>
      </c>
      <c r="F241">
        <v>106902</v>
      </c>
    </row>
    <row r="242" spans="1:6" x14ac:dyDescent="0.25">
      <c r="A242" t="s">
        <v>52</v>
      </c>
      <c r="B242" t="s">
        <v>54</v>
      </c>
      <c r="C242">
        <v>1</v>
      </c>
      <c r="D242">
        <v>1</v>
      </c>
      <c r="E242">
        <v>1</v>
      </c>
      <c r="F242">
        <v>1960239</v>
      </c>
    </row>
    <row r="243" spans="1:6" x14ac:dyDescent="0.25">
      <c r="A243" t="s">
        <v>52</v>
      </c>
      <c r="B243" t="s">
        <v>54</v>
      </c>
      <c r="C243">
        <v>1</v>
      </c>
      <c r="D243">
        <v>1</v>
      </c>
      <c r="E243">
        <v>2</v>
      </c>
      <c r="F243">
        <v>139088</v>
      </c>
    </row>
    <row r="244" spans="1:6" x14ac:dyDescent="0.25">
      <c r="A244" t="s">
        <v>52</v>
      </c>
      <c r="B244" t="s">
        <v>54</v>
      </c>
      <c r="C244">
        <v>1</v>
      </c>
      <c r="D244">
        <v>1</v>
      </c>
      <c r="E244">
        <v>3</v>
      </c>
      <c r="F244">
        <v>18549</v>
      </c>
    </row>
    <row r="245" spans="1:6" x14ac:dyDescent="0.25">
      <c r="A245" t="s">
        <v>52</v>
      </c>
      <c r="B245" t="s">
        <v>54</v>
      </c>
      <c r="C245">
        <v>1</v>
      </c>
      <c r="D245">
        <v>1</v>
      </c>
      <c r="E245">
        <v>4</v>
      </c>
      <c r="F245">
        <v>109095</v>
      </c>
    </row>
    <row r="246" spans="1:6" x14ac:dyDescent="0.25">
      <c r="A246" t="s">
        <v>52</v>
      </c>
      <c r="B246" t="s">
        <v>54</v>
      </c>
      <c r="C246">
        <v>1</v>
      </c>
      <c r="D246">
        <v>1</v>
      </c>
      <c r="E246">
        <v>5</v>
      </c>
      <c r="F246">
        <v>5170</v>
      </c>
    </row>
    <row r="247" spans="1:6" x14ac:dyDescent="0.25">
      <c r="A247" t="s">
        <v>52</v>
      </c>
      <c r="B247" t="s">
        <v>54</v>
      </c>
      <c r="C247">
        <v>1</v>
      </c>
      <c r="D247">
        <v>1</v>
      </c>
      <c r="E247">
        <v>6</v>
      </c>
      <c r="F247">
        <v>79113</v>
      </c>
    </row>
    <row r="248" spans="1:6" x14ac:dyDescent="0.25">
      <c r="A248" t="s">
        <v>52</v>
      </c>
      <c r="B248" t="s">
        <v>54</v>
      </c>
      <c r="C248">
        <v>1</v>
      </c>
      <c r="D248">
        <v>2</v>
      </c>
      <c r="E248">
        <v>1</v>
      </c>
      <c r="F248">
        <v>616129</v>
      </c>
    </row>
    <row r="249" spans="1:6" x14ac:dyDescent="0.25">
      <c r="A249" t="s">
        <v>52</v>
      </c>
      <c r="B249" t="s">
        <v>54</v>
      </c>
      <c r="C249">
        <v>1</v>
      </c>
      <c r="D249">
        <v>2</v>
      </c>
      <c r="E249">
        <v>2</v>
      </c>
      <c r="F249">
        <v>19458</v>
      </c>
    </row>
    <row r="250" spans="1:6" x14ac:dyDescent="0.25">
      <c r="A250" t="s">
        <v>52</v>
      </c>
      <c r="B250" t="s">
        <v>54</v>
      </c>
      <c r="C250">
        <v>1</v>
      </c>
      <c r="D250">
        <v>2</v>
      </c>
      <c r="E250">
        <v>3</v>
      </c>
      <c r="F250">
        <v>33810</v>
      </c>
    </row>
    <row r="251" spans="1:6" x14ac:dyDescent="0.25">
      <c r="A251" t="s">
        <v>52</v>
      </c>
      <c r="B251" t="s">
        <v>54</v>
      </c>
      <c r="C251">
        <v>1</v>
      </c>
      <c r="D251">
        <v>2</v>
      </c>
      <c r="E251">
        <v>4</v>
      </c>
      <c r="F251">
        <v>6383</v>
      </c>
    </row>
    <row r="252" spans="1:6" x14ac:dyDescent="0.25">
      <c r="A252" t="s">
        <v>52</v>
      </c>
      <c r="B252" t="s">
        <v>54</v>
      </c>
      <c r="C252">
        <v>1</v>
      </c>
      <c r="D252">
        <v>2</v>
      </c>
      <c r="E252">
        <v>5</v>
      </c>
      <c r="F252">
        <v>2088</v>
      </c>
    </row>
    <row r="253" spans="1:6" x14ac:dyDescent="0.25">
      <c r="A253" t="s">
        <v>52</v>
      </c>
      <c r="B253" t="s">
        <v>54</v>
      </c>
      <c r="C253">
        <v>1</v>
      </c>
      <c r="D253">
        <v>2</v>
      </c>
      <c r="E253">
        <v>6</v>
      </c>
      <c r="F253">
        <v>27789</v>
      </c>
    </row>
    <row r="254" spans="1:6" x14ac:dyDescent="0.25">
      <c r="A254" t="s">
        <v>52</v>
      </c>
      <c r="B254" t="s">
        <v>54</v>
      </c>
      <c r="C254">
        <v>2</v>
      </c>
      <c r="D254">
        <v>0</v>
      </c>
      <c r="E254">
        <v>1</v>
      </c>
      <c r="F254">
        <v>2512580</v>
      </c>
    </row>
    <row r="255" spans="1:6" x14ac:dyDescent="0.25">
      <c r="A255" t="s">
        <v>52</v>
      </c>
      <c r="B255" t="s">
        <v>54</v>
      </c>
      <c r="C255">
        <v>2</v>
      </c>
      <c r="D255">
        <v>0</v>
      </c>
      <c r="E255">
        <v>2</v>
      </c>
      <c r="F255">
        <v>137190</v>
      </c>
    </row>
    <row r="256" spans="1:6" x14ac:dyDescent="0.25">
      <c r="A256" t="s">
        <v>52</v>
      </c>
      <c r="B256" t="s">
        <v>54</v>
      </c>
      <c r="C256">
        <v>2</v>
      </c>
      <c r="D256">
        <v>0</v>
      </c>
      <c r="E256">
        <v>3</v>
      </c>
      <c r="F256">
        <v>49999</v>
      </c>
    </row>
    <row r="257" spans="1:6" x14ac:dyDescent="0.25">
      <c r="A257" t="s">
        <v>52</v>
      </c>
      <c r="B257" t="s">
        <v>54</v>
      </c>
      <c r="C257">
        <v>2</v>
      </c>
      <c r="D257">
        <v>0</v>
      </c>
      <c r="E257">
        <v>4</v>
      </c>
      <c r="F257">
        <v>128355</v>
      </c>
    </row>
    <row r="258" spans="1:6" x14ac:dyDescent="0.25">
      <c r="A258" t="s">
        <v>52</v>
      </c>
      <c r="B258" t="s">
        <v>54</v>
      </c>
      <c r="C258">
        <v>2</v>
      </c>
      <c r="D258">
        <v>0</v>
      </c>
      <c r="E258">
        <v>5</v>
      </c>
      <c r="F258">
        <v>6897</v>
      </c>
    </row>
    <row r="259" spans="1:6" x14ac:dyDescent="0.25">
      <c r="A259" t="s">
        <v>52</v>
      </c>
      <c r="B259" t="s">
        <v>54</v>
      </c>
      <c r="C259">
        <v>2</v>
      </c>
      <c r="D259">
        <v>0</v>
      </c>
      <c r="E259">
        <v>6</v>
      </c>
      <c r="F259">
        <v>105561</v>
      </c>
    </row>
    <row r="260" spans="1:6" x14ac:dyDescent="0.25">
      <c r="A260" t="s">
        <v>52</v>
      </c>
      <c r="B260" t="s">
        <v>54</v>
      </c>
      <c r="C260">
        <v>2</v>
      </c>
      <c r="D260">
        <v>1</v>
      </c>
      <c r="E260">
        <v>1</v>
      </c>
      <c r="F260">
        <v>1921125</v>
      </c>
    </row>
    <row r="261" spans="1:6" x14ac:dyDescent="0.25">
      <c r="A261" t="s">
        <v>52</v>
      </c>
      <c r="B261" t="s">
        <v>54</v>
      </c>
      <c r="C261">
        <v>2</v>
      </c>
      <c r="D261">
        <v>1</v>
      </c>
      <c r="E261">
        <v>2</v>
      </c>
      <c r="F261">
        <v>118061</v>
      </c>
    </row>
    <row r="262" spans="1:6" x14ac:dyDescent="0.25">
      <c r="A262" t="s">
        <v>52</v>
      </c>
      <c r="B262" t="s">
        <v>54</v>
      </c>
      <c r="C262">
        <v>2</v>
      </c>
      <c r="D262">
        <v>1</v>
      </c>
      <c r="E262">
        <v>3</v>
      </c>
      <c r="F262">
        <v>18545</v>
      </c>
    </row>
    <row r="263" spans="1:6" x14ac:dyDescent="0.25">
      <c r="A263" t="s">
        <v>52</v>
      </c>
      <c r="B263" t="s">
        <v>54</v>
      </c>
      <c r="C263">
        <v>2</v>
      </c>
      <c r="D263">
        <v>1</v>
      </c>
      <c r="E263">
        <v>4</v>
      </c>
      <c r="F263">
        <v>122026</v>
      </c>
    </row>
    <row r="264" spans="1:6" x14ac:dyDescent="0.25">
      <c r="A264" t="s">
        <v>52</v>
      </c>
      <c r="B264" t="s">
        <v>54</v>
      </c>
      <c r="C264">
        <v>2</v>
      </c>
      <c r="D264">
        <v>1</v>
      </c>
      <c r="E264">
        <v>5</v>
      </c>
      <c r="F264">
        <v>4877</v>
      </c>
    </row>
    <row r="265" spans="1:6" x14ac:dyDescent="0.25">
      <c r="A265" t="s">
        <v>52</v>
      </c>
      <c r="B265" t="s">
        <v>54</v>
      </c>
      <c r="C265">
        <v>2</v>
      </c>
      <c r="D265">
        <v>1</v>
      </c>
      <c r="E265">
        <v>6</v>
      </c>
      <c r="F265">
        <v>78666</v>
      </c>
    </row>
    <row r="266" spans="1:6" x14ac:dyDescent="0.25">
      <c r="A266" t="s">
        <v>52</v>
      </c>
      <c r="B266" t="s">
        <v>54</v>
      </c>
      <c r="C266">
        <v>2</v>
      </c>
      <c r="D266">
        <v>2</v>
      </c>
      <c r="E266">
        <v>1</v>
      </c>
      <c r="F266">
        <v>591455</v>
      </c>
    </row>
    <row r="267" spans="1:6" x14ac:dyDescent="0.25">
      <c r="A267" t="s">
        <v>52</v>
      </c>
      <c r="B267" t="s">
        <v>54</v>
      </c>
      <c r="C267">
        <v>2</v>
      </c>
      <c r="D267">
        <v>2</v>
      </c>
      <c r="E267">
        <v>2</v>
      </c>
      <c r="F267">
        <v>19129</v>
      </c>
    </row>
    <row r="268" spans="1:6" x14ac:dyDescent="0.25">
      <c r="A268" t="s">
        <v>52</v>
      </c>
      <c r="B268" t="s">
        <v>54</v>
      </c>
      <c r="C268">
        <v>2</v>
      </c>
      <c r="D268">
        <v>2</v>
      </c>
      <c r="E268">
        <v>3</v>
      </c>
      <c r="F268">
        <v>31454</v>
      </c>
    </row>
    <row r="269" spans="1:6" x14ac:dyDescent="0.25">
      <c r="A269" t="s">
        <v>52</v>
      </c>
      <c r="B269" t="s">
        <v>54</v>
      </c>
      <c r="C269">
        <v>2</v>
      </c>
      <c r="D269">
        <v>2</v>
      </c>
      <c r="E269">
        <v>4</v>
      </c>
      <c r="F269">
        <v>6329</v>
      </c>
    </row>
    <row r="270" spans="1:6" x14ac:dyDescent="0.25">
      <c r="A270" t="s">
        <v>52</v>
      </c>
      <c r="B270" t="s">
        <v>54</v>
      </c>
      <c r="C270">
        <v>2</v>
      </c>
      <c r="D270">
        <v>2</v>
      </c>
      <c r="E270">
        <v>5</v>
      </c>
      <c r="F270">
        <v>2020</v>
      </c>
    </row>
    <row r="271" spans="1:6" x14ac:dyDescent="0.25">
      <c r="A271" t="s">
        <v>52</v>
      </c>
      <c r="B271" t="s">
        <v>54</v>
      </c>
      <c r="C271">
        <v>2</v>
      </c>
      <c r="D271">
        <v>2</v>
      </c>
      <c r="E271">
        <v>6</v>
      </c>
      <c r="F271">
        <v>26895</v>
      </c>
    </row>
    <row r="272" spans="1:6" x14ac:dyDescent="0.25">
      <c r="A272" t="s">
        <v>56</v>
      </c>
      <c r="B272" t="s">
        <v>58</v>
      </c>
      <c r="C272">
        <v>0</v>
      </c>
      <c r="D272">
        <v>0</v>
      </c>
      <c r="E272">
        <v>1</v>
      </c>
      <c r="F272">
        <v>2840852</v>
      </c>
    </row>
    <row r="273" spans="1:6" x14ac:dyDescent="0.25">
      <c r="A273" t="s">
        <v>56</v>
      </c>
      <c r="B273" t="s">
        <v>58</v>
      </c>
      <c r="C273">
        <v>0</v>
      </c>
      <c r="D273">
        <v>0</v>
      </c>
      <c r="E273">
        <v>2</v>
      </c>
      <c r="F273">
        <v>490303</v>
      </c>
    </row>
    <row r="274" spans="1:6" x14ac:dyDescent="0.25">
      <c r="A274" t="s">
        <v>56</v>
      </c>
      <c r="B274" t="s">
        <v>58</v>
      </c>
      <c r="C274">
        <v>0</v>
      </c>
      <c r="D274">
        <v>0</v>
      </c>
      <c r="E274">
        <v>3</v>
      </c>
      <c r="F274">
        <v>31611</v>
      </c>
    </row>
    <row r="275" spans="1:6" x14ac:dyDescent="0.25">
      <c r="A275" t="s">
        <v>56</v>
      </c>
      <c r="B275" t="s">
        <v>58</v>
      </c>
      <c r="C275">
        <v>0</v>
      </c>
      <c r="D275">
        <v>0</v>
      </c>
      <c r="E275">
        <v>4</v>
      </c>
      <c r="F275">
        <v>200963</v>
      </c>
    </row>
    <row r="276" spans="1:6" x14ac:dyDescent="0.25">
      <c r="A276" t="s">
        <v>56</v>
      </c>
      <c r="B276" t="s">
        <v>58</v>
      </c>
      <c r="C276">
        <v>0</v>
      </c>
      <c r="D276">
        <v>0</v>
      </c>
      <c r="E276">
        <v>5</v>
      </c>
      <c r="F276">
        <v>4570</v>
      </c>
    </row>
    <row r="277" spans="1:6" x14ac:dyDescent="0.25">
      <c r="A277" t="s">
        <v>56</v>
      </c>
      <c r="B277" t="s">
        <v>58</v>
      </c>
      <c r="C277">
        <v>0</v>
      </c>
      <c r="D277">
        <v>0</v>
      </c>
      <c r="E277">
        <v>6</v>
      </c>
      <c r="F277">
        <v>106770</v>
      </c>
    </row>
    <row r="278" spans="1:6" x14ac:dyDescent="0.25">
      <c r="A278" t="s">
        <v>56</v>
      </c>
      <c r="B278" t="s">
        <v>58</v>
      </c>
      <c r="C278">
        <v>0</v>
      </c>
      <c r="D278">
        <v>1</v>
      </c>
      <c r="E278">
        <v>1</v>
      </c>
      <c r="F278">
        <v>2285239</v>
      </c>
    </row>
    <row r="279" spans="1:6" x14ac:dyDescent="0.25">
      <c r="A279" t="s">
        <v>56</v>
      </c>
      <c r="B279" t="s">
        <v>58</v>
      </c>
      <c r="C279">
        <v>0</v>
      </c>
      <c r="D279">
        <v>1</v>
      </c>
      <c r="E279">
        <v>2</v>
      </c>
      <c r="F279">
        <v>403850</v>
      </c>
    </row>
    <row r="280" spans="1:6" x14ac:dyDescent="0.25">
      <c r="A280" t="s">
        <v>56</v>
      </c>
      <c r="B280" t="s">
        <v>58</v>
      </c>
      <c r="C280">
        <v>0</v>
      </c>
      <c r="D280">
        <v>1</v>
      </c>
      <c r="E280">
        <v>3</v>
      </c>
      <c r="F280">
        <v>8115</v>
      </c>
    </row>
    <row r="281" spans="1:6" x14ac:dyDescent="0.25">
      <c r="A281" t="s">
        <v>56</v>
      </c>
      <c r="B281" t="s">
        <v>58</v>
      </c>
      <c r="C281">
        <v>0</v>
      </c>
      <c r="D281">
        <v>1</v>
      </c>
      <c r="E281">
        <v>4</v>
      </c>
      <c r="F281">
        <v>195700</v>
      </c>
    </row>
    <row r="282" spans="1:6" x14ac:dyDescent="0.25">
      <c r="A282" t="s">
        <v>56</v>
      </c>
      <c r="B282" t="s">
        <v>58</v>
      </c>
      <c r="C282">
        <v>0</v>
      </c>
      <c r="D282">
        <v>1</v>
      </c>
      <c r="E282">
        <v>5</v>
      </c>
      <c r="F282">
        <v>1456</v>
      </c>
    </row>
    <row r="283" spans="1:6" x14ac:dyDescent="0.25">
      <c r="A283" t="s">
        <v>56</v>
      </c>
      <c r="B283" t="s">
        <v>58</v>
      </c>
      <c r="C283">
        <v>0</v>
      </c>
      <c r="D283">
        <v>1</v>
      </c>
      <c r="E283">
        <v>6</v>
      </c>
      <c r="F283">
        <v>73903</v>
      </c>
    </row>
    <row r="284" spans="1:6" x14ac:dyDescent="0.25">
      <c r="A284" t="s">
        <v>56</v>
      </c>
      <c r="B284" t="s">
        <v>58</v>
      </c>
      <c r="C284">
        <v>0</v>
      </c>
      <c r="D284">
        <v>2</v>
      </c>
      <c r="E284">
        <v>1</v>
      </c>
      <c r="F284">
        <v>555613</v>
      </c>
    </row>
    <row r="285" spans="1:6" x14ac:dyDescent="0.25">
      <c r="A285" t="s">
        <v>56</v>
      </c>
      <c r="B285" t="s">
        <v>58</v>
      </c>
      <c r="C285">
        <v>0</v>
      </c>
      <c r="D285">
        <v>2</v>
      </c>
      <c r="E285">
        <v>2</v>
      </c>
      <c r="F285">
        <v>86453</v>
      </c>
    </row>
    <row r="286" spans="1:6" x14ac:dyDescent="0.25">
      <c r="A286" t="s">
        <v>56</v>
      </c>
      <c r="B286" t="s">
        <v>58</v>
      </c>
      <c r="C286">
        <v>0</v>
      </c>
      <c r="D286">
        <v>2</v>
      </c>
      <c r="E286">
        <v>3</v>
      </c>
      <c r="F286">
        <v>23496</v>
      </c>
    </row>
    <row r="287" spans="1:6" x14ac:dyDescent="0.25">
      <c r="A287" t="s">
        <v>56</v>
      </c>
      <c r="B287" t="s">
        <v>58</v>
      </c>
      <c r="C287">
        <v>0</v>
      </c>
      <c r="D287">
        <v>2</v>
      </c>
      <c r="E287">
        <v>4</v>
      </c>
      <c r="F287">
        <v>5263</v>
      </c>
    </row>
    <row r="288" spans="1:6" x14ac:dyDescent="0.25">
      <c r="A288" t="s">
        <v>56</v>
      </c>
      <c r="B288" t="s">
        <v>58</v>
      </c>
      <c r="C288">
        <v>0</v>
      </c>
      <c r="D288">
        <v>2</v>
      </c>
      <c r="E288">
        <v>5</v>
      </c>
      <c r="F288">
        <v>3114</v>
      </c>
    </row>
    <row r="289" spans="1:6" x14ac:dyDescent="0.25">
      <c r="A289" t="s">
        <v>56</v>
      </c>
      <c r="B289" t="s">
        <v>58</v>
      </c>
      <c r="C289">
        <v>0</v>
      </c>
      <c r="D289">
        <v>2</v>
      </c>
      <c r="E289">
        <v>6</v>
      </c>
      <c r="F289">
        <v>32867</v>
      </c>
    </row>
    <row r="290" spans="1:6" x14ac:dyDescent="0.25">
      <c r="A290" t="s">
        <v>56</v>
      </c>
      <c r="B290" t="s">
        <v>58</v>
      </c>
      <c r="C290">
        <v>1</v>
      </c>
      <c r="D290">
        <v>0</v>
      </c>
      <c r="E290">
        <v>1</v>
      </c>
      <c r="F290">
        <v>1399259</v>
      </c>
    </row>
    <row r="291" spans="1:6" x14ac:dyDescent="0.25">
      <c r="A291" t="s">
        <v>56</v>
      </c>
      <c r="B291" t="s">
        <v>58</v>
      </c>
      <c r="C291">
        <v>1</v>
      </c>
      <c r="D291">
        <v>0</v>
      </c>
      <c r="E291">
        <v>2</v>
      </c>
      <c r="F291">
        <v>235722</v>
      </c>
    </row>
    <row r="292" spans="1:6" x14ac:dyDescent="0.25">
      <c r="A292" t="s">
        <v>56</v>
      </c>
      <c r="B292" t="s">
        <v>58</v>
      </c>
      <c r="C292">
        <v>1</v>
      </c>
      <c r="D292">
        <v>0</v>
      </c>
      <c r="E292">
        <v>3</v>
      </c>
      <c r="F292">
        <v>16332</v>
      </c>
    </row>
    <row r="293" spans="1:6" x14ac:dyDescent="0.25">
      <c r="A293" t="s">
        <v>56</v>
      </c>
      <c r="B293" t="s">
        <v>58</v>
      </c>
      <c r="C293">
        <v>1</v>
      </c>
      <c r="D293">
        <v>0</v>
      </c>
      <c r="E293">
        <v>4</v>
      </c>
      <c r="F293">
        <v>97657</v>
      </c>
    </row>
    <row r="294" spans="1:6" x14ac:dyDescent="0.25">
      <c r="A294" t="s">
        <v>56</v>
      </c>
      <c r="B294" t="s">
        <v>58</v>
      </c>
      <c r="C294">
        <v>1</v>
      </c>
      <c r="D294">
        <v>0</v>
      </c>
      <c r="E294">
        <v>5</v>
      </c>
      <c r="F294">
        <v>2380</v>
      </c>
    </row>
    <row r="295" spans="1:6" x14ac:dyDescent="0.25">
      <c r="A295" t="s">
        <v>56</v>
      </c>
      <c r="B295" t="s">
        <v>58</v>
      </c>
      <c r="C295">
        <v>1</v>
      </c>
      <c r="D295">
        <v>0</v>
      </c>
      <c r="E295">
        <v>6</v>
      </c>
      <c r="F295">
        <v>52461</v>
      </c>
    </row>
    <row r="296" spans="1:6" x14ac:dyDescent="0.25">
      <c r="A296" t="s">
        <v>56</v>
      </c>
      <c r="B296" t="s">
        <v>58</v>
      </c>
      <c r="C296">
        <v>1</v>
      </c>
      <c r="D296">
        <v>1</v>
      </c>
      <c r="E296">
        <v>1</v>
      </c>
      <c r="F296">
        <v>1122895</v>
      </c>
    </row>
    <row r="297" spans="1:6" x14ac:dyDescent="0.25">
      <c r="A297" t="s">
        <v>56</v>
      </c>
      <c r="B297" t="s">
        <v>58</v>
      </c>
      <c r="C297">
        <v>1</v>
      </c>
      <c r="D297">
        <v>1</v>
      </c>
      <c r="E297">
        <v>2</v>
      </c>
      <c r="F297">
        <v>193240</v>
      </c>
    </row>
    <row r="298" spans="1:6" x14ac:dyDescent="0.25">
      <c r="A298" t="s">
        <v>56</v>
      </c>
      <c r="B298" t="s">
        <v>58</v>
      </c>
      <c r="C298">
        <v>1</v>
      </c>
      <c r="D298">
        <v>1</v>
      </c>
      <c r="E298">
        <v>3</v>
      </c>
      <c r="F298">
        <v>4158</v>
      </c>
    </row>
    <row r="299" spans="1:6" x14ac:dyDescent="0.25">
      <c r="A299" t="s">
        <v>56</v>
      </c>
      <c r="B299" t="s">
        <v>58</v>
      </c>
      <c r="C299">
        <v>1</v>
      </c>
      <c r="D299">
        <v>1</v>
      </c>
      <c r="E299">
        <v>4</v>
      </c>
      <c r="F299">
        <v>94979</v>
      </c>
    </row>
    <row r="300" spans="1:6" x14ac:dyDescent="0.25">
      <c r="A300" t="s">
        <v>56</v>
      </c>
      <c r="B300" t="s">
        <v>58</v>
      </c>
      <c r="C300">
        <v>1</v>
      </c>
      <c r="D300">
        <v>1</v>
      </c>
      <c r="E300">
        <v>5</v>
      </c>
      <c r="F300">
        <v>713</v>
      </c>
    </row>
    <row r="301" spans="1:6" x14ac:dyDescent="0.25">
      <c r="A301" t="s">
        <v>56</v>
      </c>
      <c r="B301" t="s">
        <v>58</v>
      </c>
      <c r="C301">
        <v>1</v>
      </c>
      <c r="D301">
        <v>1</v>
      </c>
      <c r="E301">
        <v>6</v>
      </c>
      <c r="F301">
        <v>36434</v>
      </c>
    </row>
    <row r="302" spans="1:6" x14ac:dyDescent="0.25">
      <c r="A302" t="s">
        <v>56</v>
      </c>
      <c r="B302" t="s">
        <v>58</v>
      </c>
      <c r="C302">
        <v>1</v>
      </c>
      <c r="D302">
        <v>2</v>
      </c>
      <c r="E302">
        <v>1</v>
      </c>
      <c r="F302">
        <v>276364</v>
      </c>
    </row>
    <row r="303" spans="1:6" x14ac:dyDescent="0.25">
      <c r="A303" t="s">
        <v>56</v>
      </c>
      <c r="B303" t="s">
        <v>58</v>
      </c>
      <c r="C303">
        <v>1</v>
      </c>
      <c r="D303">
        <v>2</v>
      </c>
      <c r="E303">
        <v>2</v>
      </c>
      <c r="F303">
        <v>42482</v>
      </c>
    </row>
    <row r="304" spans="1:6" x14ac:dyDescent="0.25">
      <c r="A304" t="s">
        <v>56</v>
      </c>
      <c r="B304" t="s">
        <v>58</v>
      </c>
      <c r="C304">
        <v>1</v>
      </c>
      <c r="D304">
        <v>2</v>
      </c>
      <c r="E304">
        <v>3</v>
      </c>
      <c r="F304">
        <v>12174</v>
      </c>
    </row>
    <row r="305" spans="1:6" x14ac:dyDescent="0.25">
      <c r="A305" t="s">
        <v>56</v>
      </c>
      <c r="B305" t="s">
        <v>58</v>
      </c>
      <c r="C305">
        <v>1</v>
      </c>
      <c r="D305">
        <v>2</v>
      </c>
      <c r="E305">
        <v>4</v>
      </c>
      <c r="F305">
        <v>2678</v>
      </c>
    </row>
    <row r="306" spans="1:6" x14ac:dyDescent="0.25">
      <c r="A306" t="s">
        <v>56</v>
      </c>
      <c r="B306" t="s">
        <v>58</v>
      </c>
      <c r="C306">
        <v>1</v>
      </c>
      <c r="D306">
        <v>2</v>
      </c>
      <c r="E306">
        <v>5</v>
      </c>
      <c r="F306">
        <v>1667</v>
      </c>
    </row>
    <row r="307" spans="1:6" x14ac:dyDescent="0.25">
      <c r="A307" t="s">
        <v>56</v>
      </c>
      <c r="B307" t="s">
        <v>58</v>
      </c>
      <c r="C307">
        <v>1</v>
      </c>
      <c r="D307">
        <v>2</v>
      </c>
      <c r="E307">
        <v>6</v>
      </c>
      <c r="F307">
        <v>16027</v>
      </c>
    </row>
    <row r="308" spans="1:6" x14ac:dyDescent="0.25">
      <c r="A308" t="s">
        <v>56</v>
      </c>
      <c r="B308" t="s">
        <v>58</v>
      </c>
      <c r="C308">
        <v>2</v>
      </c>
      <c r="D308">
        <v>0</v>
      </c>
      <c r="E308">
        <v>1</v>
      </c>
      <c r="F308">
        <v>1441593</v>
      </c>
    </row>
    <row r="309" spans="1:6" x14ac:dyDescent="0.25">
      <c r="A309" t="s">
        <v>56</v>
      </c>
      <c r="B309" t="s">
        <v>58</v>
      </c>
      <c r="C309">
        <v>2</v>
      </c>
      <c r="D309">
        <v>0</v>
      </c>
      <c r="E309">
        <v>2</v>
      </c>
      <c r="F309">
        <v>254581</v>
      </c>
    </row>
    <row r="310" spans="1:6" x14ac:dyDescent="0.25">
      <c r="A310" t="s">
        <v>56</v>
      </c>
      <c r="B310" t="s">
        <v>58</v>
      </c>
      <c r="C310">
        <v>2</v>
      </c>
      <c r="D310">
        <v>0</v>
      </c>
      <c r="E310">
        <v>3</v>
      </c>
      <c r="F310">
        <v>15279</v>
      </c>
    </row>
    <row r="311" spans="1:6" x14ac:dyDescent="0.25">
      <c r="A311" t="s">
        <v>56</v>
      </c>
      <c r="B311" t="s">
        <v>58</v>
      </c>
      <c r="C311">
        <v>2</v>
      </c>
      <c r="D311">
        <v>0</v>
      </c>
      <c r="E311">
        <v>4</v>
      </c>
      <c r="F311">
        <v>103306</v>
      </c>
    </row>
    <row r="312" spans="1:6" x14ac:dyDescent="0.25">
      <c r="A312" t="s">
        <v>56</v>
      </c>
      <c r="B312" t="s">
        <v>58</v>
      </c>
      <c r="C312">
        <v>2</v>
      </c>
      <c r="D312">
        <v>0</v>
      </c>
      <c r="E312">
        <v>5</v>
      </c>
      <c r="F312">
        <v>2190</v>
      </c>
    </row>
    <row r="313" spans="1:6" x14ac:dyDescent="0.25">
      <c r="A313" t="s">
        <v>56</v>
      </c>
      <c r="B313" t="s">
        <v>58</v>
      </c>
      <c r="C313">
        <v>2</v>
      </c>
      <c r="D313">
        <v>0</v>
      </c>
      <c r="E313">
        <v>6</v>
      </c>
      <c r="F313">
        <v>54309</v>
      </c>
    </row>
    <row r="314" spans="1:6" x14ac:dyDescent="0.25">
      <c r="A314" t="s">
        <v>56</v>
      </c>
      <c r="B314" t="s">
        <v>58</v>
      </c>
      <c r="C314">
        <v>2</v>
      </c>
      <c r="D314">
        <v>1</v>
      </c>
      <c r="E314">
        <v>1</v>
      </c>
      <c r="F314">
        <v>1162344</v>
      </c>
    </row>
    <row r="315" spans="1:6" x14ac:dyDescent="0.25">
      <c r="A315" t="s">
        <v>56</v>
      </c>
      <c r="B315" t="s">
        <v>58</v>
      </c>
      <c r="C315">
        <v>2</v>
      </c>
      <c r="D315">
        <v>1</v>
      </c>
      <c r="E315">
        <v>2</v>
      </c>
      <c r="F315">
        <v>210610</v>
      </c>
    </row>
    <row r="316" spans="1:6" x14ac:dyDescent="0.25">
      <c r="A316" t="s">
        <v>56</v>
      </c>
      <c r="B316" t="s">
        <v>58</v>
      </c>
      <c r="C316">
        <v>2</v>
      </c>
      <c r="D316">
        <v>1</v>
      </c>
      <c r="E316">
        <v>3</v>
      </c>
      <c r="F316">
        <v>3957</v>
      </c>
    </row>
    <row r="317" spans="1:6" x14ac:dyDescent="0.25">
      <c r="A317" t="s">
        <v>56</v>
      </c>
      <c r="B317" t="s">
        <v>58</v>
      </c>
      <c r="C317">
        <v>2</v>
      </c>
      <c r="D317">
        <v>1</v>
      </c>
      <c r="E317">
        <v>4</v>
      </c>
      <c r="F317">
        <v>100721</v>
      </c>
    </row>
    <row r="318" spans="1:6" x14ac:dyDescent="0.25">
      <c r="A318" t="s">
        <v>56</v>
      </c>
      <c r="B318" t="s">
        <v>58</v>
      </c>
      <c r="C318">
        <v>2</v>
      </c>
      <c r="D318">
        <v>1</v>
      </c>
      <c r="E318">
        <v>5</v>
      </c>
      <c r="F318">
        <v>743</v>
      </c>
    </row>
    <row r="319" spans="1:6" x14ac:dyDescent="0.25">
      <c r="A319" t="s">
        <v>56</v>
      </c>
      <c r="B319" t="s">
        <v>58</v>
      </c>
      <c r="C319">
        <v>2</v>
      </c>
      <c r="D319">
        <v>1</v>
      </c>
      <c r="E319">
        <v>6</v>
      </c>
      <c r="F319">
        <v>37469</v>
      </c>
    </row>
    <row r="320" spans="1:6" x14ac:dyDescent="0.25">
      <c r="A320" t="s">
        <v>56</v>
      </c>
      <c r="B320" t="s">
        <v>58</v>
      </c>
      <c r="C320">
        <v>2</v>
      </c>
      <c r="D320">
        <v>2</v>
      </c>
      <c r="E320">
        <v>1</v>
      </c>
      <c r="F320">
        <v>279249</v>
      </c>
    </row>
    <row r="321" spans="1:6" x14ac:dyDescent="0.25">
      <c r="A321" t="s">
        <v>56</v>
      </c>
      <c r="B321" t="s">
        <v>58</v>
      </c>
      <c r="C321">
        <v>2</v>
      </c>
      <c r="D321">
        <v>2</v>
      </c>
      <c r="E321">
        <v>2</v>
      </c>
      <c r="F321">
        <v>43971</v>
      </c>
    </row>
    <row r="322" spans="1:6" x14ac:dyDescent="0.25">
      <c r="A322" t="s">
        <v>56</v>
      </c>
      <c r="B322" t="s">
        <v>58</v>
      </c>
      <c r="C322">
        <v>2</v>
      </c>
      <c r="D322">
        <v>2</v>
      </c>
      <c r="E322">
        <v>3</v>
      </c>
      <c r="F322">
        <v>11322</v>
      </c>
    </row>
    <row r="323" spans="1:6" x14ac:dyDescent="0.25">
      <c r="A323" t="s">
        <v>56</v>
      </c>
      <c r="B323" t="s">
        <v>58</v>
      </c>
      <c r="C323">
        <v>2</v>
      </c>
      <c r="D323">
        <v>2</v>
      </c>
      <c r="E323">
        <v>4</v>
      </c>
      <c r="F323">
        <v>2585</v>
      </c>
    </row>
    <row r="324" spans="1:6" x14ac:dyDescent="0.25">
      <c r="A324" t="s">
        <v>56</v>
      </c>
      <c r="B324" t="s">
        <v>58</v>
      </c>
      <c r="C324">
        <v>2</v>
      </c>
      <c r="D324">
        <v>2</v>
      </c>
      <c r="E324">
        <v>5</v>
      </c>
      <c r="F324">
        <v>1447</v>
      </c>
    </row>
    <row r="325" spans="1:6" x14ac:dyDescent="0.25">
      <c r="A325" t="s">
        <v>56</v>
      </c>
      <c r="B325" t="s">
        <v>58</v>
      </c>
      <c r="C325">
        <v>2</v>
      </c>
      <c r="D325">
        <v>2</v>
      </c>
      <c r="E325">
        <v>6</v>
      </c>
      <c r="F325">
        <v>16840</v>
      </c>
    </row>
    <row r="326" spans="1:6" x14ac:dyDescent="0.25">
      <c r="A326" t="s">
        <v>60</v>
      </c>
      <c r="B326" t="s">
        <v>62</v>
      </c>
      <c r="C326">
        <v>0</v>
      </c>
      <c r="D326">
        <v>0</v>
      </c>
      <c r="E326">
        <v>1</v>
      </c>
      <c r="F326">
        <v>703988</v>
      </c>
    </row>
    <row r="327" spans="1:6" x14ac:dyDescent="0.25">
      <c r="A327" t="s">
        <v>60</v>
      </c>
      <c r="B327" t="s">
        <v>62</v>
      </c>
      <c r="C327">
        <v>0</v>
      </c>
      <c r="D327">
        <v>0</v>
      </c>
      <c r="E327">
        <v>2</v>
      </c>
      <c r="F327">
        <v>254378</v>
      </c>
    </row>
    <row r="328" spans="1:6" x14ac:dyDescent="0.25">
      <c r="A328" t="s">
        <v>60</v>
      </c>
      <c r="B328" t="s">
        <v>62</v>
      </c>
      <c r="C328">
        <v>0</v>
      </c>
      <c r="D328">
        <v>0</v>
      </c>
      <c r="E328">
        <v>3</v>
      </c>
      <c r="F328">
        <v>8828</v>
      </c>
    </row>
    <row r="329" spans="1:6" x14ac:dyDescent="0.25">
      <c r="A329" t="s">
        <v>60</v>
      </c>
      <c r="B329" t="s">
        <v>62</v>
      </c>
      <c r="C329">
        <v>0</v>
      </c>
      <c r="D329">
        <v>0</v>
      </c>
      <c r="E329">
        <v>4</v>
      </c>
      <c r="F329">
        <v>50085</v>
      </c>
    </row>
    <row r="330" spans="1:6" x14ac:dyDescent="0.25">
      <c r="A330" t="s">
        <v>60</v>
      </c>
      <c r="B330" t="s">
        <v>62</v>
      </c>
      <c r="C330">
        <v>0</v>
      </c>
      <c r="D330">
        <v>0</v>
      </c>
      <c r="E330">
        <v>5</v>
      </c>
      <c r="F330">
        <v>1296</v>
      </c>
    </row>
    <row r="331" spans="1:6" x14ac:dyDescent="0.25">
      <c r="A331" t="s">
        <v>60</v>
      </c>
      <c r="B331" t="s">
        <v>62</v>
      </c>
      <c r="C331">
        <v>0</v>
      </c>
      <c r="D331">
        <v>0</v>
      </c>
      <c r="E331">
        <v>6</v>
      </c>
      <c r="F331">
        <v>33342</v>
      </c>
    </row>
    <row r="332" spans="1:6" x14ac:dyDescent="0.25">
      <c r="A332" t="s">
        <v>60</v>
      </c>
      <c r="B332" t="s">
        <v>62</v>
      </c>
      <c r="C332">
        <v>0</v>
      </c>
      <c r="D332">
        <v>1</v>
      </c>
      <c r="E332">
        <v>1</v>
      </c>
      <c r="F332">
        <v>609750</v>
      </c>
    </row>
    <row r="333" spans="1:6" x14ac:dyDescent="0.25">
      <c r="A333" t="s">
        <v>60</v>
      </c>
      <c r="B333" t="s">
        <v>62</v>
      </c>
      <c r="C333">
        <v>0</v>
      </c>
      <c r="D333">
        <v>1</v>
      </c>
      <c r="E333">
        <v>2</v>
      </c>
      <c r="F333">
        <v>238806</v>
      </c>
    </row>
    <row r="334" spans="1:6" x14ac:dyDescent="0.25">
      <c r="A334" t="s">
        <v>60</v>
      </c>
      <c r="B334" t="s">
        <v>62</v>
      </c>
      <c r="C334">
        <v>0</v>
      </c>
      <c r="D334">
        <v>1</v>
      </c>
      <c r="E334">
        <v>3</v>
      </c>
      <c r="F334">
        <v>3111</v>
      </c>
    </row>
    <row r="335" spans="1:6" x14ac:dyDescent="0.25">
      <c r="A335" t="s">
        <v>60</v>
      </c>
      <c r="B335" t="s">
        <v>62</v>
      </c>
      <c r="C335">
        <v>0</v>
      </c>
      <c r="D335">
        <v>1</v>
      </c>
      <c r="E335">
        <v>4</v>
      </c>
      <c r="F335">
        <v>48967</v>
      </c>
    </row>
    <row r="336" spans="1:6" x14ac:dyDescent="0.25">
      <c r="A336" t="s">
        <v>60</v>
      </c>
      <c r="B336" t="s">
        <v>62</v>
      </c>
      <c r="C336">
        <v>0</v>
      </c>
      <c r="D336">
        <v>1</v>
      </c>
      <c r="E336">
        <v>5</v>
      </c>
      <c r="F336">
        <v>401</v>
      </c>
    </row>
    <row r="337" spans="1:6" x14ac:dyDescent="0.25">
      <c r="A337" t="s">
        <v>60</v>
      </c>
      <c r="B337" t="s">
        <v>62</v>
      </c>
      <c r="C337">
        <v>0</v>
      </c>
      <c r="D337">
        <v>1</v>
      </c>
      <c r="E337">
        <v>6</v>
      </c>
      <c r="F337">
        <v>28069</v>
      </c>
    </row>
    <row r="338" spans="1:6" x14ac:dyDescent="0.25">
      <c r="A338" t="s">
        <v>60</v>
      </c>
      <c r="B338" t="s">
        <v>62</v>
      </c>
      <c r="C338">
        <v>0</v>
      </c>
      <c r="D338">
        <v>2</v>
      </c>
      <c r="E338">
        <v>1</v>
      </c>
      <c r="F338">
        <v>94238</v>
      </c>
    </row>
    <row r="339" spans="1:6" x14ac:dyDescent="0.25">
      <c r="A339" t="s">
        <v>60</v>
      </c>
      <c r="B339" t="s">
        <v>62</v>
      </c>
      <c r="C339">
        <v>0</v>
      </c>
      <c r="D339">
        <v>2</v>
      </c>
      <c r="E339">
        <v>2</v>
      </c>
      <c r="F339">
        <v>15572</v>
      </c>
    </row>
    <row r="340" spans="1:6" x14ac:dyDescent="0.25">
      <c r="A340" t="s">
        <v>60</v>
      </c>
      <c r="B340" t="s">
        <v>62</v>
      </c>
      <c r="C340">
        <v>0</v>
      </c>
      <c r="D340">
        <v>2</v>
      </c>
      <c r="E340">
        <v>3</v>
      </c>
      <c r="F340">
        <v>5717</v>
      </c>
    </row>
    <row r="341" spans="1:6" x14ac:dyDescent="0.25">
      <c r="A341" t="s">
        <v>60</v>
      </c>
      <c r="B341" t="s">
        <v>62</v>
      </c>
      <c r="C341">
        <v>0</v>
      </c>
      <c r="D341">
        <v>2</v>
      </c>
      <c r="E341">
        <v>4</v>
      </c>
      <c r="F341">
        <v>1118</v>
      </c>
    </row>
    <row r="342" spans="1:6" x14ac:dyDescent="0.25">
      <c r="A342" t="s">
        <v>60</v>
      </c>
      <c r="B342" t="s">
        <v>62</v>
      </c>
      <c r="C342">
        <v>0</v>
      </c>
      <c r="D342">
        <v>2</v>
      </c>
      <c r="E342">
        <v>5</v>
      </c>
      <c r="F342">
        <v>895</v>
      </c>
    </row>
    <row r="343" spans="1:6" x14ac:dyDescent="0.25">
      <c r="A343" t="s">
        <v>60</v>
      </c>
      <c r="B343" t="s">
        <v>62</v>
      </c>
      <c r="C343">
        <v>0</v>
      </c>
      <c r="D343">
        <v>2</v>
      </c>
      <c r="E343">
        <v>6</v>
      </c>
      <c r="F343">
        <v>5273</v>
      </c>
    </row>
    <row r="344" spans="1:6" x14ac:dyDescent="0.25">
      <c r="A344" t="s">
        <v>60</v>
      </c>
      <c r="B344" t="s">
        <v>62</v>
      </c>
      <c r="C344">
        <v>1</v>
      </c>
      <c r="D344">
        <v>0</v>
      </c>
      <c r="E344">
        <v>1</v>
      </c>
      <c r="F344">
        <v>343076</v>
      </c>
    </row>
    <row r="345" spans="1:6" x14ac:dyDescent="0.25">
      <c r="A345" t="s">
        <v>60</v>
      </c>
      <c r="B345" t="s">
        <v>62</v>
      </c>
      <c r="C345">
        <v>1</v>
      </c>
      <c r="D345">
        <v>0</v>
      </c>
      <c r="E345">
        <v>2</v>
      </c>
      <c r="F345">
        <v>119775</v>
      </c>
    </row>
    <row r="346" spans="1:6" x14ac:dyDescent="0.25">
      <c r="A346" t="s">
        <v>60</v>
      </c>
      <c r="B346" t="s">
        <v>62</v>
      </c>
      <c r="C346">
        <v>1</v>
      </c>
      <c r="D346">
        <v>0</v>
      </c>
      <c r="E346">
        <v>3</v>
      </c>
      <c r="F346">
        <v>4376</v>
      </c>
    </row>
    <row r="347" spans="1:6" x14ac:dyDescent="0.25">
      <c r="A347" t="s">
        <v>60</v>
      </c>
      <c r="B347" t="s">
        <v>62</v>
      </c>
      <c r="C347">
        <v>1</v>
      </c>
      <c r="D347">
        <v>0</v>
      </c>
      <c r="E347">
        <v>4</v>
      </c>
      <c r="F347">
        <v>24279</v>
      </c>
    </row>
    <row r="348" spans="1:6" x14ac:dyDescent="0.25">
      <c r="A348" t="s">
        <v>60</v>
      </c>
      <c r="B348" t="s">
        <v>62</v>
      </c>
      <c r="C348">
        <v>1</v>
      </c>
      <c r="D348">
        <v>0</v>
      </c>
      <c r="E348">
        <v>5</v>
      </c>
      <c r="F348">
        <v>684</v>
      </c>
    </row>
    <row r="349" spans="1:6" x14ac:dyDescent="0.25">
      <c r="A349" t="s">
        <v>60</v>
      </c>
      <c r="B349" t="s">
        <v>62</v>
      </c>
      <c r="C349">
        <v>1</v>
      </c>
      <c r="D349">
        <v>0</v>
      </c>
      <c r="E349">
        <v>6</v>
      </c>
      <c r="F349">
        <v>16364</v>
      </c>
    </row>
    <row r="350" spans="1:6" x14ac:dyDescent="0.25">
      <c r="A350" t="s">
        <v>60</v>
      </c>
      <c r="B350" t="s">
        <v>62</v>
      </c>
      <c r="C350">
        <v>1</v>
      </c>
      <c r="D350">
        <v>1</v>
      </c>
      <c r="E350">
        <v>1</v>
      </c>
      <c r="F350">
        <v>294912</v>
      </c>
    </row>
    <row r="351" spans="1:6" x14ac:dyDescent="0.25">
      <c r="A351" t="s">
        <v>60</v>
      </c>
      <c r="B351" t="s">
        <v>62</v>
      </c>
      <c r="C351">
        <v>1</v>
      </c>
      <c r="D351">
        <v>1</v>
      </c>
      <c r="E351">
        <v>2</v>
      </c>
      <c r="F351">
        <v>112211</v>
      </c>
    </row>
    <row r="352" spans="1:6" x14ac:dyDescent="0.25">
      <c r="A352" t="s">
        <v>60</v>
      </c>
      <c r="B352" t="s">
        <v>62</v>
      </c>
      <c r="C352">
        <v>1</v>
      </c>
      <c r="D352">
        <v>1</v>
      </c>
      <c r="E352">
        <v>3</v>
      </c>
      <c r="F352">
        <v>1524</v>
      </c>
    </row>
    <row r="353" spans="1:6" x14ac:dyDescent="0.25">
      <c r="A353" t="s">
        <v>60</v>
      </c>
      <c r="B353" t="s">
        <v>62</v>
      </c>
      <c r="C353">
        <v>1</v>
      </c>
      <c r="D353">
        <v>1</v>
      </c>
      <c r="E353">
        <v>4</v>
      </c>
      <c r="F353">
        <v>23811</v>
      </c>
    </row>
    <row r="354" spans="1:6" x14ac:dyDescent="0.25">
      <c r="A354" t="s">
        <v>60</v>
      </c>
      <c r="B354" t="s">
        <v>62</v>
      </c>
      <c r="C354">
        <v>1</v>
      </c>
      <c r="D354">
        <v>1</v>
      </c>
      <c r="E354">
        <v>5</v>
      </c>
      <c r="F354">
        <v>214</v>
      </c>
    </row>
    <row r="355" spans="1:6" x14ac:dyDescent="0.25">
      <c r="A355" t="s">
        <v>60</v>
      </c>
      <c r="B355" t="s">
        <v>62</v>
      </c>
      <c r="C355">
        <v>1</v>
      </c>
      <c r="D355">
        <v>1</v>
      </c>
      <c r="E355">
        <v>6</v>
      </c>
      <c r="F355">
        <v>13747</v>
      </c>
    </row>
    <row r="356" spans="1:6" x14ac:dyDescent="0.25">
      <c r="A356" t="s">
        <v>60</v>
      </c>
      <c r="B356" t="s">
        <v>62</v>
      </c>
      <c r="C356">
        <v>1</v>
      </c>
      <c r="D356">
        <v>2</v>
      </c>
      <c r="E356">
        <v>1</v>
      </c>
      <c r="F356">
        <v>48164</v>
      </c>
    </row>
    <row r="357" spans="1:6" x14ac:dyDescent="0.25">
      <c r="A357" t="s">
        <v>60</v>
      </c>
      <c r="B357" t="s">
        <v>62</v>
      </c>
      <c r="C357">
        <v>1</v>
      </c>
      <c r="D357">
        <v>2</v>
      </c>
      <c r="E357">
        <v>2</v>
      </c>
      <c r="F357">
        <v>7564</v>
      </c>
    </row>
    <row r="358" spans="1:6" x14ac:dyDescent="0.25">
      <c r="A358" t="s">
        <v>60</v>
      </c>
      <c r="B358" t="s">
        <v>62</v>
      </c>
      <c r="C358">
        <v>1</v>
      </c>
      <c r="D358">
        <v>2</v>
      </c>
      <c r="E358">
        <v>3</v>
      </c>
      <c r="F358">
        <v>2852</v>
      </c>
    </row>
    <row r="359" spans="1:6" x14ac:dyDescent="0.25">
      <c r="A359" t="s">
        <v>60</v>
      </c>
      <c r="B359" t="s">
        <v>62</v>
      </c>
      <c r="C359">
        <v>1</v>
      </c>
      <c r="D359">
        <v>2</v>
      </c>
      <c r="E359">
        <v>4</v>
      </c>
      <c r="F359">
        <v>468</v>
      </c>
    </row>
    <row r="360" spans="1:6" x14ac:dyDescent="0.25">
      <c r="A360" t="s">
        <v>60</v>
      </c>
      <c r="B360" t="s">
        <v>62</v>
      </c>
      <c r="C360">
        <v>1</v>
      </c>
      <c r="D360">
        <v>2</v>
      </c>
      <c r="E360">
        <v>5</v>
      </c>
      <c r="F360">
        <v>470</v>
      </c>
    </row>
    <row r="361" spans="1:6" x14ac:dyDescent="0.25">
      <c r="A361" t="s">
        <v>60</v>
      </c>
      <c r="B361" t="s">
        <v>62</v>
      </c>
      <c r="C361">
        <v>1</v>
      </c>
      <c r="D361">
        <v>2</v>
      </c>
      <c r="E361">
        <v>6</v>
      </c>
      <c r="F361">
        <v>2617</v>
      </c>
    </row>
    <row r="362" spans="1:6" x14ac:dyDescent="0.25">
      <c r="A362" t="s">
        <v>60</v>
      </c>
      <c r="B362" t="s">
        <v>62</v>
      </c>
      <c r="C362">
        <v>2</v>
      </c>
      <c r="D362">
        <v>0</v>
      </c>
      <c r="E362">
        <v>1</v>
      </c>
      <c r="F362">
        <v>360912</v>
      </c>
    </row>
    <row r="363" spans="1:6" x14ac:dyDescent="0.25">
      <c r="A363" t="s">
        <v>60</v>
      </c>
      <c r="B363" t="s">
        <v>62</v>
      </c>
      <c r="C363">
        <v>2</v>
      </c>
      <c r="D363">
        <v>0</v>
      </c>
      <c r="E363">
        <v>2</v>
      </c>
      <c r="F363">
        <v>134603</v>
      </c>
    </row>
    <row r="364" spans="1:6" x14ac:dyDescent="0.25">
      <c r="A364" t="s">
        <v>60</v>
      </c>
      <c r="B364" t="s">
        <v>62</v>
      </c>
      <c r="C364">
        <v>2</v>
      </c>
      <c r="D364">
        <v>0</v>
      </c>
      <c r="E364">
        <v>3</v>
      </c>
      <c r="F364">
        <v>4452</v>
      </c>
    </row>
    <row r="365" spans="1:6" x14ac:dyDescent="0.25">
      <c r="A365" t="s">
        <v>60</v>
      </c>
      <c r="B365" t="s">
        <v>62</v>
      </c>
      <c r="C365">
        <v>2</v>
      </c>
      <c r="D365">
        <v>0</v>
      </c>
      <c r="E365">
        <v>4</v>
      </c>
      <c r="F365">
        <v>25806</v>
      </c>
    </row>
    <row r="366" spans="1:6" x14ac:dyDescent="0.25">
      <c r="A366" t="s">
        <v>60</v>
      </c>
      <c r="B366" t="s">
        <v>62</v>
      </c>
      <c r="C366">
        <v>2</v>
      </c>
      <c r="D366">
        <v>0</v>
      </c>
      <c r="E366">
        <v>5</v>
      </c>
      <c r="F366">
        <v>612</v>
      </c>
    </row>
    <row r="367" spans="1:6" x14ac:dyDescent="0.25">
      <c r="A367" t="s">
        <v>60</v>
      </c>
      <c r="B367" t="s">
        <v>62</v>
      </c>
      <c r="C367">
        <v>2</v>
      </c>
      <c r="D367">
        <v>0</v>
      </c>
      <c r="E367">
        <v>6</v>
      </c>
      <c r="F367">
        <v>16978</v>
      </c>
    </row>
    <row r="368" spans="1:6" x14ac:dyDescent="0.25">
      <c r="A368" t="s">
        <v>60</v>
      </c>
      <c r="B368" t="s">
        <v>62</v>
      </c>
      <c r="C368">
        <v>2</v>
      </c>
      <c r="D368">
        <v>1</v>
      </c>
      <c r="E368">
        <v>1</v>
      </c>
      <c r="F368">
        <v>314838</v>
      </c>
    </row>
    <row r="369" spans="1:6" x14ac:dyDescent="0.25">
      <c r="A369" t="s">
        <v>60</v>
      </c>
      <c r="B369" t="s">
        <v>62</v>
      </c>
      <c r="C369">
        <v>2</v>
      </c>
      <c r="D369">
        <v>1</v>
      </c>
      <c r="E369">
        <v>2</v>
      </c>
      <c r="F369">
        <v>126595</v>
      </c>
    </row>
    <row r="370" spans="1:6" x14ac:dyDescent="0.25">
      <c r="A370" t="s">
        <v>60</v>
      </c>
      <c r="B370" t="s">
        <v>62</v>
      </c>
      <c r="C370">
        <v>2</v>
      </c>
      <c r="D370">
        <v>1</v>
      </c>
      <c r="E370">
        <v>3</v>
      </c>
      <c r="F370">
        <v>1587</v>
      </c>
    </row>
    <row r="371" spans="1:6" x14ac:dyDescent="0.25">
      <c r="A371" t="s">
        <v>60</v>
      </c>
      <c r="B371" t="s">
        <v>62</v>
      </c>
      <c r="C371">
        <v>2</v>
      </c>
      <c r="D371">
        <v>1</v>
      </c>
      <c r="E371">
        <v>4</v>
      </c>
      <c r="F371">
        <v>25156</v>
      </c>
    </row>
    <row r="372" spans="1:6" x14ac:dyDescent="0.25">
      <c r="A372" t="s">
        <v>60</v>
      </c>
      <c r="B372" t="s">
        <v>62</v>
      </c>
      <c r="C372">
        <v>2</v>
      </c>
      <c r="D372">
        <v>1</v>
      </c>
      <c r="E372">
        <v>5</v>
      </c>
      <c r="F372">
        <v>187</v>
      </c>
    </row>
    <row r="373" spans="1:6" x14ac:dyDescent="0.25">
      <c r="A373" t="s">
        <v>60</v>
      </c>
      <c r="B373" t="s">
        <v>62</v>
      </c>
      <c r="C373">
        <v>2</v>
      </c>
      <c r="D373">
        <v>1</v>
      </c>
      <c r="E373">
        <v>6</v>
      </c>
      <c r="F373">
        <v>14322</v>
      </c>
    </row>
    <row r="374" spans="1:6" x14ac:dyDescent="0.25">
      <c r="A374" t="s">
        <v>60</v>
      </c>
      <c r="B374" t="s">
        <v>62</v>
      </c>
      <c r="C374">
        <v>2</v>
      </c>
      <c r="D374">
        <v>2</v>
      </c>
      <c r="E374">
        <v>1</v>
      </c>
      <c r="F374">
        <v>46074</v>
      </c>
    </row>
    <row r="375" spans="1:6" x14ac:dyDescent="0.25">
      <c r="A375" t="s">
        <v>60</v>
      </c>
      <c r="B375" t="s">
        <v>62</v>
      </c>
      <c r="C375">
        <v>2</v>
      </c>
      <c r="D375">
        <v>2</v>
      </c>
      <c r="E375">
        <v>2</v>
      </c>
      <c r="F375">
        <v>8008</v>
      </c>
    </row>
    <row r="376" spans="1:6" x14ac:dyDescent="0.25">
      <c r="A376" t="s">
        <v>60</v>
      </c>
      <c r="B376" t="s">
        <v>62</v>
      </c>
      <c r="C376">
        <v>2</v>
      </c>
      <c r="D376">
        <v>2</v>
      </c>
      <c r="E376">
        <v>3</v>
      </c>
      <c r="F376">
        <v>2865</v>
      </c>
    </row>
    <row r="377" spans="1:6" x14ac:dyDescent="0.25">
      <c r="A377" t="s">
        <v>60</v>
      </c>
      <c r="B377" t="s">
        <v>62</v>
      </c>
      <c r="C377">
        <v>2</v>
      </c>
      <c r="D377">
        <v>2</v>
      </c>
      <c r="E377">
        <v>4</v>
      </c>
      <c r="F377">
        <v>650</v>
      </c>
    </row>
    <row r="378" spans="1:6" x14ac:dyDescent="0.25">
      <c r="A378" t="s">
        <v>60</v>
      </c>
      <c r="B378" t="s">
        <v>62</v>
      </c>
      <c r="C378">
        <v>2</v>
      </c>
      <c r="D378">
        <v>2</v>
      </c>
      <c r="E378">
        <v>5</v>
      </c>
      <c r="F378">
        <v>425</v>
      </c>
    </row>
    <row r="379" spans="1:6" x14ac:dyDescent="0.25">
      <c r="A379" t="s">
        <v>60</v>
      </c>
      <c r="B379" t="s">
        <v>62</v>
      </c>
      <c r="C379">
        <v>2</v>
      </c>
      <c r="D379">
        <v>2</v>
      </c>
      <c r="E379">
        <v>6</v>
      </c>
      <c r="F379">
        <v>2656</v>
      </c>
    </row>
    <row r="380" spans="1:6" x14ac:dyDescent="0.25">
      <c r="A380" t="s">
        <v>64</v>
      </c>
      <c r="B380" t="s">
        <v>66</v>
      </c>
      <c r="C380">
        <v>0</v>
      </c>
      <c r="D380">
        <v>0</v>
      </c>
      <c r="E380">
        <v>1</v>
      </c>
      <c r="F380">
        <v>17857063</v>
      </c>
    </row>
    <row r="381" spans="1:6" x14ac:dyDescent="0.25">
      <c r="A381" t="s">
        <v>64</v>
      </c>
      <c r="B381" t="s">
        <v>66</v>
      </c>
      <c r="C381">
        <v>0</v>
      </c>
      <c r="D381">
        <v>0</v>
      </c>
      <c r="E381">
        <v>2</v>
      </c>
      <c r="F381">
        <v>3949147</v>
      </c>
    </row>
    <row r="382" spans="1:6" x14ac:dyDescent="0.25">
      <c r="A382" t="s">
        <v>64</v>
      </c>
      <c r="B382" t="s">
        <v>66</v>
      </c>
      <c r="C382">
        <v>0</v>
      </c>
      <c r="D382">
        <v>0</v>
      </c>
      <c r="E382">
        <v>3</v>
      </c>
      <c r="F382">
        <v>147839</v>
      </c>
    </row>
    <row r="383" spans="1:6" x14ac:dyDescent="0.25">
      <c r="A383" t="s">
        <v>64</v>
      </c>
      <c r="B383" t="s">
        <v>66</v>
      </c>
      <c r="C383">
        <v>0</v>
      </c>
      <c r="D383">
        <v>0</v>
      </c>
      <c r="E383">
        <v>4</v>
      </c>
      <c r="F383">
        <v>792771</v>
      </c>
    </row>
    <row r="384" spans="1:6" x14ac:dyDescent="0.25">
      <c r="A384" t="s">
        <v>64</v>
      </c>
      <c r="B384" t="s">
        <v>66</v>
      </c>
      <c r="C384">
        <v>0</v>
      </c>
      <c r="D384">
        <v>0</v>
      </c>
      <c r="E384">
        <v>5</v>
      </c>
      <c r="F384">
        <v>31264</v>
      </c>
    </row>
    <row r="385" spans="1:6" x14ac:dyDescent="0.25">
      <c r="A385" t="s">
        <v>64</v>
      </c>
      <c r="B385" t="s">
        <v>66</v>
      </c>
      <c r="C385">
        <v>0</v>
      </c>
      <c r="D385">
        <v>0</v>
      </c>
      <c r="E385">
        <v>6</v>
      </c>
      <c r="F385">
        <v>594131</v>
      </c>
    </row>
    <row r="386" spans="1:6" x14ac:dyDescent="0.25">
      <c r="A386" t="s">
        <v>64</v>
      </c>
      <c r="B386" t="s">
        <v>66</v>
      </c>
      <c r="C386">
        <v>0</v>
      </c>
      <c r="D386">
        <v>1</v>
      </c>
      <c r="E386">
        <v>1</v>
      </c>
      <c r="F386">
        <v>11823687</v>
      </c>
    </row>
    <row r="387" spans="1:6" x14ac:dyDescent="0.25">
      <c r="A387" t="s">
        <v>64</v>
      </c>
      <c r="B387" t="s">
        <v>66</v>
      </c>
      <c r="C387">
        <v>0</v>
      </c>
      <c r="D387">
        <v>1</v>
      </c>
      <c r="E387">
        <v>2</v>
      </c>
      <c r="F387">
        <v>3567665</v>
      </c>
    </row>
    <row r="388" spans="1:6" x14ac:dyDescent="0.25">
      <c r="A388" t="s">
        <v>64</v>
      </c>
      <c r="B388" t="s">
        <v>66</v>
      </c>
      <c r="C388">
        <v>0</v>
      </c>
      <c r="D388">
        <v>1</v>
      </c>
      <c r="E388">
        <v>3</v>
      </c>
      <c r="F388">
        <v>58490</v>
      </c>
    </row>
    <row r="389" spans="1:6" x14ac:dyDescent="0.25">
      <c r="A389" t="s">
        <v>64</v>
      </c>
      <c r="B389" t="s">
        <v>66</v>
      </c>
      <c r="C389">
        <v>0</v>
      </c>
      <c r="D389">
        <v>1</v>
      </c>
      <c r="E389">
        <v>4</v>
      </c>
      <c r="F389">
        <v>757144</v>
      </c>
    </row>
    <row r="390" spans="1:6" x14ac:dyDescent="0.25">
      <c r="A390" t="s">
        <v>64</v>
      </c>
      <c r="B390" t="s">
        <v>66</v>
      </c>
      <c r="C390">
        <v>0</v>
      </c>
      <c r="D390">
        <v>1</v>
      </c>
      <c r="E390">
        <v>5</v>
      </c>
      <c r="F390">
        <v>16391</v>
      </c>
    </row>
    <row r="391" spans="1:6" x14ac:dyDescent="0.25">
      <c r="A391" t="s">
        <v>64</v>
      </c>
      <c r="B391" t="s">
        <v>66</v>
      </c>
      <c r="C391">
        <v>0</v>
      </c>
      <c r="D391">
        <v>1</v>
      </c>
      <c r="E391">
        <v>6</v>
      </c>
      <c r="F391">
        <v>441085</v>
      </c>
    </row>
    <row r="392" spans="1:6" x14ac:dyDescent="0.25">
      <c r="A392" t="s">
        <v>64</v>
      </c>
      <c r="B392" t="s">
        <v>66</v>
      </c>
      <c r="C392">
        <v>0</v>
      </c>
      <c r="D392">
        <v>2</v>
      </c>
      <c r="E392">
        <v>1</v>
      </c>
      <c r="F392">
        <v>6033376</v>
      </c>
    </row>
    <row r="393" spans="1:6" x14ac:dyDescent="0.25">
      <c r="A393" t="s">
        <v>64</v>
      </c>
      <c r="B393" t="s">
        <v>66</v>
      </c>
      <c r="C393">
        <v>0</v>
      </c>
      <c r="D393">
        <v>2</v>
      </c>
      <c r="E393">
        <v>2</v>
      </c>
      <c r="F393">
        <v>381482</v>
      </c>
    </row>
    <row r="394" spans="1:6" x14ac:dyDescent="0.25">
      <c r="A394" t="s">
        <v>64</v>
      </c>
      <c r="B394" t="s">
        <v>66</v>
      </c>
      <c r="C394">
        <v>0</v>
      </c>
      <c r="D394">
        <v>2</v>
      </c>
      <c r="E394">
        <v>3</v>
      </c>
      <c r="F394">
        <v>89349</v>
      </c>
    </row>
    <row r="395" spans="1:6" x14ac:dyDescent="0.25">
      <c r="A395" t="s">
        <v>64</v>
      </c>
      <c r="B395" t="s">
        <v>66</v>
      </c>
      <c r="C395">
        <v>0</v>
      </c>
      <c r="D395">
        <v>2</v>
      </c>
      <c r="E395">
        <v>4</v>
      </c>
      <c r="F395">
        <v>35627</v>
      </c>
    </row>
    <row r="396" spans="1:6" x14ac:dyDescent="0.25">
      <c r="A396" t="s">
        <v>64</v>
      </c>
      <c r="B396" t="s">
        <v>66</v>
      </c>
      <c r="C396">
        <v>0</v>
      </c>
      <c r="D396">
        <v>2</v>
      </c>
      <c r="E396">
        <v>5</v>
      </c>
      <c r="F396">
        <v>14873</v>
      </c>
    </row>
    <row r="397" spans="1:6" x14ac:dyDescent="0.25">
      <c r="A397" t="s">
        <v>64</v>
      </c>
      <c r="B397" t="s">
        <v>66</v>
      </c>
      <c r="C397">
        <v>0</v>
      </c>
      <c r="D397">
        <v>2</v>
      </c>
      <c r="E397">
        <v>6</v>
      </c>
      <c r="F397">
        <v>153046</v>
      </c>
    </row>
    <row r="398" spans="1:6" x14ac:dyDescent="0.25">
      <c r="A398" t="s">
        <v>64</v>
      </c>
      <c r="B398" t="s">
        <v>66</v>
      </c>
      <c r="C398">
        <v>1</v>
      </c>
      <c r="D398">
        <v>0</v>
      </c>
      <c r="E398">
        <v>1</v>
      </c>
      <c r="F398">
        <v>8823190</v>
      </c>
    </row>
    <row r="399" spans="1:6" x14ac:dyDescent="0.25">
      <c r="A399" t="s">
        <v>64</v>
      </c>
      <c r="B399" t="s">
        <v>66</v>
      </c>
      <c r="C399">
        <v>1</v>
      </c>
      <c r="D399">
        <v>0</v>
      </c>
      <c r="E399">
        <v>2</v>
      </c>
      <c r="F399">
        <v>1910512</v>
      </c>
    </row>
    <row r="400" spans="1:6" x14ac:dyDescent="0.25">
      <c r="A400" t="s">
        <v>64</v>
      </c>
      <c r="B400" t="s">
        <v>66</v>
      </c>
      <c r="C400">
        <v>1</v>
      </c>
      <c r="D400">
        <v>0</v>
      </c>
      <c r="E400">
        <v>3</v>
      </c>
      <c r="F400">
        <v>77923</v>
      </c>
    </row>
    <row r="401" spans="1:6" x14ac:dyDescent="0.25">
      <c r="A401" t="s">
        <v>64</v>
      </c>
      <c r="B401" t="s">
        <v>66</v>
      </c>
      <c r="C401">
        <v>1</v>
      </c>
      <c r="D401">
        <v>0</v>
      </c>
      <c r="E401">
        <v>4</v>
      </c>
      <c r="F401">
        <v>369689</v>
      </c>
    </row>
    <row r="402" spans="1:6" x14ac:dyDescent="0.25">
      <c r="A402" t="s">
        <v>64</v>
      </c>
      <c r="B402" t="s">
        <v>66</v>
      </c>
      <c r="C402">
        <v>1</v>
      </c>
      <c r="D402">
        <v>0</v>
      </c>
      <c r="E402">
        <v>5</v>
      </c>
      <c r="F402">
        <v>15838</v>
      </c>
    </row>
    <row r="403" spans="1:6" x14ac:dyDescent="0.25">
      <c r="A403" t="s">
        <v>64</v>
      </c>
      <c r="B403" t="s">
        <v>66</v>
      </c>
      <c r="C403">
        <v>1</v>
      </c>
      <c r="D403">
        <v>0</v>
      </c>
      <c r="E403">
        <v>6</v>
      </c>
      <c r="F403">
        <v>294299</v>
      </c>
    </row>
    <row r="404" spans="1:6" x14ac:dyDescent="0.25">
      <c r="A404" t="s">
        <v>64</v>
      </c>
      <c r="B404" t="s">
        <v>66</v>
      </c>
      <c r="C404">
        <v>1</v>
      </c>
      <c r="D404">
        <v>1</v>
      </c>
      <c r="E404">
        <v>1</v>
      </c>
      <c r="F404">
        <v>5820458</v>
      </c>
    </row>
    <row r="405" spans="1:6" x14ac:dyDescent="0.25">
      <c r="A405" t="s">
        <v>64</v>
      </c>
      <c r="B405" t="s">
        <v>66</v>
      </c>
      <c r="C405">
        <v>1</v>
      </c>
      <c r="D405">
        <v>1</v>
      </c>
      <c r="E405">
        <v>2</v>
      </c>
      <c r="F405">
        <v>1719297</v>
      </c>
    </row>
    <row r="406" spans="1:6" x14ac:dyDescent="0.25">
      <c r="A406" t="s">
        <v>64</v>
      </c>
      <c r="B406" t="s">
        <v>66</v>
      </c>
      <c r="C406">
        <v>1</v>
      </c>
      <c r="D406">
        <v>1</v>
      </c>
      <c r="E406">
        <v>3</v>
      </c>
      <c r="F406">
        <v>29285</v>
      </c>
    </row>
    <row r="407" spans="1:6" x14ac:dyDescent="0.25">
      <c r="A407" t="s">
        <v>64</v>
      </c>
      <c r="B407" t="s">
        <v>66</v>
      </c>
      <c r="C407">
        <v>1</v>
      </c>
      <c r="D407">
        <v>1</v>
      </c>
      <c r="E407">
        <v>4</v>
      </c>
      <c r="F407">
        <v>352051</v>
      </c>
    </row>
    <row r="408" spans="1:6" x14ac:dyDescent="0.25">
      <c r="A408" t="s">
        <v>64</v>
      </c>
      <c r="B408" t="s">
        <v>66</v>
      </c>
      <c r="C408">
        <v>1</v>
      </c>
      <c r="D408">
        <v>1</v>
      </c>
      <c r="E408">
        <v>5</v>
      </c>
      <c r="F408">
        <v>8262</v>
      </c>
    </row>
    <row r="409" spans="1:6" x14ac:dyDescent="0.25">
      <c r="A409" t="s">
        <v>64</v>
      </c>
      <c r="B409" t="s">
        <v>66</v>
      </c>
      <c r="C409">
        <v>1</v>
      </c>
      <c r="D409">
        <v>1</v>
      </c>
      <c r="E409">
        <v>6</v>
      </c>
      <c r="F409">
        <v>217299</v>
      </c>
    </row>
    <row r="410" spans="1:6" x14ac:dyDescent="0.25">
      <c r="A410" t="s">
        <v>64</v>
      </c>
      <c r="B410" t="s">
        <v>66</v>
      </c>
      <c r="C410">
        <v>1</v>
      </c>
      <c r="D410">
        <v>2</v>
      </c>
      <c r="E410">
        <v>1</v>
      </c>
      <c r="F410">
        <v>3002732</v>
      </c>
    </row>
    <row r="411" spans="1:6" x14ac:dyDescent="0.25">
      <c r="A411" t="s">
        <v>64</v>
      </c>
      <c r="B411" t="s">
        <v>66</v>
      </c>
      <c r="C411">
        <v>1</v>
      </c>
      <c r="D411">
        <v>2</v>
      </c>
      <c r="E411">
        <v>2</v>
      </c>
      <c r="F411">
        <v>191215</v>
      </c>
    </row>
    <row r="412" spans="1:6" x14ac:dyDescent="0.25">
      <c r="A412" t="s">
        <v>64</v>
      </c>
      <c r="B412" t="s">
        <v>66</v>
      </c>
      <c r="C412">
        <v>1</v>
      </c>
      <c r="D412">
        <v>2</v>
      </c>
      <c r="E412">
        <v>3</v>
      </c>
      <c r="F412">
        <v>48638</v>
      </c>
    </row>
    <row r="413" spans="1:6" x14ac:dyDescent="0.25">
      <c r="A413" t="s">
        <v>64</v>
      </c>
      <c r="B413" t="s">
        <v>66</v>
      </c>
      <c r="C413">
        <v>1</v>
      </c>
      <c r="D413">
        <v>2</v>
      </c>
      <c r="E413">
        <v>4</v>
      </c>
      <c r="F413">
        <v>17638</v>
      </c>
    </row>
    <row r="414" spans="1:6" x14ac:dyDescent="0.25">
      <c r="A414" t="s">
        <v>64</v>
      </c>
      <c r="B414" t="s">
        <v>66</v>
      </c>
      <c r="C414">
        <v>1</v>
      </c>
      <c r="D414">
        <v>2</v>
      </c>
      <c r="E414">
        <v>5</v>
      </c>
      <c r="F414">
        <v>7576</v>
      </c>
    </row>
    <row r="415" spans="1:6" x14ac:dyDescent="0.25">
      <c r="A415" t="s">
        <v>64</v>
      </c>
      <c r="B415" t="s">
        <v>66</v>
      </c>
      <c r="C415">
        <v>1</v>
      </c>
      <c r="D415">
        <v>2</v>
      </c>
      <c r="E415">
        <v>6</v>
      </c>
      <c r="F415">
        <v>77000</v>
      </c>
    </row>
    <row r="416" spans="1:6" x14ac:dyDescent="0.25">
      <c r="A416" t="s">
        <v>64</v>
      </c>
      <c r="B416" t="s">
        <v>66</v>
      </c>
      <c r="C416">
        <v>2</v>
      </c>
      <c r="D416">
        <v>0</v>
      </c>
      <c r="E416">
        <v>1</v>
      </c>
      <c r="F416">
        <v>9033873</v>
      </c>
    </row>
    <row r="417" spans="1:6" x14ac:dyDescent="0.25">
      <c r="A417" t="s">
        <v>64</v>
      </c>
      <c r="B417" t="s">
        <v>66</v>
      </c>
      <c r="C417">
        <v>2</v>
      </c>
      <c r="D417">
        <v>0</v>
      </c>
      <c r="E417">
        <v>2</v>
      </c>
      <c r="F417">
        <v>2038635</v>
      </c>
    </row>
    <row r="418" spans="1:6" x14ac:dyDescent="0.25">
      <c r="A418" t="s">
        <v>64</v>
      </c>
      <c r="B418" t="s">
        <v>66</v>
      </c>
      <c r="C418">
        <v>2</v>
      </c>
      <c r="D418">
        <v>0</v>
      </c>
      <c r="E418">
        <v>3</v>
      </c>
      <c r="F418">
        <v>69916</v>
      </c>
    </row>
    <row r="419" spans="1:6" x14ac:dyDescent="0.25">
      <c r="A419" t="s">
        <v>64</v>
      </c>
      <c r="B419" t="s">
        <v>66</v>
      </c>
      <c r="C419">
        <v>2</v>
      </c>
      <c r="D419">
        <v>0</v>
      </c>
      <c r="E419">
        <v>4</v>
      </c>
      <c r="F419">
        <v>423082</v>
      </c>
    </row>
    <row r="420" spans="1:6" x14ac:dyDescent="0.25">
      <c r="A420" t="s">
        <v>64</v>
      </c>
      <c r="B420" t="s">
        <v>66</v>
      </c>
      <c r="C420">
        <v>2</v>
      </c>
      <c r="D420">
        <v>0</v>
      </c>
      <c r="E420">
        <v>5</v>
      </c>
      <c r="F420">
        <v>15426</v>
      </c>
    </row>
    <row r="421" spans="1:6" x14ac:dyDescent="0.25">
      <c r="A421" t="s">
        <v>64</v>
      </c>
      <c r="B421" t="s">
        <v>66</v>
      </c>
      <c r="C421">
        <v>2</v>
      </c>
      <c r="D421">
        <v>0</v>
      </c>
      <c r="E421">
        <v>6</v>
      </c>
      <c r="F421">
        <v>299832</v>
      </c>
    </row>
    <row r="422" spans="1:6" x14ac:dyDescent="0.25">
      <c r="A422" t="s">
        <v>64</v>
      </c>
      <c r="B422" t="s">
        <v>66</v>
      </c>
      <c r="C422">
        <v>2</v>
      </c>
      <c r="D422">
        <v>1</v>
      </c>
      <c r="E422">
        <v>1</v>
      </c>
      <c r="F422">
        <v>6003229</v>
      </c>
    </row>
    <row r="423" spans="1:6" x14ac:dyDescent="0.25">
      <c r="A423" t="s">
        <v>64</v>
      </c>
      <c r="B423" t="s">
        <v>66</v>
      </c>
      <c r="C423">
        <v>2</v>
      </c>
      <c r="D423">
        <v>1</v>
      </c>
      <c r="E423">
        <v>2</v>
      </c>
      <c r="F423">
        <v>1848368</v>
      </c>
    </row>
    <row r="424" spans="1:6" x14ac:dyDescent="0.25">
      <c r="A424" t="s">
        <v>64</v>
      </c>
      <c r="B424" t="s">
        <v>66</v>
      </c>
      <c r="C424">
        <v>2</v>
      </c>
      <c r="D424">
        <v>1</v>
      </c>
      <c r="E424">
        <v>3</v>
      </c>
      <c r="F424">
        <v>29205</v>
      </c>
    </row>
    <row r="425" spans="1:6" x14ac:dyDescent="0.25">
      <c r="A425" t="s">
        <v>64</v>
      </c>
      <c r="B425" t="s">
        <v>66</v>
      </c>
      <c r="C425">
        <v>2</v>
      </c>
      <c r="D425">
        <v>1</v>
      </c>
      <c r="E425">
        <v>4</v>
      </c>
      <c r="F425">
        <v>405093</v>
      </c>
    </row>
    <row r="426" spans="1:6" x14ac:dyDescent="0.25">
      <c r="A426" t="s">
        <v>64</v>
      </c>
      <c r="B426" t="s">
        <v>66</v>
      </c>
      <c r="C426">
        <v>2</v>
      </c>
      <c r="D426">
        <v>1</v>
      </c>
      <c r="E426">
        <v>5</v>
      </c>
      <c r="F426">
        <v>8129</v>
      </c>
    </row>
    <row r="427" spans="1:6" x14ac:dyDescent="0.25">
      <c r="A427" t="s">
        <v>64</v>
      </c>
      <c r="B427" t="s">
        <v>66</v>
      </c>
      <c r="C427">
        <v>2</v>
      </c>
      <c r="D427">
        <v>1</v>
      </c>
      <c r="E427">
        <v>6</v>
      </c>
      <c r="F427">
        <v>223786</v>
      </c>
    </row>
    <row r="428" spans="1:6" x14ac:dyDescent="0.25">
      <c r="A428" t="s">
        <v>64</v>
      </c>
      <c r="B428" t="s">
        <v>66</v>
      </c>
      <c r="C428">
        <v>2</v>
      </c>
      <c r="D428">
        <v>2</v>
      </c>
      <c r="E428">
        <v>1</v>
      </c>
      <c r="F428">
        <v>3030644</v>
      </c>
    </row>
    <row r="429" spans="1:6" x14ac:dyDescent="0.25">
      <c r="A429" t="s">
        <v>64</v>
      </c>
      <c r="B429" t="s">
        <v>66</v>
      </c>
      <c r="C429">
        <v>2</v>
      </c>
      <c r="D429">
        <v>2</v>
      </c>
      <c r="E429">
        <v>2</v>
      </c>
      <c r="F429">
        <v>190267</v>
      </c>
    </row>
    <row r="430" spans="1:6" x14ac:dyDescent="0.25">
      <c r="A430" t="s">
        <v>64</v>
      </c>
      <c r="B430" t="s">
        <v>66</v>
      </c>
      <c r="C430">
        <v>2</v>
      </c>
      <c r="D430">
        <v>2</v>
      </c>
      <c r="E430">
        <v>3</v>
      </c>
      <c r="F430">
        <v>40711</v>
      </c>
    </row>
    <row r="431" spans="1:6" x14ac:dyDescent="0.25">
      <c r="A431" t="s">
        <v>64</v>
      </c>
      <c r="B431" t="s">
        <v>66</v>
      </c>
      <c r="C431">
        <v>2</v>
      </c>
      <c r="D431">
        <v>2</v>
      </c>
      <c r="E431">
        <v>4</v>
      </c>
      <c r="F431">
        <v>17989</v>
      </c>
    </row>
    <row r="432" spans="1:6" x14ac:dyDescent="0.25">
      <c r="A432" t="s">
        <v>64</v>
      </c>
      <c r="B432" t="s">
        <v>66</v>
      </c>
      <c r="C432">
        <v>2</v>
      </c>
      <c r="D432">
        <v>2</v>
      </c>
      <c r="E432">
        <v>5</v>
      </c>
      <c r="F432">
        <v>7297</v>
      </c>
    </row>
    <row r="433" spans="1:6" x14ac:dyDescent="0.25">
      <c r="A433" t="s">
        <v>64</v>
      </c>
      <c r="B433" t="s">
        <v>66</v>
      </c>
      <c r="C433">
        <v>2</v>
      </c>
      <c r="D433">
        <v>2</v>
      </c>
      <c r="E433">
        <v>6</v>
      </c>
      <c r="F433">
        <v>76046</v>
      </c>
    </row>
    <row r="434" spans="1:6" x14ac:dyDescent="0.25">
      <c r="A434" t="s">
        <v>67</v>
      </c>
      <c r="B434" t="s">
        <v>69</v>
      </c>
      <c r="C434">
        <v>0</v>
      </c>
      <c r="D434">
        <v>0</v>
      </c>
      <c r="E434">
        <v>1</v>
      </c>
      <c r="F434">
        <v>6519858</v>
      </c>
    </row>
    <row r="435" spans="1:6" x14ac:dyDescent="0.25">
      <c r="A435" t="s">
        <v>67</v>
      </c>
      <c r="B435" t="s">
        <v>69</v>
      </c>
      <c r="C435">
        <v>0</v>
      </c>
      <c r="D435">
        <v>0</v>
      </c>
      <c r="E435">
        <v>2</v>
      </c>
      <c r="F435">
        <v>3703855</v>
      </c>
    </row>
    <row r="436" spans="1:6" x14ac:dyDescent="0.25">
      <c r="A436" t="s">
        <v>67</v>
      </c>
      <c r="B436" t="s">
        <v>69</v>
      </c>
      <c r="C436">
        <v>0</v>
      </c>
      <c r="D436">
        <v>0</v>
      </c>
      <c r="E436">
        <v>3</v>
      </c>
      <c r="F436">
        <v>74328</v>
      </c>
    </row>
    <row r="437" spans="1:6" x14ac:dyDescent="0.25">
      <c r="A437" t="s">
        <v>67</v>
      </c>
      <c r="B437" t="s">
        <v>69</v>
      </c>
      <c r="C437">
        <v>0</v>
      </c>
      <c r="D437">
        <v>0</v>
      </c>
      <c r="E437">
        <v>4</v>
      </c>
      <c r="F437">
        <v>579935</v>
      </c>
    </row>
    <row r="438" spans="1:6" x14ac:dyDescent="0.25">
      <c r="A438" t="s">
        <v>67</v>
      </c>
      <c r="B438" t="s">
        <v>69</v>
      </c>
      <c r="C438">
        <v>0</v>
      </c>
      <c r="D438">
        <v>0</v>
      </c>
      <c r="E438">
        <v>5</v>
      </c>
      <c r="F438">
        <v>15724</v>
      </c>
    </row>
    <row r="439" spans="1:6" x14ac:dyDescent="0.25">
      <c r="A439" t="s">
        <v>67</v>
      </c>
      <c r="B439" t="s">
        <v>69</v>
      </c>
      <c r="C439">
        <v>0</v>
      </c>
      <c r="D439">
        <v>0</v>
      </c>
      <c r="E439">
        <v>6</v>
      </c>
      <c r="F439">
        <v>287178</v>
      </c>
    </row>
    <row r="440" spans="1:6" x14ac:dyDescent="0.25">
      <c r="A440" t="s">
        <v>67</v>
      </c>
      <c r="B440" t="s">
        <v>69</v>
      </c>
      <c r="C440">
        <v>0</v>
      </c>
      <c r="D440">
        <v>1</v>
      </c>
      <c r="E440">
        <v>1</v>
      </c>
      <c r="F440">
        <v>5459978</v>
      </c>
    </row>
    <row r="441" spans="1:6" x14ac:dyDescent="0.25">
      <c r="A441" t="s">
        <v>67</v>
      </c>
      <c r="B441" t="s">
        <v>69</v>
      </c>
      <c r="C441">
        <v>0</v>
      </c>
      <c r="D441">
        <v>1</v>
      </c>
      <c r="E441">
        <v>2</v>
      </c>
      <c r="F441">
        <v>3580335</v>
      </c>
    </row>
    <row r="442" spans="1:6" x14ac:dyDescent="0.25">
      <c r="A442" t="s">
        <v>67</v>
      </c>
      <c r="B442" t="s">
        <v>69</v>
      </c>
      <c r="C442">
        <v>0</v>
      </c>
      <c r="D442">
        <v>1</v>
      </c>
      <c r="E442">
        <v>3</v>
      </c>
      <c r="F442">
        <v>25415</v>
      </c>
    </row>
    <row r="443" spans="1:6" x14ac:dyDescent="0.25">
      <c r="A443" t="s">
        <v>67</v>
      </c>
      <c r="B443" t="s">
        <v>69</v>
      </c>
      <c r="C443">
        <v>0</v>
      </c>
      <c r="D443">
        <v>1</v>
      </c>
      <c r="E443">
        <v>4</v>
      </c>
      <c r="F443">
        <v>567103</v>
      </c>
    </row>
    <row r="444" spans="1:6" x14ac:dyDescent="0.25">
      <c r="A444" t="s">
        <v>67</v>
      </c>
      <c r="B444" t="s">
        <v>69</v>
      </c>
      <c r="C444">
        <v>0</v>
      </c>
      <c r="D444">
        <v>1</v>
      </c>
      <c r="E444">
        <v>5</v>
      </c>
      <c r="F444">
        <v>8111</v>
      </c>
    </row>
    <row r="445" spans="1:6" x14ac:dyDescent="0.25">
      <c r="A445" t="s">
        <v>67</v>
      </c>
      <c r="B445" t="s">
        <v>69</v>
      </c>
      <c r="C445">
        <v>0</v>
      </c>
      <c r="D445">
        <v>1</v>
      </c>
      <c r="E445">
        <v>6</v>
      </c>
      <c r="F445">
        <v>241537</v>
      </c>
    </row>
    <row r="446" spans="1:6" x14ac:dyDescent="0.25">
      <c r="A446" t="s">
        <v>67</v>
      </c>
      <c r="B446" t="s">
        <v>69</v>
      </c>
      <c r="C446">
        <v>0</v>
      </c>
      <c r="D446">
        <v>2</v>
      </c>
      <c r="E446">
        <v>1</v>
      </c>
      <c r="F446">
        <v>1059880</v>
      </c>
    </row>
    <row r="447" spans="1:6" x14ac:dyDescent="0.25">
      <c r="A447" t="s">
        <v>67</v>
      </c>
      <c r="B447" t="s">
        <v>69</v>
      </c>
      <c r="C447">
        <v>0</v>
      </c>
      <c r="D447">
        <v>2</v>
      </c>
      <c r="E447">
        <v>2</v>
      </c>
      <c r="F447">
        <v>123520</v>
      </c>
    </row>
    <row r="448" spans="1:6" x14ac:dyDescent="0.25">
      <c r="A448" t="s">
        <v>67</v>
      </c>
      <c r="B448" t="s">
        <v>69</v>
      </c>
      <c r="C448">
        <v>0</v>
      </c>
      <c r="D448">
        <v>2</v>
      </c>
      <c r="E448">
        <v>3</v>
      </c>
      <c r="F448">
        <v>48913</v>
      </c>
    </row>
    <row r="449" spans="1:6" x14ac:dyDescent="0.25">
      <c r="A449" t="s">
        <v>67</v>
      </c>
      <c r="B449" t="s">
        <v>69</v>
      </c>
      <c r="C449">
        <v>0</v>
      </c>
      <c r="D449">
        <v>2</v>
      </c>
      <c r="E449">
        <v>4</v>
      </c>
      <c r="F449">
        <v>12832</v>
      </c>
    </row>
    <row r="450" spans="1:6" x14ac:dyDescent="0.25">
      <c r="A450" t="s">
        <v>67</v>
      </c>
      <c r="B450" t="s">
        <v>69</v>
      </c>
      <c r="C450">
        <v>0</v>
      </c>
      <c r="D450">
        <v>2</v>
      </c>
      <c r="E450">
        <v>5</v>
      </c>
      <c r="F450">
        <v>7613</v>
      </c>
    </row>
    <row r="451" spans="1:6" x14ac:dyDescent="0.25">
      <c r="A451" t="s">
        <v>67</v>
      </c>
      <c r="B451" t="s">
        <v>69</v>
      </c>
      <c r="C451">
        <v>0</v>
      </c>
      <c r="D451">
        <v>2</v>
      </c>
      <c r="E451">
        <v>6</v>
      </c>
      <c r="F451">
        <v>45641</v>
      </c>
    </row>
    <row r="452" spans="1:6" x14ac:dyDescent="0.25">
      <c r="A452" t="s">
        <v>67</v>
      </c>
      <c r="B452" t="s">
        <v>69</v>
      </c>
      <c r="C452">
        <v>1</v>
      </c>
      <c r="D452">
        <v>0</v>
      </c>
      <c r="E452">
        <v>1</v>
      </c>
      <c r="F452">
        <v>3244079</v>
      </c>
    </row>
    <row r="453" spans="1:6" x14ac:dyDescent="0.25">
      <c r="A453" t="s">
        <v>67</v>
      </c>
      <c r="B453" t="s">
        <v>69</v>
      </c>
      <c r="C453">
        <v>1</v>
      </c>
      <c r="D453">
        <v>0</v>
      </c>
      <c r="E453">
        <v>2</v>
      </c>
      <c r="F453">
        <v>1731867</v>
      </c>
    </row>
    <row r="454" spans="1:6" x14ac:dyDescent="0.25">
      <c r="A454" t="s">
        <v>67</v>
      </c>
      <c r="B454" t="s">
        <v>69</v>
      </c>
      <c r="C454">
        <v>1</v>
      </c>
      <c r="D454">
        <v>0</v>
      </c>
      <c r="E454">
        <v>3</v>
      </c>
      <c r="F454">
        <v>40153</v>
      </c>
    </row>
    <row r="455" spans="1:6" x14ac:dyDescent="0.25">
      <c r="A455" t="s">
        <v>67</v>
      </c>
      <c r="B455" t="s">
        <v>69</v>
      </c>
      <c r="C455">
        <v>1</v>
      </c>
      <c r="D455">
        <v>0</v>
      </c>
      <c r="E455">
        <v>4</v>
      </c>
      <c r="F455">
        <v>282209</v>
      </c>
    </row>
    <row r="456" spans="1:6" x14ac:dyDescent="0.25">
      <c r="A456" t="s">
        <v>67</v>
      </c>
      <c r="B456" t="s">
        <v>69</v>
      </c>
      <c r="C456">
        <v>1</v>
      </c>
      <c r="D456">
        <v>0</v>
      </c>
      <c r="E456">
        <v>5</v>
      </c>
      <c r="F456">
        <v>8043</v>
      </c>
    </row>
    <row r="457" spans="1:6" x14ac:dyDescent="0.25">
      <c r="A457" t="s">
        <v>67</v>
      </c>
      <c r="B457" t="s">
        <v>69</v>
      </c>
      <c r="C457">
        <v>1</v>
      </c>
      <c r="D457">
        <v>0</v>
      </c>
      <c r="E457">
        <v>6</v>
      </c>
      <c r="F457">
        <v>138852</v>
      </c>
    </row>
    <row r="458" spans="1:6" x14ac:dyDescent="0.25">
      <c r="A458" t="s">
        <v>67</v>
      </c>
      <c r="B458" t="s">
        <v>69</v>
      </c>
      <c r="C458">
        <v>1</v>
      </c>
      <c r="D458">
        <v>1</v>
      </c>
      <c r="E458">
        <v>1</v>
      </c>
      <c r="F458">
        <v>2693694</v>
      </c>
    </row>
    <row r="459" spans="1:6" x14ac:dyDescent="0.25">
      <c r="A459" t="s">
        <v>67</v>
      </c>
      <c r="B459" t="s">
        <v>69</v>
      </c>
      <c r="C459">
        <v>1</v>
      </c>
      <c r="D459">
        <v>1</v>
      </c>
      <c r="E459">
        <v>2</v>
      </c>
      <c r="F459">
        <v>1670887</v>
      </c>
    </row>
    <row r="460" spans="1:6" x14ac:dyDescent="0.25">
      <c r="A460" t="s">
        <v>67</v>
      </c>
      <c r="B460" t="s">
        <v>69</v>
      </c>
      <c r="C460">
        <v>1</v>
      </c>
      <c r="D460">
        <v>1</v>
      </c>
      <c r="E460">
        <v>3</v>
      </c>
      <c r="F460">
        <v>12410</v>
      </c>
    </row>
    <row r="461" spans="1:6" x14ac:dyDescent="0.25">
      <c r="A461" t="s">
        <v>67</v>
      </c>
      <c r="B461" t="s">
        <v>69</v>
      </c>
      <c r="C461">
        <v>1</v>
      </c>
      <c r="D461">
        <v>1</v>
      </c>
      <c r="E461">
        <v>4</v>
      </c>
      <c r="F461">
        <v>275480</v>
      </c>
    </row>
    <row r="462" spans="1:6" x14ac:dyDescent="0.25">
      <c r="A462" t="s">
        <v>67</v>
      </c>
      <c r="B462" t="s">
        <v>69</v>
      </c>
      <c r="C462">
        <v>1</v>
      </c>
      <c r="D462">
        <v>1</v>
      </c>
      <c r="E462">
        <v>5</v>
      </c>
      <c r="F462">
        <v>3993</v>
      </c>
    </row>
    <row r="463" spans="1:6" x14ac:dyDescent="0.25">
      <c r="A463" t="s">
        <v>67</v>
      </c>
      <c r="B463" t="s">
        <v>69</v>
      </c>
      <c r="C463">
        <v>1</v>
      </c>
      <c r="D463">
        <v>1</v>
      </c>
      <c r="E463">
        <v>6</v>
      </c>
      <c r="F463">
        <v>116156</v>
      </c>
    </row>
    <row r="464" spans="1:6" x14ac:dyDescent="0.25">
      <c r="A464" t="s">
        <v>67</v>
      </c>
      <c r="B464" t="s">
        <v>69</v>
      </c>
      <c r="C464">
        <v>1</v>
      </c>
      <c r="D464">
        <v>2</v>
      </c>
      <c r="E464">
        <v>1</v>
      </c>
      <c r="F464">
        <v>550385</v>
      </c>
    </row>
    <row r="465" spans="1:6" x14ac:dyDescent="0.25">
      <c r="A465" t="s">
        <v>67</v>
      </c>
      <c r="B465" t="s">
        <v>69</v>
      </c>
      <c r="C465">
        <v>1</v>
      </c>
      <c r="D465">
        <v>2</v>
      </c>
      <c r="E465">
        <v>2</v>
      </c>
      <c r="F465">
        <v>60980</v>
      </c>
    </row>
    <row r="466" spans="1:6" x14ac:dyDescent="0.25">
      <c r="A466" t="s">
        <v>67</v>
      </c>
      <c r="B466" t="s">
        <v>69</v>
      </c>
      <c r="C466">
        <v>1</v>
      </c>
      <c r="D466">
        <v>2</v>
      </c>
      <c r="E466">
        <v>3</v>
      </c>
      <c r="F466">
        <v>27743</v>
      </c>
    </row>
    <row r="467" spans="1:6" x14ac:dyDescent="0.25">
      <c r="A467" t="s">
        <v>67</v>
      </c>
      <c r="B467" t="s">
        <v>69</v>
      </c>
      <c r="C467">
        <v>1</v>
      </c>
      <c r="D467">
        <v>2</v>
      </c>
      <c r="E467">
        <v>4</v>
      </c>
      <c r="F467">
        <v>6729</v>
      </c>
    </row>
    <row r="468" spans="1:6" x14ac:dyDescent="0.25">
      <c r="A468" t="s">
        <v>67</v>
      </c>
      <c r="B468" t="s">
        <v>69</v>
      </c>
      <c r="C468">
        <v>1</v>
      </c>
      <c r="D468">
        <v>2</v>
      </c>
      <c r="E468">
        <v>5</v>
      </c>
      <c r="F468">
        <v>4050</v>
      </c>
    </row>
    <row r="469" spans="1:6" x14ac:dyDescent="0.25">
      <c r="A469" t="s">
        <v>67</v>
      </c>
      <c r="B469" t="s">
        <v>69</v>
      </c>
      <c r="C469">
        <v>1</v>
      </c>
      <c r="D469">
        <v>2</v>
      </c>
      <c r="E469">
        <v>6</v>
      </c>
      <c r="F469">
        <v>22696</v>
      </c>
    </row>
    <row r="470" spans="1:6" x14ac:dyDescent="0.25">
      <c r="A470" t="s">
        <v>67</v>
      </c>
      <c r="B470" t="s">
        <v>69</v>
      </c>
      <c r="C470">
        <v>2</v>
      </c>
      <c r="D470">
        <v>0</v>
      </c>
      <c r="E470">
        <v>1</v>
      </c>
      <c r="F470">
        <v>3275779</v>
      </c>
    </row>
    <row r="471" spans="1:6" x14ac:dyDescent="0.25">
      <c r="A471" t="s">
        <v>67</v>
      </c>
      <c r="B471" t="s">
        <v>69</v>
      </c>
      <c r="C471">
        <v>2</v>
      </c>
      <c r="D471">
        <v>0</v>
      </c>
      <c r="E471">
        <v>2</v>
      </c>
      <c r="F471">
        <v>1971988</v>
      </c>
    </row>
    <row r="472" spans="1:6" x14ac:dyDescent="0.25">
      <c r="A472" t="s">
        <v>67</v>
      </c>
      <c r="B472" t="s">
        <v>69</v>
      </c>
      <c r="C472">
        <v>2</v>
      </c>
      <c r="D472">
        <v>0</v>
      </c>
      <c r="E472">
        <v>3</v>
      </c>
      <c r="F472">
        <v>34175</v>
      </c>
    </row>
    <row r="473" spans="1:6" x14ac:dyDescent="0.25">
      <c r="A473" t="s">
        <v>67</v>
      </c>
      <c r="B473" t="s">
        <v>69</v>
      </c>
      <c r="C473">
        <v>2</v>
      </c>
      <c r="D473">
        <v>0</v>
      </c>
      <c r="E473">
        <v>4</v>
      </c>
      <c r="F473">
        <v>297726</v>
      </c>
    </row>
    <row r="474" spans="1:6" x14ac:dyDescent="0.25">
      <c r="A474" t="s">
        <v>67</v>
      </c>
      <c r="B474" t="s">
        <v>69</v>
      </c>
      <c r="C474">
        <v>2</v>
      </c>
      <c r="D474">
        <v>0</v>
      </c>
      <c r="E474">
        <v>5</v>
      </c>
      <c r="F474">
        <v>7681</v>
      </c>
    </row>
    <row r="475" spans="1:6" x14ac:dyDescent="0.25">
      <c r="A475" t="s">
        <v>67</v>
      </c>
      <c r="B475" t="s">
        <v>69</v>
      </c>
      <c r="C475">
        <v>2</v>
      </c>
      <c r="D475">
        <v>0</v>
      </c>
      <c r="E475">
        <v>6</v>
      </c>
      <c r="F475">
        <v>148326</v>
      </c>
    </row>
    <row r="476" spans="1:6" x14ac:dyDescent="0.25">
      <c r="A476" t="s">
        <v>67</v>
      </c>
      <c r="B476" t="s">
        <v>69</v>
      </c>
      <c r="C476">
        <v>2</v>
      </c>
      <c r="D476">
        <v>1</v>
      </c>
      <c r="E476">
        <v>1</v>
      </c>
      <c r="F476">
        <v>2766284</v>
      </c>
    </row>
    <row r="477" spans="1:6" x14ac:dyDescent="0.25">
      <c r="A477" t="s">
        <v>67</v>
      </c>
      <c r="B477" t="s">
        <v>69</v>
      </c>
      <c r="C477">
        <v>2</v>
      </c>
      <c r="D477">
        <v>1</v>
      </c>
      <c r="E477">
        <v>2</v>
      </c>
      <c r="F477">
        <v>1909448</v>
      </c>
    </row>
    <row r="478" spans="1:6" x14ac:dyDescent="0.25">
      <c r="A478" t="s">
        <v>67</v>
      </c>
      <c r="B478" t="s">
        <v>69</v>
      </c>
      <c r="C478">
        <v>2</v>
      </c>
      <c r="D478">
        <v>1</v>
      </c>
      <c r="E478">
        <v>3</v>
      </c>
      <c r="F478">
        <v>13005</v>
      </c>
    </row>
    <row r="479" spans="1:6" x14ac:dyDescent="0.25">
      <c r="A479" t="s">
        <v>67</v>
      </c>
      <c r="B479" t="s">
        <v>69</v>
      </c>
      <c r="C479">
        <v>2</v>
      </c>
      <c r="D479">
        <v>1</v>
      </c>
      <c r="E479">
        <v>4</v>
      </c>
      <c r="F479">
        <v>291623</v>
      </c>
    </row>
    <row r="480" spans="1:6" x14ac:dyDescent="0.25">
      <c r="A480" t="s">
        <v>67</v>
      </c>
      <c r="B480" t="s">
        <v>69</v>
      </c>
      <c r="C480">
        <v>2</v>
      </c>
      <c r="D480">
        <v>1</v>
      </c>
      <c r="E480">
        <v>5</v>
      </c>
      <c r="F480">
        <v>4118</v>
      </c>
    </row>
    <row r="481" spans="1:6" x14ac:dyDescent="0.25">
      <c r="A481" t="s">
        <v>67</v>
      </c>
      <c r="B481" t="s">
        <v>69</v>
      </c>
      <c r="C481">
        <v>2</v>
      </c>
      <c r="D481">
        <v>1</v>
      </c>
      <c r="E481">
        <v>6</v>
      </c>
      <c r="F481">
        <v>125381</v>
      </c>
    </row>
    <row r="482" spans="1:6" x14ac:dyDescent="0.25">
      <c r="A482" t="s">
        <v>67</v>
      </c>
      <c r="B482" t="s">
        <v>69</v>
      </c>
      <c r="C482">
        <v>2</v>
      </c>
      <c r="D482">
        <v>2</v>
      </c>
      <c r="E482">
        <v>1</v>
      </c>
      <c r="F482">
        <v>509495</v>
      </c>
    </row>
    <row r="483" spans="1:6" x14ac:dyDescent="0.25">
      <c r="A483" t="s">
        <v>67</v>
      </c>
      <c r="B483" t="s">
        <v>69</v>
      </c>
      <c r="C483">
        <v>2</v>
      </c>
      <c r="D483">
        <v>2</v>
      </c>
      <c r="E483">
        <v>2</v>
      </c>
      <c r="F483">
        <v>62540</v>
      </c>
    </row>
    <row r="484" spans="1:6" x14ac:dyDescent="0.25">
      <c r="A484" t="s">
        <v>67</v>
      </c>
      <c r="B484" t="s">
        <v>69</v>
      </c>
      <c r="C484">
        <v>2</v>
      </c>
      <c r="D484">
        <v>2</v>
      </c>
      <c r="E484">
        <v>3</v>
      </c>
      <c r="F484">
        <v>21170</v>
      </c>
    </row>
    <row r="485" spans="1:6" x14ac:dyDescent="0.25">
      <c r="A485" t="s">
        <v>67</v>
      </c>
      <c r="B485" t="s">
        <v>69</v>
      </c>
      <c r="C485">
        <v>2</v>
      </c>
      <c r="D485">
        <v>2</v>
      </c>
      <c r="E485">
        <v>4</v>
      </c>
      <c r="F485">
        <v>6103</v>
      </c>
    </row>
    <row r="486" spans="1:6" x14ac:dyDescent="0.25">
      <c r="A486" t="s">
        <v>67</v>
      </c>
      <c r="B486" t="s">
        <v>69</v>
      </c>
      <c r="C486">
        <v>2</v>
      </c>
      <c r="D486">
        <v>2</v>
      </c>
      <c r="E486">
        <v>5</v>
      </c>
      <c r="F486">
        <v>3563</v>
      </c>
    </row>
    <row r="487" spans="1:6" x14ac:dyDescent="0.25">
      <c r="A487" t="s">
        <v>67</v>
      </c>
      <c r="B487" t="s">
        <v>69</v>
      </c>
      <c r="C487">
        <v>2</v>
      </c>
      <c r="D487">
        <v>2</v>
      </c>
      <c r="E487">
        <v>6</v>
      </c>
      <c r="F487">
        <v>22945</v>
      </c>
    </row>
    <row r="488" spans="1:6" x14ac:dyDescent="0.25">
      <c r="A488" t="s">
        <v>70</v>
      </c>
      <c r="B488" t="s">
        <v>72</v>
      </c>
      <c r="C488">
        <v>0</v>
      </c>
      <c r="D488">
        <v>0</v>
      </c>
      <c r="E488">
        <v>1</v>
      </c>
      <c r="F488">
        <v>1843921</v>
      </c>
    </row>
    <row r="489" spans="1:6" x14ac:dyDescent="0.25">
      <c r="A489" t="s">
        <v>70</v>
      </c>
      <c r="B489" t="s">
        <v>72</v>
      </c>
      <c r="C489">
        <v>0</v>
      </c>
      <c r="D489">
        <v>0</v>
      </c>
      <c r="E489">
        <v>2</v>
      </c>
      <c r="F489">
        <v>22063</v>
      </c>
    </row>
    <row r="490" spans="1:6" x14ac:dyDescent="0.25">
      <c r="A490" t="s">
        <v>70</v>
      </c>
      <c r="B490" t="s">
        <v>72</v>
      </c>
      <c r="C490">
        <v>0</v>
      </c>
      <c r="D490">
        <v>0</v>
      </c>
      <c r="E490">
        <v>3</v>
      </c>
      <c r="F490">
        <v>34784</v>
      </c>
    </row>
    <row r="491" spans="1:6" x14ac:dyDescent="0.25">
      <c r="A491" t="s">
        <v>70</v>
      </c>
      <c r="B491" t="s">
        <v>72</v>
      </c>
      <c r="C491">
        <v>0</v>
      </c>
      <c r="D491">
        <v>0</v>
      </c>
      <c r="E491">
        <v>4</v>
      </c>
      <c r="F491">
        <v>37892</v>
      </c>
    </row>
    <row r="492" spans="1:6" x14ac:dyDescent="0.25">
      <c r="A492" t="s">
        <v>70</v>
      </c>
      <c r="B492" t="s">
        <v>72</v>
      </c>
      <c r="C492">
        <v>0</v>
      </c>
      <c r="D492">
        <v>0</v>
      </c>
      <c r="E492">
        <v>5</v>
      </c>
      <c r="F492">
        <v>4880</v>
      </c>
    </row>
    <row r="493" spans="1:6" x14ac:dyDescent="0.25">
      <c r="A493" t="s">
        <v>70</v>
      </c>
      <c r="B493" t="s">
        <v>72</v>
      </c>
      <c r="C493">
        <v>0</v>
      </c>
      <c r="D493">
        <v>0</v>
      </c>
      <c r="E493">
        <v>6</v>
      </c>
      <c r="F493">
        <v>58079</v>
      </c>
    </row>
    <row r="494" spans="1:6" x14ac:dyDescent="0.25">
      <c r="A494" t="s">
        <v>70</v>
      </c>
      <c r="B494" t="s">
        <v>72</v>
      </c>
      <c r="C494">
        <v>0</v>
      </c>
      <c r="D494">
        <v>1</v>
      </c>
      <c r="E494">
        <v>1</v>
      </c>
      <c r="F494">
        <v>1592401</v>
      </c>
    </row>
    <row r="495" spans="1:6" x14ac:dyDescent="0.25">
      <c r="A495" t="s">
        <v>70</v>
      </c>
      <c r="B495" t="s">
        <v>72</v>
      </c>
      <c r="C495">
        <v>0</v>
      </c>
      <c r="D495">
        <v>1</v>
      </c>
      <c r="E495">
        <v>2</v>
      </c>
      <c r="F495">
        <v>18116</v>
      </c>
    </row>
    <row r="496" spans="1:6" x14ac:dyDescent="0.25">
      <c r="A496" t="s">
        <v>70</v>
      </c>
      <c r="B496" t="s">
        <v>72</v>
      </c>
      <c r="C496">
        <v>0</v>
      </c>
      <c r="D496">
        <v>1</v>
      </c>
      <c r="E496">
        <v>3</v>
      </c>
      <c r="F496">
        <v>19851</v>
      </c>
    </row>
    <row r="497" spans="1:6" x14ac:dyDescent="0.25">
      <c r="A497" t="s">
        <v>70</v>
      </c>
      <c r="B497" t="s">
        <v>72</v>
      </c>
      <c r="C497">
        <v>0</v>
      </c>
      <c r="D497">
        <v>1</v>
      </c>
      <c r="E497">
        <v>4</v>
      </c>
      <c r="F497">
        <v>35004</v>
      </c>
    </row>
    <row r="498" spans="1:6" x14ac:dyDescent="0.25">
      <c r="A498" t="s">
        <v>70</v>
      </c>
      <c r="B498" t="s">
        <v>72</v>
      </c>
      <c r="C498">
        <v>0</v>
      </c>
      <c r="D498">
        <v>1</v>
      </c>
      <c r="E498">
        <v>5</v>
      </c>
      <c r="F498">
        <v>3821</v>
      </c>
    </row>
    <row r="499" spans="1:6" x14ac:dyDescent="0.25">
      <c r="A499" t="s">
        <v>70</v>
      </c>
      <c r="B499" t="s">
        <v>72</v>
      </c>
      <c r="C499">
        <v>0</v>
      </c>
      <c r="D499">
        <v>1</v>
      </c>
      <c r="E499">
        <v>6</v>
      </c>
      <c r="F499">
        <v>46233</v>
      </c>
    </row>
    <row r="500" spans="1:6" x14ac:dyDescent="0.25">
      <c r="A500" t="s">
        <v>70</v>
      </c>
      <c r="B500" t="s">
        <v>72</v>
      </c>
      <c r="C500">
        <v>0</v>
      </c>
      <c r="D500">
        <v>2</v>
      </c>
      <c r="E500">
        <v>1</v>
      </c>
      <c r="F500">
        <v>251520</v>
      </c>
    </row>
    <row r="501" spans="1:6" x14ac:dyDescent="0.25">
      <c r="A501" t="s">
        <v>70</v>
      </c>
      <c r="B501" t="s">
        <v>72</v>
      </c>
      <c r="C501">
        <v>0</v>
      </c>
      <c r="D501">
        <v>2</v>
      </c>
      <c r="E501">
        <v>2</v>
      </c>
      <c r="F501">
        <v>3947</v>
      </c>
    </row>
    <row r="502" spans="1:6" x14ac:dyDescent="0.25">
      <c r="A502" t="s">
        <v>70</v>
      </c>
      <c r="B502" t="s">
        <v>72</v>
      </c>
      <c r="C502">
        <v>0</v>
      </c>
      <c r="D502">
        <v>2</v>
      </c>
      <c r="E502">
        <v>3</v>
      </c>
      <c r="F502">
        <v>14933</v>
      </c>
    </row>
    <row r="503" spans="1:6" x14ac:dyDescent="0.25">
      <c r="A503" t="s">
        <v>70</v>
      </c>
      <c r="B503" t="s">
        <v>72</v>
      </c>
      <c r="C503">
        <v>0</v>
      </c>
      <c r="D503">
        <v>2</v>
      </c>
      <c r="E503">
        <v>4</v>
      </c>
      <c r="F503">
        <v>2888</v>
      </c>
    </row>
    <row r="504" spans="1:6" x14ac:dyDescent="0.25">
      <c r="A504" t="s">
        <v>70</v>
      </c>
      <c r="B504" t="s">
        <v>72</v>
      </c>
      <c r="C504">
        <v>0</v>
      </c>
      <c r="D504">
        <v>2</v>
      </c>
      <c r="E504">
        <v>5</v>
      </c>
      <c r="F504">
        <v>1059</v>
      </c>
    </row>
    <row r="505" spans="1:6" x14ac:dyDescent="0.25">
      <c r="A505" t="s">
        <v>70</v>
      </c>
      <c r="B505" t="s">
        <v>72</v>
      </c>
      <c r="C505">
        <v>0</v>
      </c>
      <c r="D505">
        <v>2</v>
      </c>
      <c r="E505">
        <v>6</v>
      </c>
      <c r="F505">
        <v>11846</v>
      </c>
    </row>
    <row r="506" spans="1:6" x14ac:dyDescent="0.25">
      <c r="A506" t="s">
        <v>70</v>
      </c>
      <c r="B506" t="s">
        <v>72</v>
      </c>
      <c r="C506">
        <v>1</v>
      </c>
      <c r="D506">
        <v>0</v>
      </c>
      <c r="E506">
        <v>1</v>
      </c>
      <c r="F506">
        <v>928840</v>
      </c>
    </row>
    <row r="507" spans="1:6" x14ac:dyDescent="0.25">
      <c r="A507" t="s">
        <v>70</v>
      </c>
      <c r="B507" t="s">
        <v>72</v>
      </c>
      <c r="C507">
        <v>1</v>
      </c>
      <c r="D507">
        <v>0</v>
      </c>
      <c r="E507">
        <v>2</v>
      </c>
      <c r="F507">
        <v>12058</v>
      </c>
    </row>
    <row r="508" spans="1:6" x14ac:dyDescent="0.25">
      <c r="A508" t="s">
        <v>70</v>
      </c>
      <c r="B508" t="s">
        <v>72</v>
      </c>
      <c r="C508">
        <v>1</v>
      </c>
      <c r="D508">
        <v>0</v>
      </c>
      <c r="E508">
        <v>3</v>
      </c>
      <c r="F508">
        <v>17662</v>
      </c>
    </row>
    <row r="509" spans="1:6" x14ac:dyDescent="0.25">
      <c r="A509" t="s">
        <v>70</v>
      </c>
      <c r="B509" t="s">
        <v>72</v>
      </c>
      <c r="C509">
        <v>1</v>
      </c>
      <c r="D509">
        <v>0</v>
      </c>
      <c r="E509">
        <v>4</v>
      </c>
      <c r="F509">
        <v>16690</v>
      </c>
    </row>
    <row r="510" spans="1:6" x14ac:dyDescent="0.25">
      <c r="A510" t="s">
        <v>70</v>
      </c>
      <c r="B510" t="s">
        <v>72</v>
      </c>
      <c r="C510">
        <v>1</v>
      </c>
      <c r="D510">
        <v>0</v>
      </c>
      <c r="E510">
        <v>5</v>
      </c>
      <c r="F510">
        <v>2620</v>
      </c>
    </row>
    <row r="511" spans="1:6" x14ac:dyDescent="0.25">
      <c r="A511" t="s">
        <v>70</v>
      </c>
      <c r="B511" t="s">
        <v>72</v>
      </c>
      <c r="C511">
        <v>1</v>
      </c>
      <c r="D511">
        <v>0</v>
      </c>
      <c r="E511">
        <v>6</v>
      </c>
      <c r="F511">
        <v>29229</v>
      </c>
    </row>
    <row r="512" spans="1:6" x14ac:dyDescent="0.25">
      <c r="A512" t="s">
        <v>70</v>
      </c>
      <c r="B512" t="s">
        <v>72</v>
      </c>
      <c r="C512">
        <v>1</v>
      </c>
      <c r="D512">
        <v>1</v>
      </c>
      <c r="E512">
        <v>1</v>
      </c>
      <c r="F512">
        <v>799049</v>
      </c>
    </row>
    <row r="513" spans="1:6" x14ac:dyDescent="0.25">
      <c r="A513" t="s">
        <v>70</v>
      </c>
      <c r="B513" t="s">
        <v>72</v>
      </c>
      <c r="C513">
        <v>1</v>
      </c>
      <c r="D513">
        <v>1</v>
      </c>
      <c r="E513">
        <v>2</v>
      </c>
      <c r="F513">
        <v>9958</v>
      </c>
    </row>
    <row r="514" spans="1:6" x14ac:dyDescent="0.25">
      <c r="A514" t="s">
        <v>70</v>
      </c>
      <c r="B514" t="s">
        <v>72</v>
      </c>
      <c r="C514">
        <v>1</v>
      </c>
      <c r="D514">
        <v>1</v>
      </c>
      <c r="E514">
        <v>3</v>
      </c>
      <c r="F514">
        <v>9997</v>
      </c>
    </row>
    <row r="515" spans="1:6" x14ac:dyDescent="0.25">
      <c r="A515" t="s">
        <v>70</v>
      </c>
      <c r="B515" t="s">
        <v>72</v>
      </c>
      <c r="C515">
        <v>1</v>
      </c>
      <c r="D515">
        <v>1</v>
      </c>
      <c r="E515">
        <v>4</v>
      </c>
      <c r="F515">
        <v>15237</v>
      </c>
    </row>
    <row r="516" spans="1:6" x14ac:dyDescent="0.25">
      <c r="A516" t="s">
        <v>70</v>
      </c>
      <c r="B516" t="s">
        <v>72</v>
      </c>
      <c r="C516">
        <v>1</v>
      </c>
      <c r="D516">
        <v>1</v>
      </c>
      <c r="E516">
        <v>5</v>
      </c>
      <c r="F516">
        <v>2051</v>
      </c>
    </row>
    <row r="517" spans="1:6" x14ac:dyDescent="0.25">
      <c r="A517" t="s">
        <v>70</v>
      </c>
      <c r="B517" t="s">
        <v>72</v>
      </c>
      <c r="C517">
        <v>1</v>
      </c>
      <c r="D517">
        <v>1</v>
      </c>
      <c r="E517">
        <v>6</v>
      </c>
      <c r="F517">
        <v>23303</v>
      </c>
    </row>
    <row r="518" spans="1:6" x14ac:dyDescent="0.25">
      <c r="A518" t="s">
        <v>70</v>
      </c>
      <c r="B518" t="s">
        <v>72</v>
      </c>
      <c r="C518">
        <v>1</v>
      </c>
      <c r="D518">
        <v>2</v>
      </c>
      <c r="E518">
        <v>1</v>
      </c>
      <c r="F518">
        <v>129791</v>
      </c>
    </row>
    <row r="519" spans="1:6" x14ac:dyDescent="0.25">
      <c r="A519" t="s">
        <v>70</v>
      </c>
      <c r="B519" t="s">
        <v>72</v>
      </c>
      <c r="C519">
        <v>1</v>
      </c>
      <c r="D519">
        <v>2</v>
      </c>
      <c r="E519">
        <v>2</v>
      </c>
      <c r="F519">
        <v>2100</v>
      </c>
    </row>
    <row r="520" spans="1:6" x14ac:dyDescent="0.25">
      <c r="A520" t="s">
        <v>70</v>
      </c>
      <c r="B520" t="s">
        <v>72</v>
      </c>
      <c r="C520">
        <v>1</v>
      </c>
      <c r="D520">
        <v>2</v>
      </c>
      <c r="E520">
        <v>3</v>
      </c>
      <c r="F520">
        <v>7665</v>
      </c>
    </row>
    <row r="521" spans="1:6" x14ac:dyDescent="0.25">
      <c r="A521" t="s">
        <v>70</v>
      </c>
      <c r="B521" t="s">
        <v>72</v>
      </c>
      <c r="C521">
        <v>1</v>
      </c>
      <c r="D521">
        <v>2</v>
      </c>
      <c r="E521">
        <v>4</v>
      </c>
      <c r="F521">
        <v>1453</v>
      </c>
    </row>
    <row r="522" spans="1:6" x14ac:dyDescent="0.25">
      <c r="A522" t="s">
        <v>70</v>
      </c>
      <c r="B522" t="s">
        <v>72</v>
      </c>
      <c r="C522">
        <v>1</v>
      </c>
      <c r="D522">
        <v>2</v>
      </c>
      <c r="E522">
        <v>5</v>
      </c>
      <c r="F522">
        <v>569</v>
      </c>
    </row>
    <row r="523" spans="1:6" x14ac:dyDescent="0.25">
      <c r="A523" t="s">
        <v>70</v>
      </c>
      <c r="B523" t="s">
        <v>72</v>
      </c>
      <c r="C523">
        <v>1</v>
      </c>
      <c r="D523">
        <v>2</v>
      </c>
      <c r="E523">
        <v>6</v>
      </c>
      <c r="F523">
        <v>5926</v>
      </c>
    </row>
    <row r="524" spans="1:6" x14ac:dyDescent="0.25">
      <c r="A524" t="s">
        <v>70</v>
      </c>
      <c r="B524" t="s">
        <v>72</v>
      </c>
      <c r="C524">
        <v>2</v>
      </c>
      <c r="D524">
        <v>0</v>
      </c>
      <c r="E524">
        <v>1</v>
      </c>
      <c r="F524">
        <v>915081</v>
      </c>
    </row>
    <row r="525" spans="1:6" x14ac:dyDescent="0.25">
      <c r="A525" t="s">
        <v>70</v>
      </c>
      <c r="B525" t="s">
        <v>72</v>
      </c>
      <c r="C525">
        <v>2</v>
      </c>
      <c r="D525">
        <v>0</v>
      </c>
      <c r="E525">
        <v>2</v>
      </c>
      <c r="F525">
        <v>10005</v>
      </c>
    </row>
    <row r="526" spans="1:6" x14ac:dyDescent="0.25">
      <c r="A526" t="s">
        <v>70</v>
      </c>
      <c r="B526" t="s">
        <v>72</v>
      </c>
      <c r="C526">
        <v>2</v>
      </c>
      <c r="D526">
        <v>0</v>
      </c>
      <c r="E526">
        <v>3</v>
      </c>
      <c r="F526">
        <v>17122</v>
      </c>
    </row>
    <row r="527" spans="1:6" x14ac:dyDescent="0.25">
      <c r="A527" t="s">
        <v>70</v>
      </c>
      <c r="B527" t="s">
        <v>72</v>
      </c>
      <c r="C527">
        <v>2</v>
      </c>
      <c r="D527">
        <v>0</v>
      </c>
      <c r="E527">
        <v>4</v>
      </c>
      <c r="F527">
        <v>21202</v>
      </c>
    </row>
    <row r="528" spans="1:6" x14ac:dyDescent="0.25">
      <c r="A528" t="s">
        <v>70</v>
      </c>
      <c r="B528" t="s">
        <v>72</v>
      </c>
      <c r="C528">
        <v>2</v>
      </c>
      <c r="D528">
        <v>0</v>
      </c>
      <c r="E528">
        <v>5</v>
      </c>
      <c r="F528">
        <v>2260</v>
      </c>
    </row>
    <row r="529" spans="1:6" x14ac:dyDescent="0.25">
      <c r="A529" t="s">
        <v>70</v>
      </c>
      <c r="B529" t="s">
        <v>72</v>
      </c>
      <c r="C529">
        <v>2</v>
      </c>
      <c r="D529">
        <v>0</v>
      </c>
      <c r="E529">
        <v>6</v>
      </c>
      <c r="F529">
        <v>28850</v>
      </c>
    </row>
    <row r="530" spans="1:6" x14ac:dyDescent="0.25">
      <c r="A530" t="s">
        <v>70</v>
      </c>
      <c r="B530" t="s">
        <v>72</v>
      </c>
      <c r="C530">
        <v>2</v>
      </c>
      <c r="D530">
        <v>1</v>
      </c>
      <c r="E530">
        <v>1</v>
      </c>
      <c r="F530">
        <v>793352</v>
      </c>
    </row>
    <row r="531" spans="1:6" x14ac:dyDescent="0.25">
      <c r="A531" t="s">
        <v>70</v>
      </c>
      <c r="B531" t="s">
        <v>72</v>
      </c>
      <c r="C531">
        <v>2</v>
      </c>
      <c r="D531">
        <v>1</v>
      </c>
      <c r="E531">
        <v>2</v>
      </c>
      <c r="F531">
        <v>8158</v>
      </c>
    </row>
    <row r="532" spans="1:6" x14ac:dyDescent="0.25">
      <c r="A532" t="s">
        <v>70</v>
      </c>
      <c r="B532" t="s">
        <v>72</v>
      </c>
      <c r="C532">
        <v>2</v>
      </c>
      <c r="D532">
        <v>1</v>
      </c>
      <c r="E532">
        <v>3</v>
      </c>
      <c r="F532">
        <v>9854</v>
      </c>
    </row>
    <row r="533" spans="1:6" x14ac:dyDescent="0.25">
      <c r="A533" t="s">
        <v>70</v>
      </c>
      <c r="B533" t="s">
        <v>72</v>
      </c>
      <c r="C533">
        <v>2</v>
      </c>
      <c r="D533">
        <v>1</v>
      </c>
      <c r="E533">
        <v>4</v>
      </c>
      <c r="F533">
        <v>19767</v>
      </c>
    </row>
    <row r="534" spans="1:6" x14ac:dyDescent="0.25">
      <c r="A534" t="s">
        <v>70</v>
      </c>
      <c r="B534" t="s">
        <v>72</v>
      </c>
      <c r="C534">
        <v>2</v>
      </c>
      <c r="D534">
        <v>1</v>
      </c>
      <c r="E534">
        <v>5</v>
      </c>
      <c r="F534">
        <v>1770</v>
      </c>
    </row>
    <row r="535" spans="1:6" x14ac:dyDescent="0.25">
      <c r="A535" t="s">
        <v>70</v>
      </c>
      <c r="B535" t="s">
        <v>72</v>
      </c>
      <c r="C535">
        <v>2</v>
      </c>
      <c r="D535">
        <v>1</v>
      </c>
      <c r="E535">
        <v>6</v>
      </c>
      <c r="F535">
        <v>22930</v>
      </c>
    </row>
    <row r="536" spans="1:6" x14ac:dyDescent="0.25">
      <c r="A536" t="s">
        <v>70</v>
      </c>
      <c r="B536" t="s">
        <v>72</v>
      </c>
      <c r="C536">
        <v>2</v>
      </c>
      <c r="D536">
        <v>2</v>
      </c>
      <c r="E536">
        <v>1</v>
      </c>
      <c r="F536">
        <v>121729</v>
      </c>
    </row>
    <row r="537" spans="1:6" x14ac:dyDescent="0.25">
      <c r="A537" t="s">
        <v>70</v>
      </c>
      <c r="B537" t="s">
        <v>72</v>
      </c>
      <c r="C537">
        <v>2</v>
      </c>
      <c r="D537">
        <v>2</v>
      </c>
      <c r="E537">
        <v>2</v>
      </c>
      <c r="F537">
        <v>1847</v>
      </c>
    </row>
    <row r="538" spans="1:6" x14ac:dyDescent="0.25">
      <c r="A538" t="s">
        <v>70</v>
      </c>
      <c r="B538" t="s">
        <v>72</v>
      </c>
      <c r="C538">
        <v>2</v>
      </c>
      <c r="D538">
        <v>2</v>
      </c>
      <c r="E538">
        <v>3</v>
      </c>
      <c r="F538">
        <v>7268</v>
      </c>
    </row>
    <row r="539" spans="1:6" x14ac:dyDescent="0.25">
      <c r="A539" t="s">
        <v>70</v>
      </c>
      <c r="B539" t="s">
        <v>72</v>
      </c>
      <c r="C539">
        <v>2</v>
      </c>
      <c r="D539">
        <v>2</v>
      </c>
      <c r="E539">
        <v>4</v>
      </c>
      <c r="F539">
        <v>1435</v>
      </c>
    </row>
    <row r="540" spans="1:6" x14ac:dyDescent="0.25">
      <c r="A540" t="s">
        <v>70</v>
      </c>
      <c r="B540" t="s">
        <v>72</v>
      </c>
      <c r="C540">
        <v>2</v>
      </c>
      <c r="D540">
        <v>2</v>
      </c>
      <c r="E540">
        <v>5</v>
      </c>
      <c r="F540">
        <v>490</v>
      </c>
    </row>
    <row r="541" spans="1:6" x14ac:dyDescent="0.25">
      <c r="A541" t="s">
        <v>70</v>
      </c>
      <c r="B541" t="s">
        <v>72</v>
      </c>
      <c r="C541">
        <v>2</v>
      </c>
      <c r="D541">
        <v>2</v>
      </c>
      <c r="E541">
        <v>6</v>
      </c>
      <c r="F541">
        <v>5920</v>
      </c>
    </row>
    <row r="542" spans="1:6" x14ac:dyDescent="0.25">
      <c r="A542" t="s">
        <v>73</v>
      </c>
      <c r="B542" t="s">
        <v>75</v>
      </c>
      <c r="C542">
        <v>0</v>
      </c>
      <c r="D542">
        <v>0</v>
      </c>
      <c r="E542">
        <v>1</v>
      </c>
      <c r="F542">
        <v>9599046</v>
      </c>
    </row>
    <row r="543" spans="1:6" x14ac:dyDescent="0.25">
      <c r="A543" t="s">
        <v>73</v>
      </c>
      <c r="B543" t="s">
        <v>75</v>
      </c>
      <c r="C543">
        <v>0</v>
      </c>
      <c r="D543">
        <v>0</v>
      </c>
      <c r="E543">
        <v>2</v>
      </c>
      <c r="F543">
        <v>1848198</v>
      </c>
    </row>
    <row r="544" spans="1:6" x14ac:dyDescent="0.25">
      <c r="A544" t="s">
        <v>73</v>
      </c>
      <c r="B544" t="s">
        <v>75</v>
      </c>
      <c r="C544">
        <v>0</v>
      </c>
      <c r="D544">
        <v>0</v>
      </c>
      <c r="E544">
        <v>3</v>
      </c>
      <c r="F544">
        <v>87698</v>
      </c>
    </row>
    <row r="545" spans="1:6" x14ac:dyDescent="0.25">
      <c r="A545" t="s">
        <v>73</v>
      </c>
      <c r="B545" t="s">
        <v>75</v>
      </c>
      <c r="C545">
        <v>0</v>
      </c>
      <c r="D545">
        <v>0</v>
      </c>
      <c r="E545">
        <v>4</v>
      </c>
      <c r="F545">
        <v>865228</v>
      </c>
    </row>
    <row r="546" spans="1:6" x14ac:dyDescent="0.25">
      <c r="A546" t="s">
        <v>73</v>
      </c>
      <c r="B546" t="s">
        <v>75</v>
      </c>
      <c r="C546">
        <v>0</v>
      </c>
      <c r="D546">
        <v>0</v>
      </c>
      <c r="E546">
        <v>5</v>
      </c>
      <c r="F546">
        <v>9003</v>
      </c>
    </row>
    <row r="547" spans="1:6" x14ac:dyDescent="0.25">
      <c r="A547" t="s">
        <v>73</v>
      </c>
      <c r="B547" t="s">
        <v>75</v>
      </c>
      <c r="C547">
        <v>0</v>
      </c>
      <c r="D547">
        <v>0</v>
      </c>
      <c r="E547">
        <v>6</v>
      </c>
      <c r="F547">
        <v>300985</v>
      </c>
    </row>
    <row r="548" spans="1:6" x14ac:dyDescent="0.25">
      <c r="A548" t="s">
        <v>73</v>
      </c>
      <c r="B548" t="s">
        <v>75</v>
      </c>
      <c r="C548">
        <v>0</v>
      </c>
      <c r="D548">
        <v>1</v>
      </c>
      <c r="E548">
        <v>1</v>
      </c>
      <c r="F548">
        <v>7370458</v>
      </c>
    </row>
    <row r="549" spans="1:6" x14ac:dyDescent="0.25">
      <c r="A549" t="s">
        <v>73</v>
      </c>
      <c r="B549" t="s">
        <v>75</v>
      </c>
      <c r="C549">
        <v>0</v>
      </c>
      <c r="D549">
        <v>1</v>
      </c>
      <c r="E549">
        <v>2</v>
      </c>
      <c r="F549">
        <v>1765745</v>
      </c>
    </row>
    <row r="550" spans="1:6" x14ac:dyDescent="0.25">
      <c r="A550" t="s">
        <v>73</v>
      </c>
      <c r="B550" t="s">
        <v>75</v>
      </c>
      <c r="C550">
        <v>0</v>
      </c>
      <c r="D550">
        <v>1</v>
      </c>
      <c r="E550">
        <v>3</v>
      </c>
      <c r="F550">
        <v>19973</v>
      </c>
    </row>
    <row r="551" spans="1:6" x14ac:dyDescent="0.25">
      <c r="A551" t="s">
        <v>73</v>
      </c>
      <c r="B551" t="s">
        <v>75</v>
      </c>
      <c r="C551">
        <v>0</v>
      </c>
      <c r="D551">
        <v>1</v>
      </c>
      <c r="E551">
        <v>4</v>
      </c>
      <c r="F551">
        <v>844967</v>
      </c>
    </row>
    <row r="552" spans="1:6" x14ac:dyDescent="0.25">
      <c r="A552" t="s">
        <v>73</v>
      </c>
      <c r="B552" t="s">
        <v>75</v>
      </c>
      <c r="C552">
        <v>0</v>
      </c>
      <c r="D552">
        <v>1</v>
      </c>
      <c r="E552">
        <v>5</v>
      </c>
      <c r="F552">
        <v>3951</v>
      </c>
    </row>
    <row r="553" spans="1:6" x14ac:dyDescent="0.25">
      <c r="A553" t="s">
        <v>73</v>
      </c>
      <c r="B553" t="s">
        <v>75</v>
      </c>
      <c r="C553">
        <v>0</v>
      </c>
      <c r="D553">
        <v>1</v>
      </c>
      <c r="E553">
        <v>6</v>
      </c>
      <c r="F553">
        <v>240974</v>
      </c>
    </row>
    <row r="554" spans="1:6" x14ac:dyDescent="0.25">
      <c r="A554" t="s">
        <v>73</v>
      </c>
      <c r="B554" t="s">
        <v>75</v>
      </c>
      <c r="C554">
        <v>0</v>
      </c>
      <c r="D554">
        <v>2</v>
      </c>
      <c r="E554">
        <v>1</v>
      </c>
      <c r="F554">
        <v>2228588</v>
      </c>
    </row>
    <row r="555" spans="1:6" x14ac:dyDescent="0.25">
      <c r="A555" t="s">
        <v>73</v>
      </c>
      <c r="B555" t="s">
        <v>75</v>
      </c>
      <c r="C555">
        <v>0</v>
      </c>
      <c r="D555">
        <v>2</v>
      </c>
      <c r="E555">
        <v>2</v>
      </c>
      <c r="F555">
        <v>82453</v>
      </c>
    </row>
    <row r="556" spans="1:6" x14ac:dyDescent="0.25">
      <c r="A556" t="s">
        <v>73</v>
      </c>
      <c r="B556" t="s">
        <v>75</v>
      </c>
      <c r="C556">
        <v>0</v>
      </c>
      <c r="D556">
        <v>2</v>
      </c>
      <c r="E556">
        <v>3</v>
      </c>
      <c r="F556">
        <v>67725</v>
      </c>
    </row>
    <row r="557" spans="1:6" x14ac:dyDescent="0.25">
      <c r="A557" t="s">
        <v>73</v>
      </c>
      <c r="B557" t="s">
        <v>75</v>
      </c>
      <c r="C557">
        <v>0</v>
      </c>
      <c r="D557">
        <v>2</v>
      </c>
      <c r="E557">
        <v>4</v>
      </c>
      <c r="F557">
        <v>20261</v>
      </c>
    </row>
    <row r="558" spans="1:6" x14ac:dyDescent="0.25">
      <c r="A558" t="s">
        <v>73</v>
      </c>
      <c r="B558" t="s">
        <v>75</v>
      </c>
      <c r="C558">
        <v>0</v>
      </c>
      <c r="D558">
        <v>2</v>
      </c>
      <c r="E558">
        <v>5</v>
      </c>
      <c r="F558">
        <v>5052</v>
      </c>
    </row>
    <row r="559" spans="1:6" x14ac:dyDescent="0.25">
      <c r="A559" t="s">
        <v>73</v>
      </c>
      <c r="B559" t="s">
        <v>75</v>
      </c>
      <c r="C559">
        <v>0</v>
      </c>
      <c r="D559">
        <v>2</v>
      </c>
      <c r="E559">
        <v>6</v>
      </c>
      <c r="F559">
        <v>60011</v>
      </c>
    </row>
    <row r="560" spans="1:6" x14ac:dyDescent="0.25">
      <c r="A560" t="s">
        <v>73</v>
      </c>
      <c r="B560" t="s">
        <v>75</v>
      </c>
      <c r="C560">
        <v>1</v>
      </c>
      <c r="D560">
        <v>0</v>
      </c>
      <c r="E560">
        <v>1</v>
      </c>
      <c r="F560">
        <v>4791124</v>
      </c>
    </row>
    <row r="561" spans="1:6" x14ac:dyDescent="0.25">
      <c r="A561" t="s">
        <v>73</v>
      </c>
      <c r="B561" t="s">
        <v>75</v>
      </c>
      <c r="C561">
        <v>1</v>
      </c>
      <c r="D561">
        <v>0</v>
      </c>
      <c r="E561">
        <v>2</v>
      </c>
      <c r="F561">
        <v>870380</v>
      </c>
    </row>
    <row r="562" spans="1:6" x14ac:dyDescent="0.25">
      <c r="A562" t="s">
        <v>73</v>
      </c>
      <c r="B562" t="s">
        <v>75</v>
      </c>
      <c r="C562">
        <v>1</v>
      </c>
      <c r="D562">
        <v>0</v>
      </c>
      <c r="E562">
        <v>3</v>
      </c>
      <c r="F562">
        <v>45361</v>
      </c>
    </row>
    <row r="563" spans="1:6" x14ac:dyDescent="0.25">
      <c r="A563" t="s">
        <v>73</v>
      </c>
      <c r="B563" t="s">
        <v>75</v>
      </c>
      <c r="C563">
        <v>1</v>
      </c>
      <c r="D563">
        <v>0</v>
      </c>
      <c r="E563">
        <v>4</v>
      </c>
      <c r="F563">
        <v>420364</v>
      </c>
    </row>
    <row r="564" spans="1:6" x14ac:dyDescent="0.25">
      <c r="A564" t="s">
        <v>73</v>
      </c>
      <c r="B564" t="s">
        <v>75</v>
      </c>
      <c r="C564">
        <v>1</v>
      </c>
      <c r="D564">
        <v>0</v>
      </c>
      <c r="E564">
        <v>5</v>
      </c>
      <c r="F564">
        <v>4482</v>
      </c>
    </row>
    <row r="565" spans="1:6" x14ac:dyDescent="0.25">
      <c r="A565" t="s">
        <v>73</v>
      </c>
      <c r="B565" t="s">
        <v>75</v>
      </c>
      <c r="C565">
        <v>1</v>
      </c>
      <c r="D565">
        <v>0</v>
      </c>
      <c r="E565">
        <v>6</v>
      </c>
      <c r="F565">
        <v>150621</v>
      </c>
    </row>
    <row r="566" spans="1:6" x14ac:dyDescent="0.25">
      <c r="A566" t="s">
        <v>73</v>
      </c>
      <c r="B566" t="s">
        <v>75</v>
      </c>
      <c r="C566">
        <v>1</v>
      </c>
      <c r="D566">
        <v>1</v>
      </c>
      <c r="E566">
        <v>1</v>
      </c>
      <c r="F566">
        <v>3651243</v>
      </c>
    </row>
    <row r="567" spans="1:6" x14ac:dyDescent="0.25">
      <c r="A567" t="s">
        <v>73</v>
      </c>
      <c r="B567" t="s">
        <v>75</v>
      </c>
      <c r="C567">
        <v>1</v>
      </c>
      <c r="D567">
        <v>1</v>
      </c>
      <c r="E567">
        <v>2</v>
      </c>
      <c r="F567">
        <v>829268</v>
      </c>
    </row>
    <row r="568" spans="1:6" x14ac:dyDescent="0.25">
      <c r="A568" t="s">
        <v>73</v>
      </c>
      <c r="B568" t="s">
        <v>75</v>
      </c>
      <c r="C568">
        <v>1</v>
      </c>
      <c r="D568">
        <v>1</v>
      </c>
      <c r="E568">
        <v>3</v>
      </c>
      <c r="F568">
        <v>9863</v>
      </c>
    </row>
    <row r="569" spans="1:6" x14ac:dyDescent="0.25">
      <c r="A569" t="s">
        <v>73</v>
      </c>
      <c r="B569" t="s">
        <v>75</v>
      </c>
      <c r="C569">
        <v>1</v>
      </c>
      <c r="D569">
        <v>1</v>
      </c>
      <c r="E569">
        <v>4</v>
      </c>
      <c r="F569">
        <v>410142</v>
      </c>
    </row>
    <row r="570" spans="1:6" x14ac:dyDescent="0.25">
      <c r="A570" t="s">
        <v>73</v>
      </c>
      <c r="B570" t="s">
        <v>75</v>
      </c>
      <c r="C570">
        <v>1</v>
      </c>
      <c r="D570">
        <v>1</v>
      </c>
      <c r="E570">
        <v>5</v>
      </c>
      <c r="F570">
        <v>1948</v>
      </c>
    </row>
    <row r="571" spans="1:6" x14ac:dyDescent="0.25">
      <c r="A571" t="s">
        <v>73</v>
      </c>
      <c r="B571" t="s">
        <v>75</v>
      </c>
      <c r="C571">
        <v>1</v>
      </c>
      <c r="D571">
        <v>1</v>
      </c>
      <c r="E571">
        <v>6</v>
      </c>
      <c r="F571">
        <v>120288</v>
      </c>
    </row>
    <row r="572" spans="1:6" x14ac:dyDescent="0.25">
      <c r="A572" t="s">
        <v>73</v>
      </c>
      <c r="B572" t="s">
        <v>75</v>
      </c>
      <c r="C572">
        <v>1</v>
      </c>
      <c r="D572">
        <v>2</v>
      </c>
      <c r="E572">
        <v>1</v>
      </c>
      <c r="F572">
        <v>1139881</v>
      </c>
    </row>
    <row r="573" spans="1:6" x14ac:dyDescent="0.25">
      <c r="A573" t="s">
        <v>73</v>
      </c>
      <c r="B573" t="s">
        <v>75</v>
      </c>
      <c r="C573">
        <v>1</v>
      </c>
      <c r="D573">
        <v>2</v>
      </c>
      <c r="E573">
        <v>2</v>
      </c>
      <c r="F573">
        <v>41112</v>
      </c>
    </row>
    <row r="574" spans="1:6" x14ac:dyDescent="0.25">
      <c r="A574" t="s">
        <v>73</v>
      </c>
      <c r="B574" t="s">
        <v>75</v>
      </c>
      <c r="C574">
        <v>1</v>
      </c>
      <c r="D574">
        <v>2</v>
      </c>
      <c r="E574">
        <v>3</v>
      </c>
      <c r="F574">
        <v>35498</v>
      </c>
    </row>
    <row r="575" spans="1:6" x14ac:dyDescent="0.25">
      <c r="A575" t="s">
        <v>73</v>
      </c>
      <c r="B575" t="s">
        <v>75</v>
      </c>
      <c r="C575">
        <v>1</v>
      </c>
      <c r="D575">
        <v>2</v>
      </c>
      <c r="E575">
        <v>4</v>
      </c>
      <c r="F575">
        <v>10222</v>
      </c>
    </row>
    <row r="576" spans="1:6" x14ac:dyDescent="0.25">
      <c r="A576" t="s">
        <v>73</v>
      </c>
      <c r="B576" t="s">
        <v>75</v>
      </c>
      <c r="C576">
        <v>1</v>
      </c>
      <c r="D576">
        <v>2</v>
      </c>
      <c r="E576">
        <v>5</v>
      </c>
      <c r="F576">
        <v>2534</v>
      </c>
    </row>
    <row r="577" spans="1:6" x14ac:dyDescent="0.25">
      <c r="A577" t="s">
        <v>73</v>
      </c>
      <c r="B577" t="s">
        <v>75</v>
      </c>
      <c r="C577">
        <v>1</v>
      </c>
      <c r="D577">
        <v>2</v>
      </c>
      <c r="E577">
        <v>6</v>
      </c>
      <c r="F577">
        <v>30333</v>
      </c>
    </row>
    <row r="578" spans="1:6" x14ac:dyDescent="0.25">
      <c r="A578" t="s">
        <v>73</v>
      </c>
      <c r="B578" t="s">
        <v>75</v>
      </c>
      <c r="C578">
        <v>2</v>
      </c>
      <c r="D578">
        <v>0</v>
      </c>
      <c r="E578">
        <v>1</v>
      </c>
      <c r="F578">
        <v>4807922</v>
      </c>
    </row>
    <row r="579" spans="1:6" x14ac:dyDescent="0.25">
      <c r="A579" t="s">
        <v>73</v>
      </c>
      <c r="B579" t="s">
        <v>75</v>
      </c>
      <c r="C579">
        <v>2</v>
      </c>
      <c r="D579">
        <v>0</v>
      </c>
      <c r="E579">
        <v>2</v>
      </c>
      <c r="F579">
        <v>977818</v>
      </c>
    </row>
    <row r="580" spans="1:6" x14ac:dyDescent="0.25">
      <c r="A580" t="s">
        <v>73</v>
      </c>
      <c r="B580" t="s">
        <v>75</v>
      </c>
      <c r="C580">
        <v>2</v>
      </c>
      <c r="D580">
        <v>0</v>
      </c>
      <c r="E580">
        <v>3</v>
      </c>
      <c r="F580">
        <v>42337</v>
      </c>
    </row>
    <row r="581" spans="1:6" x14ac:dyDescent="0.25">
      <c r="A581" t="s">
        <v>73</v>
      </c>
      <c r="B581" t="s">
        <v>75</v>
      </c>
      <c r="C581">
        <v>2</v>
      </c>
      <c r="D581">
        <v>0</v>
      </c>
      <c r="E581">
        <v>4</v>
      </c>
      <c r="F581">
        <v>444864</v>
      </c>
    </row>
    <row r="582" spans="1:6" x14ac:dyDescent="0.25">
      <c r="A582" t="s">
        <v>73</v>
      </c>
      <c r="B582" t="s">
        <v>75</v>
      </c>
      <c r="C582">
        <v>2</v>
      </c>
      <c r="D582">
        <v>0</v>
      </c>
      <c r="E582">
        <v>5</v>
      </c>
      <c r="F582">
        <v>4521</v>
      </c>
    </row>
    <row r="583" spans="1:6" x14ac:dyDescent="0.25">
      <c r="A583" t="s">
        <v>73</v>
      </c>
      <c r="B583" t="s">
        <v>75</v>
      </c>
      <c r="C583">
        <v>2</v>
      </c>
      <c r="D583">
        <v>0</v>
      </c>
      <c r="E583">
        <v>6</v>
      </c>
      <c r="F583">
        <v>150364</v>
      </c>
    </row>
    <row r="584" spans="1:6" x14ac:dyDescent="0.25">
      <c r="A584" t="s">
        <v>73</v>
      </c>
      <c r="B584" t="s">
        <v>75</v>
      </c>
      <c r="C584">
        <v>2</v>
      </c>
      <c r="D584">
        <v>1</v>
      </c>
      <c r="E584">
        <v>1</v>
      </c>
      <c r="F584">
        <v>3719215</v>
      </c>
    </row>
    <row r="585" spans="1:6" x14ac:dyDescent="0.25">
      <c r="A585" t="s">
        <v>73</v>
      </c>
      <c r="B585" t="s">
        <v>75</v>
      </c>
      <c r="C585">
        <v>2</v>
      </c>
      <c r="D585">
        <v>1</v>
      </c>
      <c r="E585">
        <v>2</v>
      </c>
      <c r="F585">
        <v>936477</v>
      </c>
    </row>
    <row r="586" spans="1:6" x14ac:dyDescent="0.25">
      <c r="A586" t="s">
        <v>73</v>
      </c>
      <c r="B586" t="s">
        <v>75</v>
      </c>
      <c r="C586">
        <v>2</v>
      </c>
      <c r="D586">
        <v>1</v>
      </c>
      <c r="E586">
        <v>3</v>
      </c>
      <c r="F586">
        <v>10110</v>
      </c>
    </row>
    <row r="587" spans="1:6" x14ac:dyDescent="0.25">
      <c r="A587" t="s">
        <v>73</v>
      </c>
      <c r="B587" t="s">
        <v>75</v>
      </c>
      <c r="C587">
        <v>2</v>
      </c>
      <c r="D587">
        <v>1</v>
      </c>
      <c r="E587">
        <v>4</v>
      </c>
      <c r="F587">
        <v>434825</v>
      </c>
    </row>
    <row r="588" spans="1:6" x14ac:dyDescent="0.25">
      <c r="A588" t="s">
        <v>73</v>
      </c>
      <c r="B588" t="s">
        <v>75</v>
      </c>
      <c r="C588">
        <v>2</v>
      </c>
      <c r="D588">
        <v>1</v>
      </c>
      <c r="E588">
        <v>5</v>
      </c>
      <c r="F588">
        <v>2003</v>
      </c>
    </row>
    <row r="589" spans="1:6" x14ac:dyDescent="0.25">
      <c r="A589" t="s">
        <v>73</v>
      </c>
      <c r="B589" t="s">
        <v>75</v>
      </c>
      <c r="C589">
        <v>2</v>
      </c>
      <c r="D589">
        <v>1</v>
      </c>
      <c r="E589">
        <v>6</v>
      </c>
      <c r="F589">
        <v>120686</v>
      </c>
    </row>
    <row r="590" spans="1:6" x14ac:dyDescent="0.25">
      <c r="A590" t="s">
        <v>73</v>
      </c>
      <c r="B590" t="s">
        <v>75</v>
      </c>
      <c r="C590">
        <v>2</v>
      </c>
      <c r="D590">
        <v>2</v>
      </c>
      <c r="E590">
        <v>1</v>
      </c>
      <c r="F590">
        <v>1088707</v>
      </c>
    </row>
    <row r="591" spans="1:6" x14ac:dyDescent="0.25">
      <c r="A591" t="s">
        <v>73</v>
      </c>
      <c r="B591" t="s">
        <v>75</v>
      </c>
      <c r="C591">
        <v>2</v>
      </c>
      <c r="D591">
        <v>2</v>
      </c>
      <c r="E591">
        <v>2</v>
      </c>
      <c r="F591">
        <v>41341</v>
      </c>
    </row>
    <row r="592" spans="1:6" x14ac:dyDescent="0.25">
      <c r="A592" t="s">
        <v>73</v>
      </c>
      <c r="B592" t="s">
        <v>75</v>
      </c>
      <c r="C592">
        <v>2</v>
      </c>
      <c r="D592">
        <v>2</v>
      </c>
      <c r="E592">
        <v>3</v>
      </c>
      <c r="F592">
        <v>32227</v>
      </c>
    </row>
    <row r="593" spans="1:6" x14ac:dyDescent="0.25">
      <c r="A593" t="s">
        <v>73</v>
      </c>
      <c r="B593" t="s">
        <v>75</v>
      </c>
      <c r="C593">
        <v>2</v>
      </c>
      <c r="D593">
        <v>2</v>
      </c>
      <c r="E593">
        <v>4</v>
      </c>
      <c r="F593">
        <v>10039</v>
      </c>
    </row>
    <row r="594" spans="1:6" x14ac:dyDescent="0.25">
      <c r="A594" t="s">
        <v>73</v>
      </c>
      <c r="B594" t="s">
        <v>75</v>
      </c>
      <c r="C594">
        <v>2</v>
      </c>
      <c r="D594">
        <v>2</v>
      </c>
      <c r="E594">
        <v>5</v>
      </c>
      <c r="F594">
        <v>2518</v>
      </c>
    </row>
    <row r="595" spans="1:6" x14ac:dyDescent="0.25">
      <c r="A595" t="s">
        <v>73</v>
      </c>
      <c r="B595" t="s">
        <v>75</v>
      </c>
      <c r="C595">
        <v>2</v>
      </c>
      <c r="D595">
        <v>2</v>
      </c>
      <c r="E595">
        <v>6</v>
      </c>
      <c r="F595">
        <v>29678</v>
      </c>
    </row>
    <row r="596" spans="1:6" x14ac:dyDescent="0.25">
      <c r="A596" t="s">
        <v>77</v>
      </c>
      <c r="B596" t="s">
        <v>79</v>
      </c>
      <c r="C596">
        <v>0</v>
      </c>
      <c r="D596">
        <v>0</v>
      </c>
      <c r="E596">
        <v>1</v>
      </c>
      <c r="F596">
        <v>5759679</v>
      </c>
    </row>
    <row r="597" spans="1:6" x14ac:dyDescent="0.25">
      <c r="A597" t="s">
        <v>77</v>
      </c>
      <c r="B597" t="s">
        <v>79</v>
      </c>
      <c r="C597">
        <v>0</v>
      </c>
      <c r="D597">
        <v>0</v>
      </c>
      <c r="E597">
        <v>2</v>
      </c>
      <c r="F597">
        <v>735661</v>
      </c>
    </row>
    <row r="598" spans="1:6" x14ac:dyDescent="0.25">
      <c r="A598" t="s">
        <v>77</v>
      </c>
      <c r="B598" t="s">
        <v>79</v>
      </c>
      <c r="C598">
        <v>0</v>
      </c>
      <c r="D598">
        <v>0</v>
      </c>
      <c r="E598">
        <v>3</v>
      </c>
      <c r="F598">
        <v>34219</v>
      </c>
    </row>
    <row r="599" spans="1:6" x14ac:dyDescent="0.25">
      <c r="A599" t="s">
        <v>77</v>
      </c>
      <c r="B599" t="s">
        <v>79</v>
      </c>
      <c r="C599">
        <v>0</v>
      </c>
      <c r="D599">
        <v>0</v>
      </c>
      <c r="E599">
        <v>4</v>
      </c>
      <c r="F599">
        <v>214430</v>
      </c>
    </row>
    <row r="600" spans="1:6" x14ac:dyDescent="0.25">
      <c r="A600" t="s">
        <v>77</v>
      </c>
      <c r="B600" t="s">
        <v>79</v>
      </c>
      <c r="C600">
        <v>0</v>
      </c>
      <c r="D600">
        <v>0</v>
      </c>
      <c r="E600">
        <v>5</v>
      </c>
      <c r="F600">
        <v>6026</v>
      </c>
    </row>
    <row r="601" spans="1:6" x14ac:dyDescent="0.25">
      <c r="A601" t="s">
        <v>77</v>
      </c>
      <c r="B601" t="s">
        <v>79</v>
      </c>
      <c r="C601">
        <v>0</v>
      </c>
      <c r="D601">
        <v>0</v>
      </c>
      <c r="E601">
        <v>6</v>
      </c>
      <c r="F601">
        <v>174260</v>
      </c>
    </row>
    <row r="602" spans="1:6" x14ac:dyDescent="0.25">
      <c r="A602" t="s">
        <v>77</v>
      </c>
      <c r="B602" t="s">
        <v>79</v>
      </c>
      <c r="C602">
        <v>0</v>
      </c>
      <c r="D602">
        <v>1</v>
      </c>
      <c r="E602">
        <v>1</v>
      </c>
      <c r="F602">
        <v>5209784</v>
      </c>
    </row>
    <row r="603" spans="1:6" x14ac:dyDescent="0.25">
      <c r="A603" t="s">
        <v>77</v>
      </c>
      <c r="B603" t="s">
        <v>79</v>
      </c>
      <c r="C603">
        <v>0</v>
      </c>
      <c r="D603">
        <v>1</v>
      </c>
      <c r="E603">
        <v>2</v>
      </c>
      <c r="F603">
        <v>701807</v>
      </c>
    </row>
    <row r="604" spans="1:6" x14ac:dyDescent="0.25">
      <c r="A604" t="s">
        <v>77</v>
      </c>
      <c r="B604" t="s">
        <v>79</v>
      </c>
      <c r="C604">
        <v>0</v>
      </c>
      <c r="D604">
        <v>1</v>
      </c>
      <c r="E604">
        <v>3</v>
      </c>
      <c r="F604">
        <v>15936</v>
      </c>
    </row>
    <row r="605" spans="1:6" x14ac:dyDescent="0.25">
      <c r="A605" t="s">
        <v>77</v>
      </c>
      <c r="B605" t="s">
        <v>79</v>
      </c>
      <c r="C605">
        <v>0</v>
      </c>
      <c r="D605">
        <v>1</v>
      </c>
      <c r="E605">
        <v>4</v>
      </c>
      <c r="F605">
        <v>209864</v>
      </c>
    </row>
    <row r="606" spans="1:6" x14ac:dyDescent="0.25">
      <c r="A606" t="s">
        <v>77</v>
      </c>
      <c r="B606" t="s">
        <v>79</v>
      </c>
      <c r="C606">
        <v>0</v>
      </c>
      <c r="D606">
        <v>1</v>
      </c>
      <c r="E606">
        <v>5</v>
      </c>
      <c r="F606">
        <v>3271</v>
      </c>
    </row>
    <row r="607" spans="1:6" x14ac:dyDescent="0.25">
      <c r="A607" t="s">
        <v>77</v>
      </c>
      <c r="B607" t="s">
        <v>79</v>
      </c>
      <c r="C607">
        <v>0</v>
      </c>
      <c r="D607">
        <v>1</v>
      </c>
      <c r="E607">
        <v>6</v>
      </c>
      <c r="F607">
        <v>152599</v>
      </c>
    </row>
    <row r="608" spans="1:6" x14ac:dyDescent="0.25">
      <c r="A608" t="s">
        <v>77</v>
      </c>
      <c r="B608" t="s">
        <v>79</v>
      </c>
      <c r="C608">
        <v>0</v>
      </c>
      <c r="D608">
        <v>2</v>
      </c>
      <c r="E608">
        <v>1</v>
      </c>
      <c r="F608">
        <v>549895</v>
      </c>
    </row>
    <row r="609" spans="1:6" x14ac:dyDescent="0.25">
      <c r="A609" t="s">
        <v>77</v>
      </c>
      <c r="B609" t="s">
        <v>79</v>
      </c>
      <c r="C609">
        <v>0</v>
      </c>
      <c r="D609">
        <v>2</v>
      </c>
      <c r="E609">
        <v>2</v>
      </c>
      <c r="F609">
        <v>33854</v>
      </c>
    </row>
    <row r="610" spans="1:6" x14ac:dyDescent="0.25">
      <c r="A610" t="s">
        <v>77</v>
      </c>
      <c r="B610" t="s">
        <v>79</v>
      </c>
      <c r="C610">
        <v>0</v>
      </c>
      <c r="D610">
        <v>2</v>
      </c>
      <c r="E610">
        <v>3</v>
      </c>
      <c r="F610">
        <v>18283</v>
      </c>
    </row>
    <row r="611" spans="1:6" x14ac:dyDescent="0.25">
      <c r="A611" t="s">
        <v>77</v>
      </c>
      <c r="B611" t="s">
        <v>79</v>
      </c>
      <c r="C611">
        <v>0</v>
      </c>
      <c r="D611">
        <v>2</v>
      </c>
      <c r="E611">
        <v>4</v>
      </c>
      <c r="F611">
        <v>4566</v>
      </c>
    </row>
    <row r="612" spans="1:6" x14ac:dyDescent="0.25">
      <c r="A612" t="s">
        <v>77</v>
      </c>
      <c r="B612" t="s">
        <v>79</v>
      </c>
      <c r="C612">
        <v>0</v>
      </c>
      <c r="D612">
        <v>2</v>
      </c>
      <c r="E612">
        <v>5</v>
      </c>
      <c r="F612">
        <v>2755</v>
      </c>
    </row>
    <row r="613" spans="1:6" x14ac:dyDescent="0.25">
      <c r="A613" t="s">
        <v>77</v>
      </c>
      <c r="B613" t="s">
        <v>79</v>
      </c>
      <c r="C613">
        <v>0</v>
      </c>
      <c r="D613">
        <v>2</v>
      </c>
      <c r="E613">
        <v>6</v>
      </c>
      <c r="F613">
        <v>21661</v>
      </c>
    </row>
    <row r="614" spans="1:6" x14ac:dyDescent="0.25">
      <c r="A614" t="s">
        <v>77</v>
      </c>
      <c r="B614" t="s">
        <v>79</v>
      </c>
      <c r="C614">
        <v>1</v>
      </c>
      <c r="D614">
        <v>0</v>
      </c>
      <c r="E614">
        <v>1</v>
      </c>
      <c r="F614">
        <v>2862738</v>
      </c>
    </row>
    <row r="615" spans="1:6" x14ac:dyDescent="0.25">
      <c r="A615" t="s">
        <v>77</v>
      </c>
      <c r="B615" t="s">
        <v>79</v>
      </c>
      <c r="C615">
        <v>1</v>
      </c>
      <c r="D615">
        <v>0</v>
      </c>
      <c r="E615">
        <v>2</v>
      </c>
      <c r="F615">
        <v>356224</v>
      </c>
    </row>
    <row r="616" spans="1:6" x14ac:dyDescent="0.25">
      <c r="A616" t="s">
        <v>77</v>
      </c>
      <c r="B616" t="s">
        <v>79</v>
      </c>
      <c r="C616">
        <v>1</v>
      </c>
      <c r="D616">
        <v>0</v>
      </c>
      <c r="E616">
        <v>3</v>
      </c>
      <c r="F616">
        <v>17484</v>
      </c>
    </row>
    <row r="617" spans="1:6" x14ac:dyDescent="0.25">
      <c r="A617" t="s">
        <v>77</v>
      </c>
      <c r="B617" t="s">
        <v>79</v>
      </c>
      <c r="C617">
        <v>1</v>
      </c>
      <c r="D617">
        <v>0</v>
      </c>
      <c r="E617">
        <v>4</v>
      </c>
      <c r="F617">
        <v>108927</v>
      </c>
    </row>
    <row r="618" spans="1:6" x14ac:dyDescent="0.25">
      <c r="A618" t="s">
        <v>77</v>
      </c>
      <c r="B618" t="s">
        <v>79</v>
      </c>
      <c r="C618">
        <v>1</v>
      </c>
      <c r="D618">
        <v>0</v>
      </c>
      <c r="E618">
        <v>5</v>
      </c>
      <c r="F618">
        <v>3028</v>
      </c>
    </row>
    <row r="619" spans="1:6" x14ac:dyDescent="0.25">
      <c r="A619" t="s">
        <v>77</v>
      </c>
      <c r="B619" t="s">
        <v>79</v>
      </c>
      <c r="C619">
        <v>1</v>
      </c>
      <c r="D619">
        <v>0</v>
      </c>
      <c r="E619">
        <v>6</v>
      </c>
      <c r="F619">
        <v>87103</v>
      </c>
    </row>
    <row r="620" spans="1:6" x14ac:dyDescent="0.25">
      <c r="A620" t="s">
        <v>77</v>
      </c>
      <c r="B620" t="s">
        <v>79</v>
      </c>
      <c r="C620">
        <v>1</v>
      </c>
      <c r="D620">
        <v>1</v>
      </c>
      <c r="E620">
        <v>1</v>
      </c>
      <c r="F620">
        <v>2578423</v>
      </c>
    </row>
    <row r="621" spans="1:6" x14ac:dyDescent="0.25">
      <c r="A621" t="s">
        <v>77</v>
      </c>
      <c r="B621" t="s">
        <v>79</v>
      </c>
      <c r="C621">
        <v>1</v>
      </c>
      <c r="D621">
        <v>1</v>
      </c>
      <c r="E621">
        <v>2</v>
      </c>
      <c r="F621">
        <v>339880</v>
      </c>
    </row>
    <row r="622" spans="1:6" x14ac:dyDescent="0.25">
      <c r="A622" t="s">
        <v>77</v>
      </c>
      <c r="B622" t="s">
        <v>79</v>
      </c>
      <c r="C622">
        <v>1</v>
      </c>
      <c r="D622">
        <v>1</v>
      </c>
      <c r="E622">
        <v>3</v>
      </c>
      <c r="F622">
        <v>7933</v>
      </c>
    </row>
    <row r="623" spans="1:6" x14ac:dyDescent="0.25">
      <c r="A623" t="s">
        <v>77</v>
      </c>
      <c r="B623" t="s">
        <v>79</v>
      </c>
      <c r="C623">
        <v>1</v>
      </c>
      <c r="D623">
        <v>1</v>
      </c>
      <c r="E623">
        <v>4</v>
      </c>
      <c r="F623">
        <v>106506</v>
      </c>
    </row>
    <row r="624" spans="1:6" x14ac:dyDescent="0.25">
      <c r="A624" t="s">
        <v>77</v>
      </c>
      <c r="B624" t="s">
        <v>79</v>
      </c>
      <c r="C624">
        <v>1</v>
      </c>
      <c r="D624">
        <v>1</v>
      </c>
      <c r="E624">
        <v>5</v>
      </c>
      <c r="F624">
        <v>1672</v>
      </c>
    </row>
    <row r="625" spans="1:6" x14ac:dyDescent="0.25">
      <c r="A625" t="s">
        <v>77</v>
      </c>
      <c r="B625" t="s">
        <v>79</v>
      </c>
      <c r="C625">
        <v>1</v>
      </c>
      <c r="D625">
        <v>1</v>
      </c>
      <c r="E625">
        <v>6</v>
      </c>
      <c r="F625">
        <v>76094</v>
      </c>
    </row>
    <row r="626" spans="1:6" x14ac:dyDescent="0.25">
      <c r="A626" t="s">
        <v>77</v>
      </c>
      <c r="B626" t="s">
        <v>79</v>
      </c>
      <c r="C626">
        <v>1</v>
      </c>
      <c r="D626">
        <v>2</v>
      </c>
      <c r="E626">
        <v>1</v>
      </c>
      <c r="F626">
        <v>284315</v>
      </c>
    </row>
    <row r="627" spans="1:6" x14ac:dyDescent="0.25">
      <c r="A627" t="s">
        <v>77</v>
      </c>
      <c r="B627" t="s">
        <v>79</v>
      </c>
      <c r="C627">
        <v>1</v>
      </c>
      <c r="D627">
        <v>2</v>
      </c>
      <c r="E627">
        <v>2</v>
      </c>
      <c r="F627">
        <v>16344</v>
      </c>
    </row>
    <row r="628" spans="1:6" x14ac:dyDescent="0.25">
      <c r="A628" t="s">
        <v>77</v>
      </c>
      <c r="B628" t="s">
        <v>79</v>
      </c>
      <c r="C628">
        <v>1</v>
      </c>
      <c r="D628">
        <v>2</v>
      </c>
      <c r="E628">
        <v>3</v>
      </c>
      <c r="F628">
        <v>9551</v>
      </c>
    </row>
    <row r="629" spans="1:6" x14ac:dyDescent="0.25">
      <c r="A629" t="s">
        <v>77</v>
      </c>
      <c r="B629" t="s">
        <v>79</v>
      </c>
      <c r="C629">
        <v>1</v>
      </c>
      <c r="D629">
        <v>2</v>
      </c>
      <c r="E629">
        <v>4</v>
      </c>
      <c r="F629">
        <v>2421</v>
      </c>
    </row>
    <row r="630" spans="1:6" x14ac:dyDescent="0.25">
      <c r="A630" t="s">
        <v>77</v>
      </c>
      <c r="B630" t="s">
        <v>79</v>
      </c>
      <c r="C630">
        <v>1</v>
      </c>
      <c r="D630">
        <v>2</v>
      </c>
      <c r="E630">
        <v>5</v>
      </c>
      <c r="F630">
        <v>1356</v>
      </c>
    </row>
    <row r="631" spans="1:6" x14ac:dyDescent="0.25">
      <c r="A631" t="s">
        <v>77</v>
      </c>
      <c r="B631" t="s">
        <v>79</v>
      </c>
      <c r="C631">
        <v>1</v>
      </c>
      <c r="D631">
        <v>2</v>
      </c>
      <c r="E631">
        <v>6</v>
      </c>
      <c r="F631">
        <v>11009</v>
      </c>
    </row>
    <row r="632" spans="1:6" x14ac:dyDescent="0.25">
      <c r="A632" t="s">
        <v>77</v>
      </c>
      <c r="B632" t="s">
        <v>79</v>
      </c>
      <c r="C632">
        <v>2</v>
      </c>
      <c r="D632">
        <v>0</v>
      </c>
      <c r="E632">
        <v>1</v>
      </c>
      <c r="F632">
        <v>2896941</v>
      </c>
    </row>
    <row r="633" spans="1:6" x14ac:dyDescent="0.25">
      <c r="A633" t="s">
        <v>77</v>
      </c>
      <c r="B633" t="s">
        <v>79</v>
      </c>
      <c r="C633">
        <v>2</v>
      </c>
      <c r="D633">
        <v>0</v>
      </c>
      <c r="E633">
        <v>2</v>
      </c>
      <c r="F633">
        <v>379437</v>
      </c>
    </row>
    <row r="634" spans="1:6" x14ac:dyDescent="0.25">
      <c r="A634" t="s">
        <v>77</v>
      </c>
      <c r="B634" t="s">
        <v>79</v>
      </c>
      <c r="C634">
        <v>2</v>
      </c>
      <c r="D634">
        <v>0</v>
      </c>
      <c r="E634">
        <v>3</v>
      </c>
      <c r="F634">
        <v>16735</v>
      </c>
    </row>
    <row r="635" spans="1:6" x14ac:dyDescent="0.25">
      <c r="A635" t="s">
        <v>77</v>
      </c>
      <c r="B635" t="s">
        <v>79</v>
      </c>
      <c r="C635">
        <v>2</v>
      </c>
      <c r="D635">
        <v>0</v>
      </c>
      <c r="E635">
        <v>4</v>
      </c>
      <c r="F635">
        <v>105503</v>
      </c>
    </row>
    <row r="636" spans="1:6" x14ac:dyDescent="0.25">
      <c r="A636" t="s">
        <v>77</v>
      </c>
      <c r="B636" t="s">
        <v>79</v>
      </c>
      <c r="C636">
        <v>2</v>
      </c>
      <c r="D636">
        <v>0</v>
      </c>
      <c r="E636">
        <v>5</v>
      </c>
      <c r="F636">
        <v>2998</v>
      </c>
    </row>
    <row r="637" spans="1:6" x14ac:dyDescent="0.25">
      <c r="A637" t="s">
        <v>77</v>
      </c>
      <c r="B637" t="s">
        <v>79</v>
      </c>
      <c r="C637">
        <v>2</v>
      </c>
      <c r="D637">
        <v>0</v>
      </c>
      <c r="E637">
        <v>6</v>
      </c>
      <c r="F637">
        <v>87157</v>
      </c>
    </row>
    <row r="638" spans="1:6" x14ac:dyDescent="0.25">
      <c r="A638" t="s">
        <v>77</v>
      </c>
      <c r="B638" t="s">
        <v>79</v>
      </c>
      <c r="C638">
        <v>2</v>
      </c>
      <c r="D638">
        <v>1</v>
      </c>
      <c r="E638">
        <v>1</v>
      </c>
      <c r="F638">
        <v>2631361</v>
      </c>
    </row>
    <row r="639" spans="1:6" x14ac:dyDescent="0.25">
      <c r="A639" t="s">
        <v>77</v>
      </c>
      <c r="B639" t="s">
        <v>79</v>
      </c>
      <c r="C639">
        <v>2</v>
      </c>
      <c r="D639">
        <v>1</v>
      </c>
      <c r="E639">
        <v>2</v>
      </c>
      <c r="F639">
        <v>361927</v>
      </c>
    </row>
    <row r="640" spans="1:6" x14ac:dyDescent="0.25">
      <c r="A640" t="s">
        <v>77</v>
      </c>
      <c r="B640" t="s">
        <v>79</v>
      </c>
      <c r="C640">
        <v>2</v>
      </c>
      <c r="D640">
        <v>1</v>
      </c>
      <c r="E640">
        <v>3</v>
      </c>
      <c r="F640">
        <v>8003</v>
      </c>
    </row>
    <row r="641" spans="1:6" x14ac:dyDescent="0.25">
      <c r="A641" t="s">
        <v>77</v>
      </c>
      <c r="B641" t="s">
        <v>79</v>
      </c>
      <c r="C641">
        <v>2</v>
      </c>
      <c r="D641">
        <v>1</v>
      </c>
      <c r="E641">
        <v>4</v>
      </c>
      <c r="F641">
        <v>103358</v>
      </c>
    </row>
    <row r="642" spans="1:6" x14ac:dyDescent="0.25">
      <c r="A642" t="s">
        <v>77</v>
      </c>
      <c r="B642" t="s">
        <v>79</v>
      </c>
      <c r="C642">
        <v>2</v>
      </c>
      <c r="D642">
        <v>1</v>
      </c>
      <c r="E642">
        <v>5</v>
      </c>
      <c r="F642">
        <v>1599</v>
      </c>
    </row>
    <row r="643" spans="1:6" x14ac:dyDescent="0.25">
      <c r="A643" t="s">
        <v>77</v>
      </c>
      <c r="B643" t="s">
        <v>79</v>
      </c>
      <c r="C643">
        <v>2</v>
      </c>
      <c r="D643">
        <v>1</v>
      </c>
      <c r="E643">
        <v>6</v>
      </c>
      <c r="F643">
        <v>76505</v>
      </c>
    </row>
    <row r="644" spans="1:6" x14ac:dyDescent="0.25">
      <c r="A644" t="s">
        <v>77</v>
      </c>
      <c r="B644" t="s">
        <v>79</v>
      </c>
      <c r="C644">
        <v>2</v>
      </c>
      <c r="D644">
        <v>2</v>
      </c>
      <c r="E644">
        <v>1</v>
      </c>
      <c r="F644">
        <v>265580</v>
      </c>
    </row>
    <row r="645" spans="1:6" x14ac:dyDescent="0.25">
      <c r="A645" t="s">
        <v>77</v>
      </c>
      <c r="B645" t="s">
        <v>79</v>
      </c>
      <c r="C645">
        <v>2</v>
      </c>
      <c r="D645">
        <v>2</v>
      </c>
      <c r="E645">
        <v>2</v>
      </c>
      <c r="F645">
        <v>17510</v>
      </c>
    </row>
    <row r="646" spans="1:6" x14ac:dyDescent="0.25">
      <c r="A646" t="s">
        <v>77</v>
      </c>
      <c r="B646" t="s">
        <v>79</v>
      </c>
      <c r="C646">
        <v>2</v>
      </c>
      <c r="D646">
        <v>2</v>
      </c>
      <c r="E646">
        <v>3</v>
      </c>
      <c r="F646">
        <v>8732</v>
      </c>
    </row>
    <row r="647" spans="1:6" x14ac:dyDescent="0.25">
      <c r="A647" t="s">
        <v>77</v>
      </c>
      <c r="B647" t="s">
        <v>79</v>
      </c>
      <c r="C647">
        <v>2</v>
      </c>
      <c r="D647">
        <v>2</v>
      </c>
      <c r="E647">
        <v>4</v>
      </c>
      <c r="F647">
        <v>2145</v>
      </c>
    </row>
    <row r="648" spans="1:6" x14ac:dyDescent="0.25">
      <c r="A648" t="s">
        <v>77</v>
      </c>
      <c r="B648" t="s">
        <v>79</v>
      </c>
      <c r="C648">
        <v>2</v>
      </c>
      <c r="D648">
        <v>2</v>
      </c>
      <c r="E648">
        <v>5</v>
      </c>
      <c r="F648">
        <v>1399</v>
      </c>
    </row>
    <row r="649" spans="1:6" x14ac:dyDescent="0.25">
      <c r="A649" t="s">
        <v>77</v>
      </c>
      <c r="B649" t="s">
        <v>79</v>
      </c>
      <c r="C649">
        <v>2</v>
      </c>
      <c r="D649">
        <v>2</v>
      </c>
      <c r="E649">
        <v>6</v>
      </c>
      <c r="F649">
        <v>10652</v>
      </c>
    </row>
    <row r="650" spans="1:6" x14ac:dyDescent="0.25">
      <c r="A650" t="s">
        <v>80</v>
      </c>
      <c r="B650" t="s">
        <v>82</v>
      </c>
      <c r="C650">
        <v>0</v>
      </c>
      <c r="D650">
        <v>0</v>
      </c>
      <c r="E650">
        <v>1</v>
      </c>
      <c r="F650">
        <v>2884435</v>
      </c>
    </row>
    <row r="651" spans="1:6" x14ac:dyDescent="0.25">
      <c r="A651" t="s">
        <v>80</v>
      </c>
      <c r="B651" t="s">
        <v>82</v>
      </c>
      <c r="C651">
        <v>0</v>
      </c>
      <c r="D651">
        <v>0</v>
      </c>
      <c r="E651">
        <v>2</v>
      </c>
      <c r="F651">
        <v>153983</v>
      </c>
    </row>
    <row r="652" spans="1:6" x14ac:dyDescent="0.25">
      <c r="A652" t="s">
        <v>80</v>
      </c>
      <c r="B652" t="s">
        <v>82</v>
      </c>
      <c r="C652">
        <v>0</v>
      </c>
      <c r="D652">
        <v>0</v>
      </c>
      <c r="E652">
        <v>3</v>
      </c>
      <c r="F652">
        <v>22468</v>
      </c>
    </row>
    <row r="653" spans="1:6" x14ac:dyDescent="0.25">
      <c r="A653" t="s">
        <v>80</v>
      </c>
      <c r="B653" t="s">
        <v>82</v>
      </c>
      <c r="C653">
        <v>0</v>
      </c>
      <c r="D653">
        <v>0</v>
      </c>
      <c r="E653">
        <v>4</v>
      </c>
      <c r="F653">
        <v>94956</v>
      </c>
    </row>
    <row r="654" spans="1:6" x14ac:dyDescent="0.25">
      <c r="A654" t="s">
        <v>80</v>
      </c>
      <c r="B654" t="s">
        <v>82</v>
      </c>
      <c r="C654">
        <v>0</v>
      </c>
      <c r="D654">
        <v>0</v>
      </c>
      <c r="E654">
        <v>5</v>
      </c>
      <c r="F654">
        <v>10777</v>
      </c>
    </row>
    <row r="655" spans="1:6" x14ac:dyDescent="0.25">
      <c r="A655" t="s">
        <v>80</v>
      </c>
      <c r="B655" t="s">
        <v>82</v>
      </c>
      <c r="C655">
        <v>0</v>
      </c>
      <c r="D655">
        <v>0</v>
      </c>
      <c r="E655">
        <v>6</v>
      </c>
      <c r="F655">
        <v>74869</v>
      </c>
    </row>
    <row r="656" spans="1:6" x14ac:dyDescent="0.25">
      <c r="A656" t="s">
        <v>80</v>
      </c>
      <c r="B656" t="s">
        <v>82</v>
      </c>
      <c r="C656">
        <v>0</v>
      </c>
      <c r="D656">
        <v>1</v>
      </c>
      <c r="E656">
        <v>1</v>
      </c>
      <c r="F656">
        <v>2662718</v>
      </c>
    </row>
    <row r="657" spans="1:6" x14ac:dyDescent="0.25">
      <c r="A657" t="s">
        <v>80</v>
      </c>
      <c r="B657" t="s">
        <v>82</v>
      </c>
      <c r="C657">
        <v>0</v>
      </c>
      <c r="D657">
        <v>1</v>
      </c>
      <c r="E657">
        <v>2</v>
      </c>
      <c r="F657">
        <v>145679</v>
      </c>
    </row>
    <row r="658" spans="1:6" x14ac:dyDescent="0.25">
      <c r="A658" t="s">
        <v>80</v>
      </c>
      <c r="B658" t="s">
        <v>82</v>
      </c>
      <c r="C658">
        <v>0</v>
      </c>
      <c r="D658">
        <v>1</v>
      </c>
      <c r="E658">
        <v>3</v>
      </c>
      <c r="F658">
        <v>10059</v>
      </c>
    </row>
    <row r="659" spans="1:6" x14ac:dyDescent="0.25">
      <c r="A659" t="s">
        <v>80</v>
      </c>
      <c r="B659" t="s">
        <v>82</v>
      </c>
      <c r="C659">
        <v>0</v>
      </c>
      <c r="D659">
        <v>1</v>
      </c>
      <c r="E659">
        <v>4</v>
      </c>
      <c r="F659">
        <v>92967</v>
      </c>
    </row>
    <row r="660" spans="1:6" x14ac:dyDescent="0.25">
      <c r="A660" t="s">
        <v>80</v>
      </c>
      <c r="B660" t="s">
        <v>82</v>
      </c>
      <c r="C660">
        <v>0</v>
      </c>
      <c r="D660">
        <v>1</v>
      </c>
      <c r="E660">
        <v>5</v>
      </c>
      <c r="F660">
        <v>9690</v>
      </c>
    </row>
    <row r="661" spans="1:6" x14ac:dyDescent="0.25">
      <c r="A661" t="s">
        <v>80</v>
      </c>
      <c r="B661" t="s">
        <v>82</v>
      </c>
      <c r="C661">
        <v>0</v>
      </c>
      <c r="D661">
        <v>1</v>
      </c>
      <c r="E661">
        <v>6</v>
      </c>
      <c r="F661">
        <v>65250</v>
      </c>
    </row>
    <row r="662" spans="1:6" x14ac:dyDescent="0.25">
      <c r="A662" t="s">
        <v>80</v>
      </c>
      <c r="B662" t="s">
        <v>82</v>
      </c>
      <c r="C662">
        <v>0</v>
      </c>
      <c r="D662">
        <v>2</v>
      </c>
      <c r="E662">
        <v>1</v>
      </c>
      <c r="F662">
        <v>221717</v>
      </c>
    </row>
    <row r="663" spans="1:6" x14ac:dyDescent="0.25">
      <c r="A663" t="s">
        <v>80</v>
      </c>
      <c r="B663" t="s">
        <v>82</v>
      </c>
      <c r="C663">
        <v>0</v>
      </c>
      <c r="D663">
        <v>2</v>
      </c>
      <c r="E663">
        <v>2</v>
      </c>
      <c r="F663">
        <v>8304</v>
      </c>
    </row>
    <row r="664" spans="1:6" x14ac:dyDescent="0.25">
      <c r="A664" t="s">
        <v>80</v>
      </c>
      <c r="B664" t="s">
        <v>82</v>
      </c>
      <c r="C664">
        <v>0</v>
      </c>
      <c r="D664">
        <v>2</v>
      </c>
      <c r="E664">
        <v>3</v>
      </c>
      <c r="F664">
        <v>12409</v>
      </c>
    </row>
    <row r="665" spans="1:6" x14ac:dyDescent="0.25">
      <c r="A665" t="s">
        <v>80</v>
      </c>
      <c r="B665" t="s">
        <v>82</v>
      </c>
      <c r="C665">
        <v>0</v>
      </c>
      <c r="D665">
        <v>2</v>
      </c>
      <c r="E665">
        <v>4</v>
      </c>
      <c r="F665">
        <v>1989</v>
      </c>
    </row>
    <row r="666" spans="1:6" x14ac:dyDescent="0.25">
      <c r="A666" t="s">
        <v>80</v>
      </c>
      <c r="B666" t="s">
        <v>82</v>
      </c>
      <c r="C666">
        <v>0</v>
      </c>
      <c r="D666">
        <v>2</v>
      </c>
      <c r="E666">
        <v>5</v>
      </c>
      <c r="F666">
        <v>1087</v>
      </c>
    </row>
    <row r="667" spans="1:6" x14ac:dyDescent="0.25">
      <c r="A667" t="s">
        <v>80</v>
      </c>
      <c r="B667" t="s">
        <v>82</v>
      </c>
      <c r="C667">
        <v>0</v>
      </c>
      <c r="D667">
        <v>2</v>
      </c>
      <c r="E667">
        <v>6</v>
      </c>
      <c r="F667">
        <v>9619</v>
      </c>
    </row>
    <row r="668" spans="1:6" x14ac:dyDescent="0.25">
      <c r="A668" t="s">
        <v>80</v>
      </c>
      <c r="B668" t="s">
        <v>82</v>
      </c>
      <c r="C668">
        <v>1</v>
      </c>
      <c r="D668">
        <v>0</v>
      </c>
      <c r="E668">
        <v>1</v>
      </c>
      <c r="F668">
        <v>1441542</v>
      </c>
    </row>
    <row r="669" spans="1:6" x14ac:dyDescent="0.25">
      <c r="A669" t="s">
        <v>80</v>
      </c>
      <c r="B669" t="s">
        <v>82</v>
      </c>
      <c r="C669">
        <v>1</v>
      </c>
      <c r="D669">
        <v>0</v>
      </c>
      <c r="E669">
        <v>2</v>
      </c>
      <c r="F669">
        <v>82542</v>
      </c>
    </row>
    <row r="670" spans="1:6" x14ac:dyDescent="0.25">
      <c r="A670" t="s">
        <v>80</v>
      </c>
      <c r="B670" t="s">
        <v>82</v>
      </c>
      <c r="C670">
        <v>1</v>
      </c>
      <c r="D670">
        <v>0</v>
      </c>
      <c r="E670">
        <v>3</v>
      </c>
      <c r="F670">
        <v>11711</v>
      </c>
    </row>
    <row r="671" spans="1:6" x14ac:dyDescent="0.25">
      <c r="A671" t="s">
        <v>80</v>
      </c>
      <c r="B671" t="s">
        <v>82</v>
      </c>
      <c r="C671">
        <v>1</v>
      </c>
      <c r="D671">
        <v>0</v>
      </c>
      <c r="E671">
        <v>4</v>
      </c>
      <c r="F671">
        <v>48033</v>
      </c>
    </row>
    <row r="672" spans="1:6" x14ac:dyDescent="0.25">
      <c r="A672" t="s">
        <v>80</v>
      </c>
      <c r="B672" t="s">
        <v>82</v>
      </c>
      <c r="C672">
        <v>1</v>
      </c>
      <c r="D672">
        <v>0</v>
      </c>
      <c r="E672">
        <v>5</v>
      </c>
      <c r="F672">
        <v>5644</v>
      </c>
    </row>
    <row r="673" spans="1:6" x14ac:dyDescent="0.25">
      <c r="A673" t="s">
        <v>80</v>
      </c>
      <c r="B673" t="s">
        <v>82</v>
      </c>
      <c r="C673">
        <v>1</v>
      </c>
      <c r="D673">
        <v>0</v>
      </c>
      <c r="E673">
        <v>6</v>
      </c>
      <c r="F673">
        <v>37993</v>
      </c>
    </row>
    <row r="674" spans="1:6" x14ac:dyDescent="0.25">
      <c r="A674" t="s">
        <v>80</v>
      </c>
      <c r="B674" t="s">
        <v>82</v>
      </c>
      <c r="C674">
        <v>1</v>
      </c>
      <c r="D674">
        <v>1</v>
      </c>
      <c r="E674">
        <v>1</v>
      </c>
      <c r="F674">
        <v>1325412</v>
      </c>
    </row>
    <row r="675" spans="1:6" x14ac:dyDescent="0.25">
      <c r="A675" t="s">
        <v>80</v>
      </c>
      <c r="B675" t="s">
        <v>82</v>
      </c>
      <c r="C675">
        <v>1</v>
      </c>
      <c r="D675">
        <v>1</v>
      </c>
      <c r="E675">
        <v>2</v>
      </c>
      <c r="F675">
        <v>78222</v>
      </c>
    </row>
    <row r="676" spans="1:6" x14ac:dyDescent="0.25">
      <c r="A676" t="s">
        <v>80</v>
      </c>
      <c r="B676" t="s">
        <v>82</v>
      </c>
      <c r="C676">
        <v>1</v>
      </c>
      <c r="D676">
        <v>1</v>
      </c>
      <c r="E676">
        <v>3</v>
      </c>
      <c r="F676">
        <v>4999</v>
      </c>
    </row>
    <row r="677" spans="1:6" x14ac:dyDescent="0.25">
      <c r="A677" t="s">
        <v>80</v>
      </c>
      <c r="B677" t="s">
        <v>82</v>
      </c>
      <c r="C677">
        <v>1</v>
      </c>
      <c r="D677">
        <v>1</v>
      </c>
      <c r="E677">
        <v>4</v>
      </c>
      <c r="F677">
        <v>46988</v>
      </c>
    </row>
    <row r="678" spans="1:6" x14ac:dyDescent="0.25">
      <c r="A678" t="s">
        <v>80</v>
      </c>
      <c r="B678" t="s">
        <v>82</v>
      </c>
      <c r="C678">
        <v>1</v>
      </c>
      <c r="D678">
        <v>1</v>
      </c>
      <c r="E678">
        <v>5</v>
      </c>
      <c r="F678">
        <v>5059</v>
      </c>
    </row>
    <row r="679" spans="1:6" x14ac:dyDescent="0.25">
      <c r="A679" t="s">
        <v>80</v>
      </c>
      <c r="B679" t="s">
        <v>82</v>
      </c>
      <c r="C679">
        <v>1</v>
      </c>
      <c r="D679">
        <v>1</v>
      </c>
      <c r="E679">
        <v>6</v>
      </c>
      <c r="F679">
        <v>33098</v>
      </c>
    </row>
    <row r="680" spans="1:6" x14ac:dyDescent="0.25">
      <c r="A680" t="s">
        <v>80</v>
      </c>
      <c r="B680" t="s">
        <v>82</v>
      </c>
      <c r="C680">
        <v>1</v>
      </c>
      <c r="D680">
        <v>2</v>
      </c>
      <c r="E680">
        <v>1</v>
      </c>
      <c r="F680">
        <v>116130</v>
      </c>
    </row>
    <row r="681" spans="1:6" x14ac:dyDescent="0.25">
      <c r="A681" t="s">
        <v>80</v>
      </c>
      <c r="B681" t="s">
        <v>82</v>
      </c>
      <c r="C681">
        <v>1</v>
      </c>
      <c r="D681">
        <v>2</v>
      </c>
      <c r="E681">
        <v>2</v>
      </c>
      <c r="F681">
        <v>4320</v>
      </c>
    </row>
    <row r="682" spans="1:6" x14ac:dyDescent="0.25">
      <c r="A682" t="s">
        <v>80</v>
      </c>
      <c r="B682" t="s">
        <v>82</v>
      </c>
      <c r="C682">
        <v>1</v>
      </c>
      <c r="D682">
        <v>2</v>
      </c>
      <c r="E682">
        <v>3</v>
      </c>
      <c r="F682">
        <v>6712</v>
      </c>
    </row>
    <row r="683" spans="1:6" x14ac:dyDescent="0.25">
      <c r="A683" t="s">
        <v>80</v>
      </c>
      <c r="B683" t="s">
        <v>82</v>
      </c>
      <c r="C683">
        <v>1</v>
      </c>
      <c r="D683">
        <v>2</v>
      </c>
      <c r="E683">
        <v>4</v>
      </c>
      <c r="F683">
        <v>1045</v>
      </c>
    </row>
    <row r="684" spans="1:6" x14ac:dyDescent="0.25">
      <c r="A684" t="s">
        <v>80</v>
      </c>
      <c r="B684" t="s">
        <v>82</v>
      </c>
      <c r="C684">
        <v>1</v>
      </c>
      <c r="D684">
        <v>2</v>
      </c>
      <c r="E684">
        <v>5</v>
      </c>
      <c r="F684">
        <v>585</v>
      </c>
    </row>
    <row r="685" spans="1:6" x14ac:dyDescent="0.25">
      <c r="A685" t="s">
        <v>80</v>
      </c>
      <c r="B685" t="s">
        <v>82</v>
      </c>
      <c r="C685">
        <v>1</v>
      </c>
      <c r="D685">
        <v>2</v>
      </c>
      <c r="E685">
        <v>6</v>
      </c>
      <c r="F685">
        <v>4895</v>
      </c>
    </row>
    <row r="686" spans="1:6" x14ac:dyDescent="0.25">
      <c r="A686" t="s">
        <v>80</v>
      </c>
      <c r="B686" t="s">
        <v>82</v>
      </c>
      <c r="C686">
        <v>2</v>
      </c>
      <c r="D686">
        <v>0</v>
      </c>
      <c r="E686">
        <v>1</v>
      </c>
      <c r="F686">
        <v>1442893</v>
      </c>
    </row>
    <row r="687" spans="1:6" x14ac:dyDescent="0.25">
      <c r="A687" t="s">
        <v>80</v>
      </c>
      <c r="B687" t="s">
        <v>82</v>
      </c>
      <c r="C687">
        <v>2</v>
      </c>
      <c r="D687">
        <v>0</v>
      </c>
      <c r="E687">
        <v>2</v>
      </c>
      <c r="F687">
        <v>71441</v>
      </c>
    </row>
    <row r="688" spans="1:6" x14ac:dyDescent="0.25">
      <c r="A688" t="s">
        <v>80</v>
      </c>
      <c r="B688" t="s">
        <v>82</v>
      </c>
      <c r="C688">
        <v>2</v>
      </c>
      <c r="D688">
        <v>0</v>
      </c>
      <c r="E688">
        <v>3</v>
      </c>
      <c r="F688">
        <v>10757</v>
      </c>
    </row>
    <row r="689" spans="1:6" x14ac:dyDescent="0.25">
      <c r="A689" t="s">
        <v>80</v>
      </c>
      <c r="B689" t="s">
        <v>82</v>
      </c>
      <c r="C689">
        <v>2</v>
      </c>
      <c r="D689">
        <v>0</v>
      </c>
      <c r="E689">
        <v>4</v>
      </c>
      <c r="F689">
        <v>46923</v>
      </c>
    </row>
    <row r="690" spans="1:6" x14ac:dyDescent="0.25">
      <c r="A690" t="s">
        <v>80</v>
      </c>
      <c r="B690" t="s">
        <v>82</v>
      </c>
      <c r="C690">
        <v>2</v>
      </c>
      <c r="D690">
        <v>0</v>
      </c>
      <c r="E690">
        <v>5</v>
      </c>
      <c r="F690">
        <v>5133</v>
      </c>
    </row>
    <row r="691" spans="1:6" x14ac:dyDescent="0.25">
      <c r="A691" t="s">
        <v>80</v>
      </c>
      <c r="B691" t="s">
        <v>82</v>
      </c>
      <c r="C691">
        <v>2</v>
      </c>
      <c r="D691">
        <v>0</v>
      </c>
      <c r="E691">
        <v>6</v>
      </c>
      <c r="F691">
        <v>36876</v>
      </c>
    </row>
    <row r="692" spans="1:6" x14ac:dyDescent="0.25">
      <c r="A692" t="s">
        <v>80</v>
      </c>
      <c r="B692" t="s">
        <v>82</v>
      </c>
      <c r="C692">
        <v>2</v>
      </c>
      <c r="D692">
        <v>1</v>
      </c>
      <c r="E692">
        <v>1</v>
      </c>
      <c r="F692">
        <v>1337306</v>
      </c>
    </row>
    <row r="693" spans="1:6" x14ac:dyDescent="0.25">
      <c r="A693" t="s">
        <v>80</v>
      </c>
      <c r="B693" t="s">
        <v>82</v>
      </c>
      <c r="C693">
        <v>2</v>
      </c>
      <c r="D693">
        <v>1</v>
      </c>
      <c r="E693">
        <v>2</v>
      </c>
      <c r="F693">
        <v>67457</v>
      </c>
    </row>
    <row r="694" spans="1:6" x14ac:dyDescent="0.25">
      <c r="A694" t="s">
        <v>80</v>
      </c>
      <c r="B694" t="s">
        <v>82</v>
      </c>
      <c r="C694">
        <v>2</v>
      </c>
      <c r="D694">
        <v>1</v>
      </c>
      <c r="E694">
        <v>3</v>
      </c>
      <c r="F694">
        <v>5060</v>
      </c>
    </row>
    <row r="695" spans="1:6" x14ac:dyDescent="0.25">
      <c r="A695" t="s">
        <v>80</v>
      </c>
      <c r="B695" t="s">
        <v>82</v>
      </c>
      <c r="C695">
        <v>2</v>
      </c>
      <c r="D695">
        <v>1</v>
      </c>
      <c r="E695">
        <v>4</v>
      </c>
      <c r="F695">
        <v>45979</v>
      </c>
    </row>
    <row r="696" spans="1:6" x14ac:dyDescent="0.25">
      <c r="A696" t="s">
        <v>80</v>
      </c>
      <c r="B696" t="s">
        <v>82</v>
      </c>
      <c r="C696">
        <v>2</v>
      </c>
      <c r="D696">
        <v>1</v>
      </c>
      <c r="E696">
        <v>5</v>
      </c>
      <c r="F696">
        <v>4631</v>
      </c>
    </row>
    <row r="697" spans="1:6" x14ac:dyDescent="0.25">
      <c r="A697" t="s">
        <v>80</v>
      </c>
      <c r="B697" t="s">
        <v>82</v>
      </c>
      <c r="C697">
        <v>2</v>
      </c>
      <c r="D697">
        <v>1</v>
      </c>
      <c r="E697">
        <v>6</v>
      </c>
      <c r="F697">
        <v>32152</v>
      </c>
    </row>
    <row r="698" spans="1:6" x14ac:dyDescent="0.25">
      <c r="A698" t="s">
        <v>80</v>
      </c>
      <c r="B698" t="s">
        <v>82</v>
      </c>
      <c r="C698">
        <v>2</v>
      </c>
      <c r="D698">
        <v>2</v>
      </c>
      <c r="E698">
        <v>1</v>
      </c>
      <c r="F698">
        <v>105587</v>
      </c>
    </row>
    <row r="699" spans="1:6" x14ac:dyDescent="0.25">
      <c r="A699" t="s">
        <v>80</v>
      </c>
      <c r="B699" t="s">
        <v>82</v>
      </c>
      <c r="C699">
        <v>2</v>
      </c>
      <c r="D699">
        <v>2</v>
      </c>
      <c r="E699">
        <v>2</v>
      </c>
      <c r="F699">
        <v>3984</v>
      </c>
    </row>
    <row r="700" spans="1:6" x14ac:dyDescent="0.25">
      <c r="A700" t="s">
        <v>80</v>
      </c>
      <c r="B700" t="s">
        <v>82</v>
      </c>
      <c r="C700">
        <v>2</v>
      </c>
      <c r="D700">
        <v>2</v>
      </c>
      <c r="E700">
        <v>3</v>
      </c>
      <c r="F700">
        <v>5697</v>
      </c>
    </row>
    <row r="701" spans="1:6" x14ac:dyDescent="0.25">
      <c r="A701" t="s">
        <v>80</v>
      </c>
      <c r="B701" t="s">
        <v>82</v>
      </c>
      <c r="C701">
        <v>2</v>
      </c>
      <c r="D701">
        <v>2</v>
      </c>
      <c r="E701">
        <v>4</v>
      </c>
      <c r="F701">
        <v>944</v>
      </c>
    </row>
    <row r="702" spans="1:6" x14ac:dyDescent="0.25">
      <c r="A702" t="s">
        <v>80</v>
      </c>
      <c r="B702" t="s">
        <v>82</v>
      </c>
      <c r="C702">
        <v>2</v>
      </c>
      <c r="D702">
        <v>2</v>
      </c>
      <c r="E702">
        <v>5</v>
      </c>
      <c r="F702">
        <v>502</v>
      </c>
    </row>
    <row r="703" spans="1:6" x14ac:dyDescent="0.25">
      <c r="A703" t="s">
        <v>80</v>
      </c>
      <c r="B703" t="s">
        <v>82</v>
      </c>
      <c r="C703">
        <v>2</v>
      </c>
      <c r="D703">
        <v>2</v>
      </c>
      <c r="E703">
        <v>6</v>
      </c>
      <c r="F703">
        <v>4724</v>
      </c>
    </row>
    <row r="704" spans="1:6" x14ac:dyDescent="0.25">
      <c r="A704" t="s">
        <v>84</v>
      </c>
      <c r="B704" t="s">
        <v>86</v>
      </c>
      <c r="C704">
        <v>0</v>
      </c>
      <c r="D704">
        <v>0</v>
      </c>
      <c r="E704">
        <v>1</v>
      </c>
      <c r="F704">
        <v>2537393</v>
      </c>
    </row>
    <row r="705" spans="1:6" x14ac:dyDescent="0.25">
      <c r="A705" t="s">
        <v>84</v>
      </c>
      <c r="B705" t="s">
        <v>86</v>
      </c>
      <c r="C705">
        <v>0</v>
      </c>
      <c r="D705">
        <v>0</v>
      </c>
      <c r="E705">
        <v>2</v>
      </c>
      <c r="F705">
        <v>185502</v>
      </c>
    </row>
    <row r="706" spans="1:6" x14ac:dyDescent="0.25">
      <c r="A706" t="s">
        <v>84</v>
      </c>
      <c r="B706" t="s">
        <v>86</v>
      </c>
      <c r="C706">
        <v>0</v>
      </c>
      <c r="D706">
        <v>0</v>
      </c>
      <c r="E706">
        <v>3</v>
      </c>
      <c r="F706">
        <v>39586</v>
      </c>
    </row>
    <row r="707" spans="1:6" x14ac:dyDescent="0.25">
      <c r="A707" t="s">
        <v>84</v>
      </c>
      <c r="B707" t="s">
        <v>86</v>
      </c>
      <c r="C707">
        <v>0</v>
      </c>
      <c r="D707">
        <v>0</v>
      </c>
      <c r="E707">
        <v>4</v>
      </c>
      <c r="F707">
        <v>101559</v>
      </c>
    </row>
    <row r="708" spans="1:6" x14ac:dyDescent="0.25">
      <c r="A708" t="s">
        <v>84</v>
      </c>
      <c r="B708" t="s">
        <v>86</v>
      </c>
      <c r="C708">
        <v>0</v>
      </c>
      <c r="D708">
        <v>0</v>
      </c>
      <c r="E708">
        <v>5</v>
      </c>
      <c r="F708">
        <v>4991</v>
      </c>
    </row>
    <row r="709" spans="1:6" x14ac:dyDescent="0.25">
      <c r="A709" t="s">
        <v>84</v>
      </c>
      <c r="B709" t="s">
        <v>86</v>
      </c>
      <c r="C709">
        <v>0</v>
      </c>
      <c r="D709">
        <v>0</v>
      </c>
      <c r="E709">
        <v>6</v>
      </c>
      <c r="F709">
        <v>101575</v>
      </c>
    </row>
    <row r="710" spans="1:6" x14ac:dyDescent="0.25">
      <c r="A710" t="s">
        <v>84</v>
      </c>
      <c r="B710" t="s">
        <v>86</v>
      </c>
      <c r="C710">
        <v>0</v>
      </c>
      <c r="D710">
        <v>1</v>
      </c>
      <c r="E710">
        <v>1</v>
      </c>
      <c r="F710">
        <v>2165907</v>
      </c>
    </row>
    <row r="711" spans="1:6" x14ac:dyDescent="0.25">
      <c r="A711" t="s">
        <v>84</v>
      </c>
      <c r="B711" t="s">
        <v>86</v>
      </c>
      <c r="C711">
        <v>0</v>
      </c>
      <c r="D711">
        <v>1</v>
      </c>
      <c r="E711">
        <v>2</v>
      </c>
      <c r="F711">
        <v>171045</v>
      </c>
    </row>
    <row r="712" spans="1:6" x14ac:dyDescent="0.25">
      <c r="A712" t="s">
        <v>84</v>
      </c>
      <c r="B712" t="s">
        <v>86</v>
      </c>
      <c r="C712">
        <v>0</v>
      </c>
      <c r="D712">
        <v>1</v>
      </c>
      <c r="E712">
        <v>3</v>
      </c>
      <c r="F712">
        <v>23162</v>
      </c>
    </row>
    <row r="713" spans="1:6" x14ac:dyDescent="0.25">
      <c r="A713" t="s">
        <v>84</v>
      </c>
      <c r="B713" t="s">
        <v>86</v>
      </c>
      <c r="C713">
        <v>0</v>
      </c>
      <c r="D713">
        <v>1</v>
      </c>
      <c r="E713">
        <v>4</v>
      </c>
      <c r="F713">
        <v>98729</v>
      </c>
    </row>
    <row r="714" spans="1:6" x14ac:dyDescent="0.25">
      <c r="A714" t="s">
        <v>84</v>
      </c>
      <c r="B714" t="s">
        <v>86</v>
      </c>
      <c r="C714">
        <v>0</v>
      </c>
      <c r="D714">
        <v>1</v>
      </c>
      <c r="E714">
        <v>5</v>
      </c>
      <c r="F714">
        <v>3822</v>
      </c>
    </row>
    <row r="715" spans="1:6" x14ac:dyDescent="0.25">
      <c r="A715" t="s">
        <v>84</v>
      </c>
      <c r="B715" t="s">
        <v>86</v>
      </c>
      <c r="C715">
        <v>0</v>
      </c>
      <c r="D715">
        <v>1</v>
      </c>
      <c r="E715">
        <v>6</v>
      </c>
      <c r="F715">
        <v>85492</v>
      </c>
    </row>
    <row r="716" spans="1:6" x14ac:dyDescent="0.25">
      <c r="A716" t="s">
        <v>84</v>
      </c>
      <c r="B716" t="s">
        <v>86</v>
      </c>
      <c r="C716">
        <v>0</v>
      </c>
      <c r="D716">
        <v>2</v>
      </c>
      <c r="E716">
        <v>1</v>
      </c>
      <c r="F716">
        <v>371486</v>
      </c>
    </row>
    <row r="717" spans="1:6" x14ac:dyDescent="0.25">
      <c r="A717" t="s">
        <v>84</v>
      </c>
      <c r="B717" t="s">
        <v>86</v>
      </c>
      <c r="C717">
        <v>0</v>
      </c>
      <c r="D717">
        <v>2</v>
      </c>
      <c r="E717">
        <v>2</v>
      </c>
      <c r="F717">
        <v>14457</v>
      </c>
    </row>
    <row r="718" spans="1:6" x14ac:dyDescent="0.25">
      <c r="A718" t="s">
        <v>84</v>
      </c>
      <c r="B718" t="s">
        <v>86</v>
      </c>
      <c r="C718">
        <v>0</v>
      </c>
      <c r="D718">
        <v>2</v>
      </c>
      <c r="E718">
        <v>3</v>
      </c>
      <c r="F718">
        <v>16424</v>
      </c>
    </row>
    <row r="719" spans="1:6" x14ac:dyDescent="0.25">
      <c r="A719" t="s">
        <v>84</v>
      </c>
      <c r="B719" t="s">
        <v>86</v>
      </c>
      <c r="C719">
        <v>0</v>
      </c>
      <c r="D719">
        <v>2</v>
      </c>
      <c r="E719">
        <v>4</v>
      </c>
      <c r="F719">
        <v>2830</v>
      </c>
    </row>
    <row r="720" spans="1:6" x14ac:dyDescent="0.25">
      <c r="A720" t="s">
        <v>84</v>
      </c>
      <c r="B720" t="s">
        <v>86</v>
      </c>
      <c r="C720">
        <v>0</v>
      </c>
      <c r="D720">
        <v>2</v>
      </c>
      <c r="E720">
        <v>5</v>
      </c>
      <c r="F720">
        <v>1169</v>
      </c>
    </row>
    <row r="721" spans="1:6" x14ac:dyDescent="0.25">
      <c r="A721" t="s">
        <v>84</v>
      </c>
      <c r="B721" t="s">
        <v>86</v>
      </c>
      <c r="C721">
        <v>0</v>
      </c>
      <c r="D721">
        <v>2</v>
      </c>
      <c r="E721">
        <v>6</v>
      </c>
      <c r="F721">
        <v>16083</v>
      </c>
    </row>
    <row r="722" spans="1:6" x14ac:dyDescent="0.25">
      <c r="A722" t="s">
        <v>84</v>
      </c>
      <c r="B722" t="s">
        <v>86</v>
      </c>
      <c r="C722">
        <v>1</v>
      </c>
      <c r="D722">
        <v>0</v>
      </c>
      <c r="E722">
        <v>1</v>
      </c>
      <c r="F722">
        <v>1270402</v>
      </c>
    </row>
    <row r="723" spans="1:6" x14ac:dyDescent="0.25">
      <c r="A723" t="s">
        <v>84</v>
      </c>
      <c r="B723" t="s">
        <v>86</v>
      </c>
      <c r="C723">
        <v>1</v>
      </c>
      <c r="D723">
        <v>0</v>
      </c>
      <c r="E723">
        <v>2</v>
      </c>
      <c r="F723">
        <v>97169</v>
      </c>
    </row>
    <row r="724" spans="1:6" x14ac:dyDescent="0.25">
      <c r="A724" t="s">
        <v>84</v>
      </c>
      <c r="B724" t="s">
        <v>86</v>
      </c>
      <c r="C724">
        <v>1</v>
      </c>
      <c r="D724">
        <v>0</v>
      </c>
      <c r="E724">
        <v>3</v>
      </c>
      <c r="F724">
        <v>20519</v>
      </c>
    </row>
    <row r="725" spans="1:6" x14ac:dyDescent="0.25">
      <c r="A725" t="s">
        <v>84</v>
      </c>
      <c r="B725" t="s">
        <v>86</v>
      </c>
      <c r="C725">
        <v>1</v>
      </c>
      <c r="D725">
        <v>0</v>
      </c>
      <c r="E725">
        <v>4</v>
      </c>
      <c r="F725">
        <v>48789</v>
      </c>
    </row>
    <row r="726" spans="1:6" x14ac:dyDescent="0.25">
      <c r="A726" t="s">
        <v>84</v>
      </c>
      <c r="B726" t="s">
        <v>86</v>
      </c>
      <c r="C726">
        <v>1</v>
      </c>
      <c r="D726">
        <v>0</v>
      </c>
      <c r="E726">
        <v>5</v>
      </c>
      <c r="F726">
        <v>2585</v>
      </c>
    </row>
    <row r="727" spans="1:6" x14ac:dyDescent="0.25">
      <c r="A727" t="s">
        <v>84</v>
      </c>
      <c r="B727" t="s">
        <v>86</v>
      </c>
      <c r="C727">
        <v>1</v>
      </c>
      <c r="D727">
        <v>0</v>
      </c>
      <c r="E727">
        <v>6</v>
      </c>
      <c r="F727">
        <v>50861</v>
      </c>
    </row>
    <row r="728" spans="1:6" x14ac:dyDescent="0.25">
      <c r="A728" t="s">
        <v>84</v>
      </c>
      <c r="B728" t="s">
        <v>86</v>
      </c>
      <c r="C728">
        <v>1</v>
      </c>
      <c r="D728">
        <v>1</v>
      </c>
      <c r="E728">
        <v>1</v>
      </c>
      <c r="F728">
        <v>1078286</v>
      </c>
    </row>
    <row r="729" spans="1:6" x14ac:dyDescent="0.25">
      <c r="A729" t="s">
        <v>84</v>
      </c>
      <c r="B729" t="s">
        <v>86</v>
      </c>
      <c r="C729">
        <v>1</v>
      </c>
      <c r="D729">
        <v>1</v>
      </c>
      <c r="E729">
        <v>2</v>
      </c>
      <c r="F729">
        <v>89622</v>
      </c>
    </row>
    <row r="730" spans="1:6" x14ac:dyDescent="0.25">
      <c r="A730" t="s">
        <v>84</v>
      </c>
      <c r="B730" t="s">
        <v>86</v>
      </c>
      <c r="C730">
        <v>1</v>
      </c>
      <c r="D730">
        <v>1</v>
      </c>
      <c r="E730">
        <v>3</v>
      </c>
      <c r="F730">
        <v>11456</v>
      </c>
    </row>
    <row r="731" spans="1:6" x14ac:dyDescent="0.25">
      <c r="A731" t="s">
        <v>84</v>
      </c>
      <c r="B731" t="s">
        <v>86</v>
      </c>
      <c r="C731">
        <v>1</v>
      </c>
      <c r="D731">
        <v>1</v>
      </c>
      <c r="E731">
        <v>4</v>
      </c>
      <c r="F731">
        <v>47368</v>
      </c>
    </row>
    <row r="732" spans="1:6" x14ac:dyDescent="0.25">
      <c r="A732" t="s">
        <v>84</v>
      </c>
      <c r="B732" t="s">
        <v>86</v>
      </c>
      <c r="C732">
        <v>1</v>
      </c>
      <c r="D732">
        <v>1</v>
      </c>
      <c r="E732">
        <v>5</v>
      </c>
      <c r="F732">
        <v>1961</v>
      </c>
    </row>
    <row r="733" spans="1:6" x14ac:dyDescent="0.25">
      <c r="A733" t="s">
        <v>84</v>
      </c>
      <c r="B733" t="s">
        <v>86</v>
      </c>
      <c r="C733">
        <v>1</v>
      </c>
      <c r="D733">
        <v>1</v>
      </c>
      <c r="E733">
        <v>6</v>
      </c>
      <c r="F733">
        <v>42738</v>
      </c>
    </row>
    <row r="734" spans="1:6" x14ac:dyDescent="0.25">
      <c r="A734" t="s">
        <v>84</v>
      </c>
      <c r="B734" t="s">
        <v>86</v>
      </c>
      <c r="C734">
        <v>1</v>
      </c>
      <c r="D734">
        <v>2</v>
      </c>
      <c r="E734">
        <v>1</v>
      </c>
      <c r="F734">
        <v>192116</v>
      </c>
    </row>
    <row r="735" spans="1:6" x14ac:dyDescent="0.25">
      <c r="A735" t="s">
        <v>84</v>
      </c>
      <c r="B735" t="s">
        <v>86</v>
      </c>
      <c r="C735">
        <v>1</v>
      </c>
      <c r="D735">
        <v>2</v>
      </c>
      <c r="E735">
        <v>2</v>
      </c>
      <c r="F735">
        <v>7547</v>
      </c>
    </row>
    <row r="736" spans="1:6" x14ac:dyDescent="0.25">
      <c r="A736" t="s">
        <v>84</v>
      </c>
      <c r="B736" t="s">
        <v>86</v>
      </c>
      <c r="C736">
        <v>1</v>
      </c>
      <c r="D736">
        <v>2</v>
      </c>
      <c r="E736">
        <v>3</v>
      </c>
      <c r="F736">
        <v>9063</v>
      </c>
    </row>
    <row r="737" spans="1:6" x14ac:dyDescent="0.25">
      <c r="A737" t="s">
        <v>84</v>
      </c>
      <c r="B737" t="s">
        <v>86</v>
      </c>
      <c r="C737">
        <v>1</v>
      </c>
      <c r="D737">
        <v>2</v>
      </c>
      <c r="E737">
        <v>4</v>
      </c>
      <c r="F737">
        <v>1421</v>
      </c>
    </row>
    <row r="738" spans="1:6" x14ac:dyDescent="0.25">
      <c r="A738" t="s">
        <v>84</v>
      </c>
      <c r="B738" t="s">
        <v>86</v>
      </c>
      <c r="C738">
        <v>1</v>
      </c>
      <c r="D738">
        <v>2</v>
      </c>
      <c r="E738">
        <v>5</v>
      </c>
      <c r="F738">
        <v>624</v>
      </c>
    </row>
    <row r="739" spans="1:6" x14ac:dyDescent="0.25">
      <c r="A739" t="s">
        <v>84</v>
      </c>
      <c r="B739" t="s">
        <v>86</v>
      </c>
      <c r="C739">
        <v>1</v>
      </c>
      <c r="D739">
        <v>2</v>
      </c>
      <c r="E739">
        <v>6</v>
      </c>
      <c r="F739">
        <v>8123</v>
      </c>
    </row>
    <row r="740" spans="1:6" x14ac:dyDescent="0.25">
      <c r="A740" t="s">
        <v>84</v>
      </c>
      <c r="B740" t="s">
        <v>86</v>
      </c>
      <c r="C740">
        <v>2</v>
      </c>
      <c r="D740">
        <v>0</v>
      </c>
      <c r="E740">
        <v>1</v>
      </c>
      <c r="F740">
        <v>1266991</v>
      </c>
    </row>
    <row r="741" spans="1:6" x14ac:dyDescent="0.25">
      <c r="A741" t="s">
        <v>84</v>
      </c>
      <c r="B741" t="s">
        <v>86</v>
      </c>
      <c r="C741">
        <v>2</v>
      </c>
      <c r="D741">
        <v>0</v>
      </c>
      <c r="E741">
        <v>2</v>
      </c>
      <c r="F741">
        <v>88333</v>
      </c>
    </row>
    <row r="742" spans="1:6" x14ac:dyDescent="0.25">
      <c r="A742" t="s">
        <v>84</v>
      </c>
      <c r="B742" t="s">
        <v>86</v>
      </c>
      <c r="C742">
        <v>2</v>
      </c>
      <c r="D742">
        <v>0</v>
      </c>
      <c r="E742">
        <v>3</v>
      </c>
      <c r="F742">
        <v>19067</v>
      </c>
    </row>
    <row r="743" spans="1:6" x14ac:dyDescent="0.25">
      <c r="A743" t="s">
        <v>84</v>
      </c>
      <c r="B743" t="s">
        <v>86</v>
      </c>
      <c r="C743">
        <v>2</v>
      </c>
      <c r="D743">
        <v>0</v>
      </c>
      <c r="E743">
        <v>4</v>
      </c>
      <c r="F743">
        <v>52770</v>
      </c>
    </row>
    <row r="744" spans="1:6" x14ac:dyDescent="0.25">
      <c r="A744" t="s">
        <v>84</v>
      </c>
      <c r="B744" t="s">
        <v>86</v>
      </c>
      <c r="C744">
        <v>2</v>
      </c>
      <c r="D744">
        <v>0</v>
      </c>
      <c r="E744">
        <v>5</v>
      </c>
      <c r="F744">
        <v>2406</v>
      </c>
    </row>
    <row r="745" spans="1:6" x14ac:dyDescent="0.25">
      <c r="A745" t="s">
        <v>84</v>
      </c>
      <c r="B745" t="s">
        <v>86</v>
      </c>
      <c r="C745">
        <v>2</v>
      </c>
      <c r="D745">
        <v>0</v>
      </c>
      <c r="E745">
        <v>6</v>
      </c>
      <c r="F745">
        <v>50714</v>
      </c>
    </row>
    <row r="746" spans="1:6" x14ac:dyDescent="0.25">
      <c r="A746" t="s">
        <v>84</v>
      </c>
      <c r="B746" t="s">
        <v>86</v>
      </c>
      <c r="C746">
        <v>2</v>
      </c>
      <c r="D746">
        <v>1</v>
      </c>
      <c r="E746">
        <v>1</v>
      </c>
      <c r="F746">
        <v>1087621</v>
      </c>
    </row>
    <row r="747" spans="1:6" x14ac:dyDescent="0.25">
      <c r="A747" t="s">
        <v>84</v>
      </c>
      <c r="B747" t="s">
        <v>86</v>
      </c>
      <c r="C747">
        <v>2</v>
      </c>
      <c r="D747">
        <v>1</v>
      </c>
      <c r="E747">
        <v>2</v>
      </c>
      <c r="F747">
        <v>81423</v>
      </c>
    </row>
    <row r="748" spans="1:6" x14ac:dyDescent="0.25">
      <c r="A748" t="s">
        <v>84</v>
      </c>
      <c r="B748" t="s">
        <v>86</v>
      </c>
      <c r="C748">
        <v>2</v>
      </c>
      <c r="D748">
        <v>1</v>
      </c>
      <c r="E748">
        <v>3</v>
      </c>
      <c r="F748">
        <v>11706</v>
      </c>
    </row>
    <row r="749" spans="1:6" x14ac:dyDescent="0.25">
      <c r="A749" t="s">
        <v>84</v>
      </c>
      <c r="B749" t="s">
        <v>86</v>
      </c>
      <c r="C749">
        <v>2</v>
      </c>
      <c r="D749">
        <v>1</v>
      </c>
      <c r="E749">
        <v>4</v>
      </c>
      <c r="F749">
        <v>51361</v>
      </c>
    </row>
    <row r="750" spans="1:6" x14ac:dyDescent="0.25">
      <c r="A750" t="s">
        <v>84</v>
      </c>
      <c r="B750" t="s">
        <v>86</v>
      </c>
      <c r="C750">
        <v>2</v>
      </c>
      <c r="D750">
        <v>1</v>
      </c>
      <c r="E750">
        <v>5</v>
      </c>
      <c r="F750">
        <v>1861</v>
      </c>
    </row>
    <row r="751" spans="1:6" x14ac:dyDescent="0.25">
      <c r="A751" t="s">
        <v>84</v>
      </c>
      <c r="B751" t="s">
        <v>86</v>
      </c>
      <c r="C751">
        <v>2</v>
      </c>
      <c r="D751">
        <v>1</v>
      </c>
      <c r="E751">
        <v>6</v>
      </c>
      <c r="F751">
        <v>42754</v>
      </c>
    </row>
    <row r="752" spans="1:6" x14ac:dyDescent="0.25">
      <c r="A752" t="s">
        <v>84</v>
      </c>
      <c r="B752" t="s">
        <v>86</v>
      </c>
      <c r="C752">
        <v>2</v>
      </c>
      <c r="D752">
        <v>2</v>
      </c>
      <c r="E752">
        <v>1</v>
      </c>
      <c r="F752">
        <v>179370</v>
      </c>
    </row>
    <row r="753" spans="1:6" x14ac:dyDescent="0.25">
      <c r="A753" t="s">
        <v>84</v>
      </c>
      <c r="B753" t="s">
        <v>86</v>
      </c>
      <c r="C753">
        <v>2</v>
      </c>
      <c r="D753">
        <v>2</v>
      </c>
      <c r="E753">
        <v>2</v>
      </c>
      <c r="F753">
        <v>6910</v>
      </c>
    </row>
    <row r="754" spans="1:6" x14ac:dyDescent="0.25">
      <c r="A754" t="s">
        <v>84</v>
      </c>
      <c r="B754" t="s">
        <v>86</v>
      </c>
      <c r="C754">
        <v>2</v>
      </c>
      <c r="D754">
        <v>2</v>
      </c>
      <c r="E754">
        <v>3</v>
      </c>
      <c r="F754">
        <v>7361</v>
      </c>
    </row>
    <row r="755" spans="1:6" x14ac:dyDescent="0.25">
      <c r="A755" t="s">
        <v>84</v>
      </c>
      <c r="B755" t="s">
        <v>86</v>
      </c>
      <c r="C755">
        <v>2</v>
      </c>
      <c r="D755">
        <v>2</v>
      </c>
      <c r="E755">
        <v>4</v>
      </c>
      <c r="F755">
        <v>1409</v>
      </c>
    </row>
    <row r="756" spans="1:6" x14ac:dyDescent="0.25">
      <c r="A756" t="s">
        <v>84</v>
      </c>
      <c r="B756" t="s">
        <v>86</v>
      </c>
      <c r="C756">
        <v>2</v>
      </c>
      <c r="D756">
        <v>2</v>
      </c>
      <c r="E756">
        <v>5</v>
      </c>
      <c r="F756">
        <v>545</v>
      </c>
    </row>
    <row r="757" spans="1:6" x14ac:dyDescent="0.25">
      <c r="A757" t="s">
        <v>84</v>
      </c>
      <c r="B757" t="s">
        <v>86</v>
      </c>
      <c r="C757">
        <v>2</v>
      </c>
      <c r="D757">
        <v>2</v>
      </c>
      <c r="E757">
        <v>6</v>
      </c>
      <c r="F757">
        <v>7960</v>
      </c>
    </row>
    <row r="758" spans="1:6" x14ac:dyDescent="0.25">
      <c r="A758" t="s">
        <v>87</v>
      </c>
      <c r="B758" t="s">
        <v>89</v>
      </c>
      <c r="C758">
        <v>0</v>
      </c>
      <c r="D758">
        <v>0</v>
      </c>
      <c r="E758">
        <v>1</v>
      </c>
      <c r="F758">
        <v>3949272</v>
      </c>
    </row>
    <row r="759" spans="1:6" x14ac:dyDescent="0.25">
      <c r="A759" t="s">
        <v>87</v>
      </c>
      <c r="B759" t="s">
        <v>89</v>
      </c>
      <c r="C759">
        <v>0</v>
      </c>
      <c r="D759">
        <v>0</v>
      </c>
      <c r="E759">
        <v>2</v>
      </c>
      <c r="F759">
        <v>409870</v>
      </c>
    </row>
    <row r="760" spans="1:6" x14ac:dyDescent="0.25">
      <c r="A760" t="s">
        <v>87</v>
      </c>
      <c r="B760" t="s">
        <v>89</v>
      </c>
      <c r="C760">
        <v>0</v>
      </c>
      <c r="D760">
        <v>0</v>
      </c>
      <c r="E760">
        <v>3</v>
      </c>
      <c r="F760">
        <v>17474</v>
      </c>
    </row>
    <row r="761" spans="1:6" x14ac:dyDescent="0.25">
      <c r="A761" t="s">
        <v>87</v>
      </c>
      <c r="B761" t="s">
        <v>89</v>
      </c>
      <c r="C761">
        <v>0</v>
      </c>
      <c r="D761">
        <v>0</v>
      </c>
      <c r="E761">
        <v>4</v>
      </c>
      <c r="F761">
        <v>94382</v>
      </c>
    </row>
    <row r="762" spans="1:6" x14ac:dyDescent="0.25">
      <c r="A762" t="s">
        <v>87</v>
      </c>
      <c r="B762" t="s">
        <v>89</v>
      </c>
      <c r="C762">
        <v>0</v>
      </c>
      <c r="D762">
        <v>0</v>
      </c>
      <c r="E762">
        <v>5</v>
      </c>
      <c r="F762">
        <v>6741</v>
      </c>
    </row>
    <row r="763" spans="1:6" x14ac:dyDescent="0.25">
      <c r="A763" t="s">
        <v>87</v>
      </c>
      <c r="B763" t="s">
        <v>89</v>
      </c>
      <c r="C763">
        <v>0</v>
      </c>
      <c r="D763">
        <v>0</v>
      </c>
      <c r="E763">
        <v>6</v>
      </c>
      <c r="F763">
        <v>110633</v>
      </c>
    </row>
    <row r="764" spans="1:6" x14ac:dyDescent="0.25">
      <c r="A764" t="s">
        <v>87</v>
      </c>
      <c r="B764" t="s">
        <v>89</v>
      </c>
      <c r="C764">
        <v>0</v>
      </c>
      <c r="D764">
        <v>1</v>
      </c>
      <c r="E764">
        <v>1</v>
      </c>
      <c r="F764">
        <v>3728451</v>
      </c>
    </row>
    <row r="765" spans="1:6" x14ac:dyDescent="0.25">
      <c r="A765" t="s">
        <v>87</v>
      </c>
      <c r="B765" t="s">
        <v>89</v>
      </c>
      <c r="C765">
        <v>0</v>
      </c>
      <c r="D765">
        <v>1</v>
      </c>
      <c r="E765">
        <v>2</v>
      </c>
      <c r="F765">
        <v>393405</v>
      </c>
    </row>
    <row r="766" spans="1:6" x14ac:dyDescent="0.25">
      <c r="A766" t="s">
        <v>87</v>
      </c>
      <c r="B766" t="s">
        <v>89</v>
      </c>
      <c r="C766">
        <v>0</v>
      </c>
      <c r="D766">
        <v>1</v>
      </c>
      <c r="E766">
        <v>3</v>
      </c>
      <c r="F766">
        <v>9786</v>
      </c>
    </row>
    <row r="767" spans="1:6" x14ac:dyDescent="0.25">
      <c r="A767" t="s">
        <v>87</v>
      </c>
      <c r="B767" t="s">
        <v>89</v>
      </c>
      <c r="C767">
        <v>0</v>
      </c>
      <c r="D767">
        <v>1</v>
      </c>
      <c r="E767">
        <v>4</v>
      </c>
      <c r="F767">
        <v>91853</v>
      </c>
    </row>
    <row r="768" spans="1:6" x14ac:dyDescent="0.25">
      <c r="A768" t="s">
        <v>87</v>
      </c>
      <c r="B768" t="s">
        <v>89</v>
      </c>
      <c r="C768">
        <v>0</v>
      </c>
      <c r="D768">
        <v>1</v>
      </c>
      <c r="E768">
        <v>5</v>
      </c>
      <c r="F768">
        <v>4879</v>
      </c>
    </row>
    <row r="769" spans="1:6" x14ac:dyDescent="0.25">
      <c r="A769" t="s">
        <v>87</v>
      </c>
      <c r="B769" t="s">
        <v>89</v>
      </c>
      <c r="C769">
        <v>0</v>
      </c>
      <c r="D769">
        <v>1</v>
      </c>
      <c r="E769">
        <v>6</v>
      </c>
      <c r="F769">
        <v>100775</v>
      </c>
    </row>
    <row r="770" spans="1:6" x14ac:dyDescent="0.25">
      <c r="A770" t="s">
        <v>87</v>
      </c>
      <c r="B770" t="s">
        <v>89</v>
      </c>
      <c r="C770">
        <v>0</v>
      </c>
      <c r="D770">
        <v>2</v>
      </c>
      <c r="E770">
        <v>1</v>
      </c>
      <c r="F770">
        <v>220821</v>
      </c>
    </row>
    <row r="771" spans="1:6" x14ac:dyDescent="0.25">
      <c r="A771" t="s">
        <v>87</v>
      </c>
      <c r="B771" t="s">
        <v>89</v>
      </c>
      <c r="C771">
        <v>0</v>
      </c>
      <c r="D771">
        <v>2</v>
      </c>
      <c r="E771">
        <v>2</v>
      </c>
      <c r="F771">
        <v>16465</v>
      </c>
    </row>
    <row r="772" spans="1:6" x14ac:dyDescent="0.25">
      <c r="A772" t="s">
        <v>87</v>
      </c>
      <c r="B772" t="s">
        <v>89</v>
      </c>
      <c r="C772">
        <v>0</v>
      </c>
      <c r="D772">
        <v>2</v>
      </c>
      <c r="E772">
        <v>3</v>
      </c>
      <c r="F772">
        <v>7688</v>
      </c>
    </row>
    <row r="773" spans="1:6" x14ac:dyDescent="0.25">
      <c r="A773" t="s">
        <v>87</v>
      </c>
      <c r="B773" t="s">
        <v>89</v>
      </c>
      <c r="C773">
        <v>0</v>
      </c>
      <c r="D773">
        <v>2</v>
      </c>
      <c r="E773">
        <v>4</v>
      </c>
      <c r="F773">
        <v>2529</v>
      </c>
    </row>
    <row r="774" spans="1:6" x14ac:dyDescent="0.25">
      <c r="A774" t="s">
        <v>87</v>
      </c>
      <c r="B774" t="s">
        <v>89</v>
      </c>
      <c r="C774">
        <v>0</v>
      </c>
      <c r="D774">
        <v>2</v>
      </c>
      <c r="E774">
        <v>5</v>
      </c>
      <c r="F774">
        <v>1862</v>
      </c>
    </row>
    <row r="775" spans="1:6" x14ac:dyDescent="0.25">
      <c r="A775" t="s">
        <v>87</v>
      </c>
      <c r="B775" t="s">
        <v>89</v>
      </c>
      <c r="C775">
        <v>0</v>
      </c>
      <c r="D775">
        <v>2</v>
      </c>
      <c r="E775">
        <v>6</v>
      </c>
      <c r="F775">
        <v>9858</v>
      </c>
    </row>
    <row r="776" spans="1:6" x14ac:dyDescent="0.25">
      <c r="A776" t="s">
        <v>87</v>
      </c>
      <c r="B776" t="s">
        <v>89</v>
      </c>
      <c r="C776">
        <v>1</v>
      </c>
      <c r="D776">
        <v>0</v>
      </c>
      <c r="E776">
        <v>1</v>
      </c>
      <c r="F776">
        <v>1955291</v>
      </c>
    </row>
    <row r="777" spans="1:6" x14ac:dyDescent="0.25">
      <c r="A777" t="s">
        <v>87</v>
      </c>
      <c r="B777" t="s">
        <v>89</v>
      </c>
      <c r="C777">
        <v>1</v>
      </c>
      <c r="D777">
        <v>0</v>
      </c>
      <c r="E777">
        <v>2</v>
      </c>
      <c r="F777">
        <v>205305</v>
      </c>
    </row>
    <row r="778" spans="1:6" x14ac:dyDescent="0.25">
      <c r="A778" t="s">
        <v>87</v>
      </c>
      <c r="B778" t="s">
        <v>89</v>
      </c>
      <c r="C778">
        <v>1</v>
      </c>
      <c r="D778">
        <v>0</v>
      </c>
      <c r="E778">
        <v>3</v>
      </c>
      <c r="F778">
        <v>9209</v>
      </c>
    </row>
    <row r="779" spans="1:6" x14ac:dyDescent="0.25">
      <c r="A779" t="s">
        <v>87</v>
      </c>
      <c r="B779" t="s">
        <v>89</v>
      </c>
      <c r="C779">
        <v>1</v>
      </c>
      <c r="D779">
        <v>0</v>
      </c>
      <c r="E779">
        <v>4</v>
      </c>
      <c r="F779">
        <v>46155</v>
      </c>
    </row>
    <row r="780" spans="1:6" x14ac:dyDescent="0.25">
      <c r="A780" t="s">
        <v>87</v>
      </c>
      <c r="B780" t="s">
        <v>89</v>
      </c>
      <c r="C780">
        <v>1</v>
      </c>
      <c r="D780">
        <v>0</v>
      </c>
      <c r="E780">
        <v>5</v>
      </c>
      <c r="F780">
        <v>3529</v>
      </c>
    </row>
    <row r="781" spans="1:6" x14ac:dyDescent="0.25">
      <c r="A781" t="s">
        <v>87</v>
      </c>
      <c r="B781" t="s">
        <v>89</v>
      </c>
      <c r="C781">
        <v>1</v>
      </c>
      <c r="D781">
        <v>0</v>
      </c>
      <c r="E781">
        <v>6</v>
      </c>
      <c r="F781">
        <v>55175</v>
      </c>
    </row>
    <row r="782" spans="1:6" x14ac:dyDescent="0.25">
      <c r="A782" t="s">
        <v>87</v>
      </c>
      <c r="B782" t="s">
        <v>89</v>
      </c>
      <c r="C782">
        <v>1</v>
      </c>
      <c r="D782">
        <v>1</v>
      </c>
      <c r="E782">
        <v>1</v>
      </c>
      <c r="F782">
        <v>1838123</v>
      </c>
    </row>
    <row r="783" spans="1:6" x14ac:dyDescent="0.25">
      <c r="A783" t="s">
        <v>87</v>
      </c>
      <c r="B783" t="s">
        <v>89</v>
      </c>
      <c r="C783">
        <v>1</v>
      </c>
      <c r="D783">
        <v>1</v>
      </c>
      <c r="E783">
        <v>2</v>
      </c>
      <c r="F783">
        <v>196600</v>
      </c>
    </row>
    <row r="784" spans="1:6" x14ac:dyDescent="0.25">
      <c r="A784" t="s">
        <v>87</v>
      </c>
      <c r="B784" t="s">
        <v>89</v>
      </c>
      <c r="C784">
        <v>1</v>
      </c>
      <c r="D784">
        <v>1</v>
      </c>
      <c r="E784">
        <v>3</v>
      </c>
      <c r="F784">
        <v>4900</v>
      </c>
    </row>
    <row r="785" spans="1:6" x14ac:dyDescent="0.25">
      <c r="A785" t="s">
        <v>87</v>
      </c>
      <c r="B785" t="s">
        <v>89</v>
      </c>
      <c r="C785">
        <v>1</v>
      </c>
      <c r="D785">
        <v>1</v>
      </c>
      <c r="E785">
        <v>4</v>
      </c>
      <c r="F785">
        <v>44798</v>
      </c>
    </row>
    <row r="786" spans="1:6" x14ac:dyDescent="0.25">
      <c r="A786" t="s">
        <v>87</v>
      </c>
      <c r="B786" t="s">
        <v>89</v>
      </c>
      <c r="C786">
        <v>1</v>
      </c>
      <c r="D786">
        <v>1</v>
      </c>
      <c r="E786">
        <v>5</v>
      </c>
      <c r="F786">
        <v>2576</v>
      </c>
    </row>
    <row r="787" spans="1:6" x14ac:dyDescent="0.25">
      <c r="A787" t="s">
        <v>87</v>
      </c>
      <c r="B787" t="s">
        <v>89</v>
      </c>
      <c r="C787">
        <v>1</v>
      </c>
      <c r="D787">
        <v>1</v>
      </c>
      <c r="E787">
        <v>6</v>
      </c>
      <c r="F787">
        <v>50105</v>
      </c>
    </row>
    <row r="788" spans="1:6" x14ac:dyDescent="0.25">
      <c r="A788" t="s">
        <v>87</v>
      </c>
      <c r="B788" t="s">
        <v>89</v>
      </c>
      <c r="C788">
        <v>1</v>
      </c>
      <c r="D788">
        <v>2</v>
      </c>
      <c r="E788">
        <v>1</v>
      </c>
      <c r="F788">
        <v>117168</v>
      </c>
    </row>
    <row r="789" spans="1:6" x14ac:dyDescent="0.25">
      <c r="A789" t="s">
        <v>87</v>
      </c>
      <c r="B789" t="s">
        <v>89</v>
      </c>
      <c r="C789">
        <v>1</v>
      </c>
      <c r="D789">
        <v>2</v>
      </c>
      <c r="E789">
        <v>2</v>
      </c>
      <c r="F789">
        <v>8705</v>
      </c>
    </row>
    <row r="790" spans="1:6" x14ac:dyDescent="0.25">
      <c r="A790" t="s">
        <v>87</v>
      </c>
      <c r="B790" t="s">
        <v>89</v>
      </c>
      <c r="C790">
        <v>1</v>
      </c>
      <c r="D790">
        <v>2</v>
      </c>
      <c r="E790">
        <v>3</v>
      </c>
      <c r="F790">
        <v>4309</v>
      </c>
    </row>
    <row r="791" spans="1:6" x14ac:dyDescent="0.25">
      <c r="A791" t="s">
        <v>87</v>
      </c>
      <c r="B791" t="s">
        <v>89</v>
      </c>
      <c r="C791">
        <v>1</v>
      </c>
      <c r="D791">
        <v>2</v>
      </c>
      <c r="E791">
        <v>4</v>
      </c>
      <c r="F791">
        <v>1357</v>
      </c>
    </row>
    <row r="792" spans="1:6" x14ac:dyDescent="0.25">
      <c r="A792" t="s">
        <v>87</v>
      </c>
      <c r="B792" t="s">
        <v>89</v>
      </c>
      <c r="C792">
        <v>1</v>
      </c>
      <c r="D792">
        <v>2</v>
      </c>
      <c r="E792">
        <v>5</v>
      </c>
      <c r="F792">
        <v>953</v>
      </c>
    </row>
    <row r="793" spans="1:6" x14ac:dyDescent="0.25">
      <c r="A793" t="s">
        <v>87</v>
      </c>
      <c r="B793" t="s">
        <v>89</v>
      </c>
      <c r="C793">
        <v>1</v>
      </c>
      <c r="D793">
        <v>2</v>
      </c>
      <c r="E793">
        <v>6</v>
      </c>
      <c r="F793">
        <v>5070</v>
      </c>
    </row>
    <row r="794" spans="1:6" x14ac:dyDescent="0.25">
      <c r="A794" t="s">
        <v>87</v>
      </c>
      <c r="B794" t="s">
        <v>89</v>
      </c>
      <c r="C794">
        <v>2</v>
      </c>
      <c r="D794">
        <v>0</v>
      </c>
      <c r="E794">
        <v>1</v>
      </c>
      <c r="F794">
        <v>1993981</v>
      </c>
    </row>
    <row r="795" spans="1:6" x14ac:dyDescent="0.25">
      <c r="A795" t="s">
        <v>87</v>
      </c>
      <c r="B795" t="s">
        <v>89</v>
      </c>
      <c r="C795">
        <v>2</v>
      </c>
      <c r="D795">
        <v>0</v>
      </c>
      <c r="E795">
        <v>2</v>
      </c>
      <c r="F795">
        <v>204565</v>
      </c>
    </row>
    <row r="796" spans="1:6" x14ac:dyDescent="0.25">
      <c r="A796" t="s">
        <v>87</v>
      </c>
      <c r="B796" t="s">
        <v>89</v>
      </c>
      <c r="C796">
        <v>2</v>
      </c>
      <c r="D796">
        <v>0</v>
      </c>
      <c r="E796">
        <v>3</v>
      </c>
      <c r="F796">
        <v>8265</v>
      </c>
    </row>
    <row r="797" spans="1:6" x14ac:dyDescent="0.25">
      <c r="A797" t="s">
        <v>87</v>
      </c>
      <c r="B797" t="s">
        <v>89</v>
      </c>
      <c r="C797">
        <v>2</v>
      </c>
      <c r="D797">
        <v>0</v>
      </c>
      <c r="E797">
        <v>4</v>
      </c>
      <c r="F797">
        <v>48227</v>
      </c>
    </row>
    <row r="798" spans="1:6" x14ac:dyDescent="0.25">
      <c r="A798" t="s">
        <v>87</v>
      </c>
      <c r="B798" t="s">
        <v>89</v>
      </c>
      <c r="C798">
        <v>2</v>
      </c>
      <c r="D798">
        <v>0</v>
      </c>
      <c r="E798">
        <v>5</v>
      </c>
      <c r="F798">
        <v>3212</v>
      </c>
    </row>
    <row r="799" spans="1:6" x14ac:dyDescent="0.25">
      <c r="A799" t="s">
        <v>87</v>
      </c>
      <c r="B799" t="s">
        <v>89</v>
      </c>
      <c r="C799">
        <v>2</v>
      </c>
      <c r="D799">
        <v>0</v>
      </c>
      <c r="E799">
        <v>6</v>
      </c>
      <c r="F799">
        <v>55458</v>
      </c>
    </row>
    <row r="800" spans="1:6" x14ac:dyDescent="0.25">
      <c r="A800" t="s">
        <v>87</v>
      </c>
      <c r="B800" t="s">
        <v>89</v>
      </c>
      <c r="C800">
        <v>2</v>
      </c>
      <c r="D800">
        <v>1</v>
      </c>
      <c r="E800">
        <v>1</v>
      </c>
      <c r="F800">
        <v>1890328</v>
      </c>
    </row>
    <row r="801" spans="1:6" x14ac:dyDescent="0.25">
      <c r="A801" t="s">
        <v>87</v>
      </c>
      <c r="B801" t="s">
        <v>89</v>
      </c>
      <c r="C801">
        <v>2</v>
      </c>
      <c r="D801">
        <v>1</v>
      </c>
      <c r="E801">
        <v>2</v>
      </c>
      <c r="F801">
        <v>196805</v>
      </c>
    </row>
    <row r="802" spans="1:6" x14ac:dyDescent="0.25">
      <c r="A802" t="s">
        <v>87</v>
      </c>
      <c r="B802" t="s">
        <v>89</v>
      </c>
      <c r="C802">
        <v>2</v>
      </c>
      <c r="D802">
        <v>1</v>
      </c>
      <c r="E802">
        <v>3</v>
      </c>
      <c r="F802">
        <v>4886</v>
      </c>
    </row>
    <row r="803" spans="1:6" x14ac:dyDescent="0.25">
      <c r="A803" t="s">
        <v>87</v>
      </c>
      <c r="B803" t="s">
        <v>89</v>
      </c>
      <c r="C803">
        <v>2</v>
      </c>
      <c r="D803">
        <v>1</v>
      </c>
      <c r="E803">
        <v>4</v>
      </c>
      <c r="F803">
        <v>47055</v>
      </c>
    </row>
    <row r="804" spans="1:6" x14ac:dyDescent="0.25">
      <c r="A804" t="s">
        <v>87</v>
      </c>
      <c r="B804" t="s">
        <v>89</v>
      </c>
      <c r="C804">
        <v>2</v>
      </c>
      <c r="D804">
        <v>1</v>
      </c>
      <c r="E804">
        <v>5</v>
      </c>
      <c r="F804">
        <v>2303</v>
      </c>
    </row>
    <row r="805" spans="1:6" x14ac:dyDescent="0.25">
      <c r="A805" t="s">
        <v>87</v>
      </c>
      <c r="B805" t="s">
        <v>89</v>
      </c>
      <c r="C805">
        <v>2</v>
      </c>
      <c r="D805">
        <v>1</v>
      </c>
      <c r="E805">
        <v>6</v>
      </c>
      <c r="F805">
        <v>50670</v>
      </c>
    </row>
    <row r="806" spans="1:6" x14ac:dyDescent="0.25">
      <c r="A806" t="s">
        <v>87</v>
      </c>
      <c r="B806" t="s">
        <v>89</v>
      </c>
      <c r="C806">
        <v>2</v>
      </c>
      <c r="D806">
        <v>2</v>
      </c>
      <c r="E806">
        <v>1</v>
      </c>
      <c r="F806">
        <v>103653</v>
      </c>
    </row>
    <row r="807" spans="1:6" x14ac:dyDescent="0.25">
      <c r="A807" t="s">
        <v>87</v>
      </c>
      <c r="B807" t="s">
        <v>89</v>
      </c>
      <c r="C807">
        <v>2</v>
      </c>
      <c r="D807">
        <v>2</v>
      </c>
      <c r="E807">
        <v>2</v>
      </c>
      <c r="F807">
        <v>7760</v>
      </c>
    </row>
    <row r="808" spans="1:6" x14ac:dyDescent="0.25">
      <c r="A808" t="s">
        <v>87</v>
      </c>
      <c r="B808" t="s">
        <v>89</v>
      </c>
      <c r="C808">
        <v>2</v>
      </c>
      <c r="D808">
        <v>2</v>
      </c>
      <c r="E808">
        <v>3</v>
      </c>
      <c r="F808">
        <v>3379</v>
      </c>
    </row>
    <row r="809" spans="1:6" x14ac:dyDescent="0.25">
      <c r="A809" t="s">
        <v>87</v>
      </c>
      <c r="B809" t="s">
        <v>89</v>
      </c>
      <c r="C809">
        <v>2</v>
      </c>
      <c r="D809">
        <v>2</v>
      </c>
      <c r="E809">
        <v>4</v>
      </c>
      <c r="F809">
        <v>1172</v>
      </c>
    </row>
    <row r="810" spans="1:6" x14ac:dyDescent="0.25">
      <c r="A810" t="s">
        <v>87</v>
      </c>
      <c r="B810" t="s">
        <v>89</v>
      </c>
      <c r="C810">
        <v>2</v>
      </c>
      <c r="D810">
        <v>2</v>
      </c>
      <c r="E810">
        <v>5</v>
      </c>
      <c r="F810">
        <v>909</v>
      </c>
    </row>
    <row r="811" spans="1:6" x14ac:dyDescent="0.25">
      <c r="A811" t="s">
        <v>87</v>
      </c>
      <c r="B811" t="s">
        <v>89</v>
      </c>
      <c r="C811">
        <v>2</v>
      </c>
      <c r="D811">
        <v>2</v>
      </c>
      <c r="E811">
        <v>6</v>
      </c>
      <c r="F811">
        <v>4788</v>
      </c>
    </row>
    <row r="812" spans="1:6" x14ac:dyDescent="0.25">
      <c r="A812" t="s">
        <v>90</v>
      </c>
      <c r="B812" t="s">
        <v>92</v>
      </c>
      <c r="C812">
        <v>0</v>
      </c>
      <c r="D812">
        <v>0</v>
      </c>
      <c r="E812">
        <v>1</v>
      </c>
      <c r="F812">
        <v>2864437</v>
      </c>
    </row>
    <row r="813" spans="1:6" x14ac:dyDescent="0.25">
      <c r="A813" t="s">
        <v>90</v>
      </c>
      <c r="B813" t="s">
        <v>92</v>
      </c>
      <c r="C813">
        <v>0</v>
      </c>
      <c r="D813">
        <v>0</v>
      </c>
      <c r="E813">
        <v>2</v>
      </c>
      <c r="F813">
        <v>1498009</v>
      </c>
    </row>
    <row r="814" spans="1:6" x14ac:dyDescent="0.25">
      <c r="A814" t="s">
        <v>90</v>
      </c>
      <c r="B814" t="s">
        <v>92</v>
      </c>
      <c r="C814">
        <v>0</v>
      </c>
      <c r="D814">
        <v>0</v>
      </c>
      <c r="E814">
        <v>3</v>
      </c>
      <c r="F814">
        <v>45291</v>
      </c>
    </row>
    <row r="815" spans="1:6" x14ac:dyDescent="0.25">
      <c r="A815" t="s">
        <v>90</v>
      </c>
      <c r="B815" t="s">
        <v>92</v>
      </c>
      <c r="C815">
        <v>0</v>
      </c>
      <c r="D815">
        <v>0</v>
      </c>
      <c r="E815">
        <v>4</v>
      </c>
      <c r="F815">
        <v>94294</v>
      </c>
    </row>
    <row r="816" spans="1:6" x14ac:dyDescent="0.25">
      <c r="A816" t="s">
        <v>90</v>
      </c>
      <c r="B816" t="s">
        <v>92</v>
      </c>
      <c r="C816">
        <v>0</v>
      </c>
      <c r="D816">
        <v>0</v>
      </c>
      <c r="E816">
        <v>5</v>
      </c>
      <c r="F816">
        <v>3468</v>
      </c>
    </row>
    <row r="817" spans="1:6" x14ac:dyDescent="0.25">
      <c r="A817" t="s">
        <v>90</v>
      </c>
      <c r="B817" t="s">
        <v>92</v>
      </c>
      <c r="C817">
        <v>0</v>
      </c>
      <c r="D817">
        <v>0</v>
      </c>
      <c r="E817">
        <v>6</v>
      </c>
      <c r="F817">
        <v>92241</v>
      </c>
    </row>
    <row r="818" spans="1:6" x14ac:dyDescent="0.25">
      <c r="A818" t="s">
        <v>90</v>
      </c>
      <c r="B818" t="s">
        <v>92</v>
      </c>
      <c r="C818">
        <v>0</v>
      </c>
      <c r="D818">
        <v>1</v>
      </c>
      <c r="E818">
        <v>1</v>
      </c>
      <c r="F818">
        <v>2577370</v>
      </c>
    </row>
    <row r="819" spans="1:6" x14ac:dyDescent="0.25">
      <c r="A819" t="s">
        <v>90</v>
      </c>
      <c r="B819" t="s">
        <v>92</v>
      </c>
      <c r="C819">
        <v>0</v>
      </c>
      <c r="D819">
        <v>1</v>
      </c>
      <c r="E819">
        <v>2</v>
      </c>
      <c r="F819">
        <v>1461720</v>
      </c>
    </row>
    <row r="820" spans="1:6" x14ac:dyDescent="0.25">
      <c r="A820" t="s">
        <v>90</v>
      </c>
      <c r="B820" t="s">
        <v>92</v>
      </c>
      <c r="C820">
        <v>0</v>
      </c>
      <c r="D820">
        <v>1</v>
      </c>
      <c r="E820">
        <v>3</v>
      </c>
      <c r="F820">
        <v>29703</v>
      </c>
    </row>
    <row r="821" spans="1:6" x14ac:dyDescent="0.25">
      <c r="A821" t="s">
        <v>90</v>
      </c>
      <c r="B821" t="s">
        <v>92</v>
      </c>
      <c r="C821">
        <v>0</v>
      </c>
      <c r="D821">
        <v>1</v>
      </c>
      <c r="E821">
        <v>4</v>
      </c>
      <c r="F821">
        <v>90324</v>
      </c>
    </row>
    <row r="822" spans="1:6" x14ac:dyDescent="0.25">
      <c r="A822" t="s">
        <v>90</v>
      </c>
      <c r="B822" t="s">
        <v>92</v>
      </c>
      <c r="C822">
        <v>0</v>
      </c>
      <c r="D822">
        <v>1</v>
      </c>
      <c r="E822">
        <v>5</v>
      </c>
      <c r="F822">
        <v>1783</v>
      </c>
    </row>
    <row r="823" spans="1:6" x14ac:dyDescent="0.25">
      <c r="A823" t="s">
        <v>90</v>
      </c>
      <c r="B823" t="s">
        <v>92</v>
      </c>
      <c r="C823">
        <v>0</v>
      </c>
      <c r="D823">
        <v>1</v>
      </c>
      <c r="E823">
        <v>6</v>
      </c>
      <c r="F823">
        <v>78758</v>
      </c>
    </row>
    <row r="824" spans="1:6" x14ac:dyDescent="0.25">
      <c r="A824" t="s">
        <v>90</v>
      </c>
      <c r="B824" t="s">
        <v>92</v>
      </c>
      <c r="C824">
        <v>0</v>
      </c>
      <c r="D824">
        <v>2</v>
      </c>
      <c r="E824">
        <v>1</v>
      </c>
      <c r="F824">
        <v>287067</v>
      </c>
    </row>
    <row r="825" spans="1:6" x14ac:dyDescent="0.25">
      <c r="A825" t="s">
        <v>90</v>
      </c>
      <c r="B825" t="s">
        <v>92</v>
      </c>
      <c r="C825">
        <v>0</v>
      </c>
      <c r="D825">
        <v>2</v>
      </c>
      <c r="E825">
        <v>2</v>
      </c>
      <c r="F825">
        <v>36289</v>
      </c>
    </row>
    <row r="826" spans="1:6" x14ac:dyDescent="0.25">
      <c r="A826" t="s">
        <v>90</v>
      </c>
      <c r="B826" t="s">
        <v>92</v>
      </c>
      <c r="C826">
        <v>0</v>
      </c>
      <c r="D826">
        <v>2</v>
      </c>
      <c r="E826">
        <v>3</v>
      </c>
      <c r="F826">
        <v>15588</v>
      </c>
    </row>
    <row r="827" spans="1:6" x14ac:dyDescent="0.25">
      <c r="A827" t="s">
        <v>90</v>
      </c>
      <c r="B827" t="s">
        <v>92</v>
      </c>
      <c r="C827">
        <v>0</v>
      </c>
      <c r="D827">
        <v>2</v>
      </c>
      <c r="E827">
        <v>4</v>
      </c>
      <c r="F827">
        <v>3970</v>
      </c>
    </row>
    <row r="828" spans="1:6" x14ac:dyDescent="0.25">
      <c r="A828" t="s">
        <v>90</v>
      </c>
      <c r="B828" t="s">
        <v>92</v>
      </c>
      <c r="C828">
        <v>0</v>
      </c>
      <c r="D828">
        <v>2</v>
      </c>
      <c r="E828">
        <v>5</v>
      </c>
      <c r="F828">
        <v>1685</v>
      </c>
    </row>
    <row r="829" spans="1:6" x14ac:dyDescent="0.25">
      <c r="A829" t="s">
        <v>90</v>
      </c>
      <c r="B829" t="s">
        <v>92</v>
      </c>
      <c r="C829">
        <v>0</v>
      </c>
      <c r="D829">
        <v>2</v>
      </c>
      <c r="E829">
        <v>6</v>
      </c>
      <c r="F829">
        <v>13483</v>
      </c>
    </row>
    <row r="830" spans="1:6" x14ac:dyDescent="0.25">
      <c r="A830" t="s">
        <v>90</v>
      </c>
      <c r="B830" t="s">
        <v>92</v>
      </c>
      <c r="C830">
        <v>1</v>
      </c>
      <c r="D830">
        <v>0</v>
      </c>
      <c r="E830">
        <v>1</v>
      </c>
      <c r="F830">
        <v>1422677</v>
      </c>
    </row>
    <row r="831" spans="1:6" x14ac:dyDescent="0.25">
      <c r="A831" t="s">
        <v>90</v>
      </c>
      <c r="B831" t="s">
        <v>92</v>
      </c>
      <c r="C831">
        <v>1</v>
      </c>
      <c r="D831">
        <v>0</v>
      </c>
      <c r="E831">
        <v>2</v>
      </c>
      <c r="F831">
        <v>708046</v>
      </c>
    </row>
    <row r="832" spans="1:6" x14ac:dyDescent="0.25">
      <c r="A832" t="s">
        <v>90</v>
      </c>
      <c r="B832" t="s">
        <v>92</v>
      </c>
      <c r="C832">
        <v>1</v>
      </c>
      <c r="D832">
        <v>0</v>
      </c>
      <c r="E832">
        <v>3</v>
      </c>
      <c r="F832">
        <v>23480</v>
      </c>
    </row>
    <row r="833" spans="1:6" x14ac:dyDescent="0.25">
      <c r="A833" t="s">
        <v>90</v>
      </c>
      <c r="B833" t="s">
        <v>92</v>
      </c>
      <c r="C833">
        <v>1</v>
      </c>
      <c r="D833">
        <v>0</v>
      </c>
      <c r="E833">
        <v>4</v>
      </c>
      <c r="F833">
        <v>45888</v>
      </c>
    </row>
    <row r="834" spans="1:6" x14ac:dyDescent="0.25">
      <c r="A834" t="s">
        <v>90</v>
      </c>
      <c r="B834" t="s">
        <v>92</v>
      </c>
      <c r="C834">
        <v>1</v>
      </c>
      <c r="D834">
        <v>0</v>
      </c>
      <c r="E834">
        <v>5</v>
      </c>
      <c r="F834">
        <v>1761</v>
      </c>
    </row>
    <row r="835" spans="1:6" x14ac:dyDescent="0.25">
      <c r="A835" t="s">
        <v>90</v>
      </c>
      <c r="B835" t="s">
        <v>92</v>
      </c>
      <c r="C835">
        <v>1</v>
      </c>
      <c r="D835">
        <v>0</v>
      </c>
      <c r="E835">
        <v>6</v>
      </c>
      <c r="F835">
        <v>45218</v>
      </c>
    </row>
    <row r="836" spans="1:6" x14ac:dyDescent="0.25">
      <c r="A836" t="s">
        <v>90</v>
      </c>
      <c r="B836" t="s">
        <v>92</v>
      </c>
      <c r="C836">
        <v>1</v>
      </c>
      <c r="D836">
        <v>1</v>
      </c>
      <c r="E836">
        <v>1</v>
      </c>
      <c r="F836">
        <v>1269836</v>
      </c>
    </row>
    <row r="837" spans="1:6" x14ac:dyDescent="0.25">
      <c r="A837" t="s">
        <v>90</v>
      </c>
      <c r="B837" t="s">
        <v>92</v>
      </c>
      <c r="C837">
        <v>1</v>
      </c>
      <c r="D837">
        <v>1</v>
      </c>
      <c r="E837">
        <v>2</v>
      </c>
      <c r="F837">
        <v>689604</v>
      </c>
    </row>
    <row r="838" spans="1:6" x14ac:dyDescent="0.25">
      <c r="A838" t="s">
        <v>90</v>
      </c>
      <c r="B838" t="s">
        <v>92</v>
      </c>
      <c r="C838">
        <v>1</v>
      </c>
      <c r="D838">
        <v>1</v>
      </c>
      <c r="E838">
        <v>3</v>
      </c>
      <c r="F838">
        <v>14659</v>
      </c>
    </row>
    <row r="839" spans="1:6" x14ac:dyDescent="0.25">
      <c r="A839" t="s">
        <v>90</v>
      </c>
      <c r="B839" t="s">
        <v>92</v>
      </c>
      <c r="C839">
        <v>1</v>
      </c>
      <c r="D839">
        <v>1</v>
      </c>
      <c r="E839">
        <v>4</v>
      </c>
      <c r="F839">
        <v>43828</v>
      </c>
    </row>
    <row r="840" spans="1:6" x14ac:dyDescent="0.25">
      <c r="A840" t="s">
        <v>90</v>
      </c>
      <c r="B840" t="s">
        <v>92</v>
      </c>
      <c r="C840">
        <v>1</v>
      </c>
      <c r="D840">
        <v>1</v>
      </c>
      <c r="E840">
        <v>5</v>
      </c>
      <c r="F840">
        <v>836</v>
      </c>
    </row>
    <row r="841" spans="1:6" x14ac:dyDescent="0.25">
      <c r="A841" t="s">
        <v>90</v>
      </c>
      <c r="B841" t="s">
        <v>92</v>
      </c>
      <c r="C841">
        <v>1</v>
      </c>
      <c r="D841">
        <v>1</v>
      </c>
      <c r="E841">
        <v>6</v>
      </c>
      <c r="F841">
        <v>38500</v>
      </c>
    </row>
    <row r="842" spans="1:6" x14ac:dyDescent="0.25">
      <c r="A842" t="s">
        <v>90</v>
      </c>
      <c r="B842" t="s">
        <v>92</v>
      </c>
      <c r="C842">
        <v>1</v>
      </c>
      <c r="D842">
        <v>2</v>
      </c>
      <c r="E842">
        <v>1</v>
      </c>
      <c r="F842">
        <v>152841</v>
      </c>
    </row>
    <row r="843" spans="1:6" x14ac:dyDescent="0.25">
      <c r="A843" t="s">
        <v>90</v>
      </c>
      <c r="B843" t="s">
        <v>92</v>
      </c>
      <c r="C843">
        <v>1</v>
      </c>
      <c r="D843">
        <v>2</v>
      </c>
      <c r="E843">
        <v>2</v>
      </c>
      <c r="F843">
        <v>18442</v>
      </c>
    </row>
    <row r="844" spans="1:6" x14ac:dyDescent="0.25">
      <c r="A844" t="s">
        <v>90</v>
      </c>
      <c r="B844" t="s">
        <v>92</v>
      </c>
      <c r="C844">
        <v>1</v>
      </c>
      <c r="D844">
        <v>2</v>
      </c>
      <c r="E844">
        <v>3</v>
      </c>
      <c r="F844">
        <v>8821</v>
      </c>
    </row>
    <row r="845" spans="1:6" x14ac:dyDescent="0.25">
      <c r="A845" t="s">
        <v>90</v>
      </c>
      <c r="B845" t="s">
        <v>92</v>
      </c>
      <c r="C845">
        <v>1</v>
      </c>
      <c r="D845">
        <v>2</v>
      </c>
      <c r="E845">
        <v>4</v>
      </c>
      <c r="F845">
        <v>2060</v>
      </c>
    </row>
    <row r="846" spans="1:6" x14ac:dyDescent="0.25">
      <c r="A846" t="s">
        <v>90</v>
      </c>
      <c r="B846" t="s">
        <v>92</v>
      </c>
      <c r="C846">
        <v>1</v>
      </c>
      <c r="D846">
        <v>2</v>
      </c>
      <c r="E846">
        <v>5</v>
      </c>
      <c r="F846">
        <v>925</v>
      </c>
    </row>
    <row r="847" spans="1:6" x14ac:dyDescent="0.25">
      <c r="A847" t="s">
        <v>90</v>
      </c>
      <c r="B847" t="s">
        <v>92</v>
      </c>
      <c r="C847">
        <v>1</v>
      </c>
      <c r="D847">
        <v>2</v>
      </c>
      <c r="E847">
        <v>6</v>
      </c>
      <c r="F847">
        <v>6718</v>
      </c>
    </row>
    <row r="848" spans="1:6" x14ac:dyDescent="0.25">
      <c r="A848" t="s">
        <v>90</v>
      </c>
      <c r="B848" t="s">
        <v>92</v>
      </c>
      <c r="C848">
        <v>2</v>
      </c>
      <c r="D848">
        <v>0</v>
      </c>
      <c r="E848">
        <v>1</v>
      </c>
      <c r="F848">
        <v>1441760</v>
      </c>
    </row>
    <row r="849" spans="1:6" x14ac:dyDescent="0.25">
      <c r="A849" t="s">
        <v>90</v>
      </c>
      <c r="B849" t="s">
        <v>92</v>
      </c>
      <c r="C849">
        <v>2</v>
      </c>
      <c r="D849">
        <v>0</v>
      </c>
      <c r="E849">
        <v>2</v>
      </c>
      <c r="F849">
        <v>789963</v>
      </c>
    </row>
    <row r="850" spans="1:6" x14ac:dyDescent="0.25">
      <c r="A850" t="s">
        <v>90</v>
      </c>
      <c r="B850" t="s">
        <v>92</v>
      </c>
      <c r="C850">
        <v>2</v>
      </c>
      <c r="D850">
        <v>0</v>
      </c>
      <c r="E850">
        <v>3</v>
      </c>
      <c r="F850">
        <v>21811</v>
      </c>
    </row>
    <row r="851" spans="1:6" x14ac:dyDescent="0.25">
      <c r="A851" t="s">
        <v>90</v>
      </c>
      <c r="B851" t="s">
        <v>92</v>
      </c>
      <c r="C851">
        <v>2</v>
      </c>
      <c r="D851">
        <v>0</v>
      </c>
      <c r="E851">
        <v>4</v>
      </c>
      <c r="F851">
        <v>48406</v>
      </c>
    </row>
    <row r="852" spans="1:6" x14ac:dyDescent="0.25">
      <c r="A852" t="s">
        <v>90</v>
      </c>
      <c r="B852" t="s">
        <v>92</v>
      </c>
      <c r="C852">
        <v>2</v>
      </c>
      <c r="D852">
        <v>0</v>
      </c>
      <c r="E852">
        <v>5</v>
      </c>
      <c r="F852">
        <v>1707</v>
      </c>
    </row>
    <row r="853" spans="1:6" x14ac:dyDescent="0.25">
      <c r="A853" t="s">
        <v>90</v>
      </c>
      <c r="B853" t="s">
        <v>92</v>
      </c>
      <c r="C853">
        <v>2</v>
      </c>
      <c r="D853">
        <v>0</v>
      </c>
      <c r="E853">
        <v>6</v>
      </c>
      <c r="F853">
        <v>47023</v>
      </c>
    </row>
    <row r="854" spans="1:6" x14ac:dyDescent="0.25">
      <c r="A854" t="s">
        <v>90</v>
      </c>
      <c r="B854" t="s">
        <v>92</v>
      </c>
      <c r="C854">
        <v>2</v>
      </c>
      <c r="D854">
        <v>1</v>
      </c>
      <c r="E854">
        <v>1</v>
      </c>
      <c r="F854">
        <v>1307534</v>
      </c>
    </row>
    <row r="855" spans="1:6" x14ac:dyDescent="0.25">
      <c r="A855" t="s">
        <v>90</v>
      </c>
      <c r="B855" t="s">
        <v>92</v>
      </c>
      <c r="C855">
        <v>2</v>
      </c>
      <c r="D855">
        <v>1</v>
      </c>
      <c r="E855">
        <v>2</v>
      </c>
      <c r="F855">
        <v>772116</v>
      </c>
    </row>
    <row r="856" spans="1:6" x14ac:dyDescent="0.25">
      <c r="A856" t="s">
        <v>90</v>
      </c>
      <c r="B856" t="s">
        <v>92</v>
      </c>
      <c r="C856">
        <v>2</v>
      </c>
      <c r="D856">
        <v>1</v>
      </c>
      <c r="E856">
        <v>3</v>
      </c>
      <c r="F856">
        <v>15044</v>
      </c>
    </row>
    <row r="857" spans="1:6" x14ac:dyDescent="0.25">
      <c r="A857" t="s">
        <v>90</v>
      </c>
      <c r="B857" t="s">
        <v>92</v>
      </c>
      <c r="C857">
        <v>2</v>
      </c>
      <c r="D857">
        <v>1</v>
      </c>
      <c r="E857">
        <v>4</v>
      </c>
      <c r="F857">
        <v>46496</v>
      </c>
    </row>
    <row r="858" spans="1:6" x14ac:dyDescent="0.25">
      <c r="A858" t="s">
        <v>90</v>
      </c>
      <c r="B858" t="s">
        <v>92</v>
      </c>
      <c r="C858">
        <v>2</v>
      </c>
      <c r="D858">
        <v>1</v>
      </c>
      <c r="E858">
        <v>5</v>
      </c>
      <c r="F858">
        <v>947</v>
      </c>
    </row>
    <row r="859" spans="1:6" x14ac:dyDescent="0.25">
      <c r="A859" t="s">
        <v>90</v>
      </c>
      <c r="B859" t="s">
        <v>92</v>
      </c>
      <c r="C859">
        <v>2</v>
      </c>
      <c r="D859">
        <v>1</v>
      </c>
      <c r="E859">
        <v>6</v>
      </c>
      <c r="F859">
        <v>40258</v>
      </c>
    </row>
    <row r="860" spans="1:6" x14ac:dyDescent="0.25">
      <c r="A860" t="s">
        <v>90</v>
      </c>
      <c r="B860" t="s">
        <v>92</v>
      </c>
      <c r="C860">
        <v>2</v>
      </c>
      <c r="D860">
        <v>2</v>
      </c>
      <c r="E860">
        <v>1</v>
      </c>
      <c r="F860">
        <v>134226</v>
      </c>
    </row>
    <row r="861" spans="1:6" x14ac:dyDescent="0.25">
      <c r="A861" t="s">
        <v>90</v>
      </c>
      <c r="B861" t="s">
        <v>92</v>
      </c>
      <c r="C861">
        <v>2</v>
      </c>
      <c r="D861">
        <v>2</v>
      </c>
      <c r="E861">
        <v>2</v>
      </c>
      <c r="F861">
        <v>17847</v>
      </c>
    </row>
    <row r="862" spans="1:6" x14ac:dyDescent="0.25">
      <c r="A862" t="s">
        <v>90</v>
      </c>
      <c r="B862" t="s">
        <v>92</v>
      </c>
      <c r="C862">
        <v>2</v>
      </c>
      <c r="D862">
        <v>2</v>
      </c>
      <c r="E862">
        <v>3</v>
      </c>
      <c r="F862">
        <v>6767</v>
      </c>
    </row>
    <row r="863" spans="1:6" x14ac:dyDescent="0.25">
      <c r="A863" t="s">
        <v>90</v>
      </c>
      <c r="B863" t="s">
        <v>92</v>
      </c>
      <c r="C863">
        <v>2</v>
      </c>
      <c r="D863">
        <v>2</v>
      </c>
      <c r="E863">
        <v>4</v>
      </c>
      <c r="F863">
        <v>1910</v>
      </c>
    </row>
    <row r="864" spans="1:6" x14ac:dyDescent="0.25">
      <c r="A864" t="s">
        <v>90</v>
      </c>
      <c r="B864" t="s">
        <v>92</v>
      </c>
      <c r="C864">
        <v>2</v>
      </c>
      <c r="D864">
        <v>2</v>
      </c>
      <c r="E864">
        <v>5</v>
      </c>
      <c r="F864">
        <v>760</v>
      </c>
    </row>
    <row r="865" spans="1:6" x14ac:dyDescent="0.25">
      <c r="A865" t="s">
        <v>90</v>
      </c>
      <c r="B865" t="s">
        <v>92</v>
      </c>
      <c r="C865">
        <v>2</v>
      </c>
      <c r="D865">
        <v>2</v>
      </c>
      <c r="E865">
        <v>6</v>
      </c>
      <c r="F865">
        <v>6765</v>
      </c>
    </row>
    <row r="866" spans="1:6" x14ac:dyDescent="0.25">
      <c r="A866" t="s">
        <v>93</v>
      </c>
      <c r="B866" t="s">
        <v>95</v>
      </c>
      <c r="C866">
        <v>0</v>
      </c>
      <c r="D866">
        <v>0</v>
      </c>
      <c r="E866">
        <v>1</v>
      </c>
      <c r="F866">
        <v>1310140</v>
      </c>
    </row>
    <row r="867" spans="1:6" x14ac:dyDescent="0.25">
      <c r="A867" t="s">
        <v>93</v>
      </c>
      <c r="B867" t="s">
        <v>95</v>
      </c>
      <c r="C867">
        <v>0</v>
      </c>
      <c r="D867">
        <v>0</v>
      </c>
      <c r="E867">
        <v>2</v>
      </c>
      <c r="F867">
        <v>34870</v>
      </c>
    </row>
    <row r="868" spans="1:6" x14ac:dyDescent="0.25">
      <c r="A868" t="s">
        <v>93</v>
      </c>
      <c r="B868" t="s">
        <v>95</v>
      </c>
      <c r="C868">
        <v>0</v>
      </c>
      <c r="D868">
        <v>0</v>
      </c>
      <c r="E868">
        <v>3</v>
      </c>
      <c r="F868">
        <v>9993</v>
      </c>
    </row>
    <row r="869" spans="1:6" x14ac:dyDescent="0.25">
      <c r="A869" t="s">
        <v>93</v>
      </c>
      <c r="B869" t="s">
        <v>95</v>
      </c>
      <c r="C869">
        <v>0</v>
      </c>
      <c r="D869">
        <v>0</v>
      </c>
      <c r="E869">
        <v>4</v>
      </c>
      <c r="F869">
        <v>20626</v>
      </c>
    </row>
    <row r="870" spans="1:6" x14ac:dyDescent="0.25">
      <c r="A870" t="s">
        <v>93</v>
      </c>
      <c r="B870" t="s">
        <v>95</v>
      </c>
      <c r="C870">
        <v>0</v>
      </c>
      <c r="D870">
        <v>0</v>
      </c>
      <c r="E870">
        <v>5</v>
      </c>
      <c r="F870">
        <v>593</v>
      </c>
    </row>
    <row r="871" spans="1:6" x14ac:dyDescent="0.25">
      <c r="A871" t="s">
        <v>93</v>
      </c>
      <c r="B871" t="s">
        <v>95</v>
      </c>
      <c r="C871">
        <v>0</v>
      </c>
      <c r="D871">
        <v>0</v>
      </c>
      <c r="E871">
        <v>6</v>
      </c>
      <c r="F871">
        <v>28790</v>
      </c>
    </row>
    <row r="872" spans="1:6" x14ac:dyDescent="0.25">
      <c r="A872" t="s">
        <v>93</v>
      </c>
      <c r="B872" t="s">
        <v>95</v>
      </c>
      <c r="C872">
        <v>0</v>
      </c>
      <c r="D872">
        <v>1</v>
      </c>
      <c r="E872">
        <v>1</v>
      </c>
      <c r="F872">
        <v>1282565</v>
      </c>
    </row>
    <row r="873" spans="1:6" x14ac:dyDescent="0.25">
      <c r="A873" t="s">
        <v>93</v>
      </c>
      <c r="B873" t="s">
        <v>95</v>
      </c>
      <c r="C873">
        <v>0</v>
      </c>
      <c r="D873">
        <v>1</v>
      </c>
      <c r="E873">
        <v>2</v>
      </c>
      <c r="F873">
        <v>33054</v>
      </c>
    </row>
    <row r="874" spans="1:6" x14ac:dyDescent="0.25">
      <c r="A874" t="s">
        <v>93</v>
      </c>
      <c r="B874" t="s">
        <v>95</v>
      </c>
      <c r="C874">
        <v>0</v>
      </c>
      <c r="D874">
        <v>1</v>
      </c>
      <c r="E874">
        <v>3</v>
      </c>
      <c r="F874">
        <v>8817</v>
      </c>
    </row>
    <row r="875" spans="1:6" x14ac:dyDescent="0.25">
      <c r="A875" t="s">
        <v>93</v>
      </c>
      <c r="B875" t="s">
        <v>95</v>
      </c>
      <c r="C875">
        <v>0</v>
      </c>
      <c r="D875">
        <v>1</v>
      </c>
      <c r="E875">
        <v>4</v>
      </c>
      <c r="F875">
        <v>19981</v>
      </c>
    </row>
    <row r="876" spans="1:6" x14ac:dyDescent="0.25">
      <c r="A876" t="s">
        <v>93</v>
      </c>
      <c r="B876" t="s">
        <v>95</v>
      </c>
      <c r="C876">
        <v>0</v>
      </c>
      <c r="D876">
        <v>1</v>
      </c>
      <c r="E876">
        <v>5</v>
      </c>
      <c r="F876">
        <v>468</v>
      </c>
    </row>
    <row r="877" spans="1:6" x14ac:dyDescent="0.25">
      <c r="A877" t="s">
        <v>93</v>
      </c>
      <c r="B877" t="s">
        <v>95</v>
      </c>
      <c r="C877">
        <v>0</v>
      </c>
      <c r="D877">
        <v>1</v>
      </c>
      <c r="E877">
        <v>6</v>
      </c>
      <c r="F877">
        <v>26494</v>
      </c>
    </row>
    <row r="878" spans="1:6" x14ac:dyDescent="0.25">
      <c r="A878" t="s">
        <v>93</v>
      </c>
      <c r="B878" t="s">
        <v>95</v>
      </c>
      <c r="C878">
        <v>0</v>
      </c>
      <c r="D878">
        <v>2</v>
      </c>
      <c r="E878">
        <v>1</v>
      </c>
      <c r="F878">
        <v>27575</v>
      </c>
    </row>
    <row r="879" spans="1:6" x14ac:dyDescent="0.25">
      <c r="A879" t="s">
        <v>93</v>
      </c>
      <c r="B879" t="s">
        <v>95</v>
      </c>
      <c r="C879">
        <v>0</v>
      </c>
      <c r="D879">
        <v>2</v>
      </c>
      <c r="E879">
        <v>2</v>
      </c>
      <c r="F879">
        <v>1816</v>
      </c>
    </row>
    <row r="880" spans="1:6" x14ac:dyDescent="0.25">
      <c r="A880" t="s">
        <v>93</v>
      </c>
      <c r="B880" t="s">
        <v>95</v>
      </c>
      <c r="C880">
        <v>0</v>
      </c>
      <c r="D880">
        <v>2</v>
      </c>
      <c r="E880">
        <v>3</v>
      </c>
      <c r="F880">
        <v>1176</v>
      </c>
    </row>
    <row r="881" spans="1:6" x14ac:dyDescent="0.25">
      <c r="A881" t="s">
        <v>93</v>
      </c>
      <c r="B881" t="s">
        <v>95</v>
      </c>
      <c r="C881">
        <v>0</v>
      </c>
      <c r="D881">
        <v>2</v>
      </c>
      <c r="E881">
        <v>4</v>
      </c>
      <c r="F881">
        <v>645</v>
      </c>
    </row>
    <row r="882" spans="1:6" x14ac:dyDescent="0.25">
      <c r="A882" t="s">
        <v>93</v>
      </c>
      <c r="B882" t="s">
        <v>95</v>
      </c>
      <c r="C882">
        <v>0</v>
      </c>
      <c r="D882">
        <v>2</v>
      </c>
      <c r="E882">
        <v>5</v>
      </c>
      <c r="F882">
        <v>125</v>
      </c>
    </row>
    <row r="883" spans="1:6" x14ac:dyDescent="0.25">
      <c r="A883" t="s">
        <v>93</v>
      </c>
      <c r="B883" t="s">
        <v>95</v>
      </c>
      <c r="C883">
        <v>0</v>
      </c>
      <c r="D883">
        <v>2</v>
      </c>
      <c r="E883">
        <v>6</v>
      </c>
      <c r="F883">
        <v>2296</v>
      </c>
    </row>
    <row r="884" spans="1:6" x14ac:dyDescent="0.25">
      <c r="A884" t="s">
        <v>93</v>
      </c>
      <c r="B884" t="s">
        <v>95</v>
      </c>
      <c r="C884">
        <v>1</v>
      </c>
      <c r="D884">
        <v>0</v>
      </c>
      <c r="E884">
        <v>1</v>
      </c>
      <c r="F884">
        <v>644361</v>
      </c>
    </row>
    <row r="885" spans="1:6" x14ac:dyDescent="0.25">
      <c r="A885" t="s">
        <v>93</v>
      </c>
      <c r="B885" t="s">
        <v>95</v>
      </c>
      <c r="C885">
        <v>1</v>
      </c>
      <c r="D885">
        <v>0</v>
      </c>
      <c r="E885">
        <v>2</v>
      </c>
      <c r="F885">
        <v>18781</v>
      </c>
    </row>
    <row r="886" spans="1:6" x14ac:dyDescent="0.25">
      <c r="A886" t="s">
        <v>93</v>
      </c>
      <c r="B886" t="s">
        <v>95</v>
      </c>
      <c r="C886">
        <v>1</v>
      </c>
      <c r="D886">
        <v>0</v>
      </c>
      <c r="E886">
        <v>3</v>
      </c>
      <c r="F886">
        <v>4988</v>
      </c>
    </row>
    <row r="887" spans="1:6" x14ac:dyDescent="0.25">
      <c r="A887" t="s">
        <v>93</v>
      </c>
      <c r="B887" t="s">
        <v>95</v>
      </c>
      <c r="C887">
        <v>1</v>
      </c>
      <c r="D887">
        <v>0</v>
      </c>
      <c r="E887">
        <v>4</v>
      </c>
      <c r="F887">
        <v>9157</v>
      </c>
    </row>
    <row r="888" spans="1:6" x14ac:dyDescent="0.25">
      <c r="A888" t="s">
        <v>93</v>
      </c>
      <c r="B888" t="s">
        <v>95</v>
      </c>
      <c r="C888">
        <v>1</v>
      </c>
      <c r="D888">
        <v>0</v>
      </c>
      <c r="E888">
        <v>5</v>
      </c>
      <c r="F888">
        <v>323</v>
      </c>
    </row>
    <row r="889" spans="1:6" x14ac:dyDescent="0.25">
      <c r="A889" t="s">
        <v>93</v>
      </c>
      <c r="B889" t="s">
        <v>95</v>
      </c>
      <c r="C889">
        <v>1</v>
      </c>
      <c r="D889">
        <v>0</v>
      </c>
      <c r="E889">
        <v>6</v>
      </c>
      <c r="F889">
        <v>14327</v>
      </c>
    </row>
    <row r="890" spans="1:6" x14ac:dyDescent="0.25">
      <c r="A890" t="s">
        <v>93</v>
      </c>
      <c r="B890" t="s">
        <v>95</v>
      </c>
      <c r="C890">
        <v>1</v>
      </c>
      <c r="D890">
        <v>1</v>
      </c>
      <c r="E890">
        <v>1</v>
      </c>
      <c r="F890">
        <v>630145</v>
      </c>
    </row>
    <row r="891" spans="1:6" x14ac:dyDescent="0.25">
      <c r="A891" t="s">
        <v>93</v>
      </c>
      <c r="B891" t="s">
        <v>95</v>
      </c>
      <c r="C891">
        <v>1</v>
      </c>
      <c r="D891">
        <v>1</v>
      </c>
      <c r="E891">
        <v>2</v>
      </c>
      <c r="F891">
        <v>17831</v>
      </c>
    </row>
    <row r="892" spans="1:6" x14ac:dyDescent="0.25">
      <c r="A892" t="s">
        <v>93</v>
      </c>
      <c r="B892" t="s">
        <v>95</v>
      </c>
      <c r="C892">
        <v>1</v>
      </c>
      <c r="D892">
        <v>1</v>
      </c>
      <c r="E892">
        <v>3</v>
      </c>
      <c r="F892">
        <v>4357</v>
      </c>
    </row>
    <row r="893" spans="1:6" x14ac:dyDescent="0.25">
      <c r="A893" t="s">
        <v>93</v>
      </c>
      <c r="B893" t="s">
        <v>95</v>
      </c>
      <c r="C893">
        <v>1</v>
      </c>
      <c r="D893">
        <v>1</v>
      </c>
      <c r="E893">
        <v>4</v>
      </c>
      <c r="F893">
        <v>8770</v>
      </c>
    </row>
    <row r="894" spans="1:6" x14ac:dyDescent="0.25">
      <c r="A894" t="s">
        <v>93</v>
      </c>
      <c r="B894" t="s">
        <v>95</v>
      </c>
      <c r="C894">
        <v>1</v>
      </c>
      <c r="D894">
        <v>1</v>
      </c>
      <c r="E894">
        <v>5</v>
      </c>
      <c r="F894">
        <v>254</v>
      </c>
    </row>
    <row r="895" spans="1:6" x14ac:dyDescent="0.25">
      <c r="A895" t="s">
        <v>93</v>
      </c>
      <c r="B895" t="s">
        <v>95</v>
      </c>
      <c r="C895">
        <v>1</v>
      </c>
      <c r="D895">
        <v>1</v>
      </c>
      <c r="E895">
        <v>6</v>
      </c>
      <c r="F895">
        <v>13200</v>
      </c>
    </row>
    <row r="896" spans="1:6" x14ac:dyDescent="0.25">
      <c r="A896" t="s">
        <v>93</v>
      </c>
      <c r="B896" t="s">
        <v>95</v>
      </c>
      <c r="C896">
        <v>1</v>
      </c>
      <c r="D896">
        <v>2</v>
      </c>
      <c r="E896">
        <v>1</v>
      </c>
      <c r="F896">
        <v>14216</v>
      </c>
    </row>
    <row r="897" spans="1:6" x14ac:dyDescent="0.25">
      <c r="A897" t="s">
        <v>93</v>
      </c>
      <c r="B897" t="s">
        <v>95</v>
      </c>
      <c r="C897">
        <v>1</v>
      </c>
      <c r="D897">
        <v>2</v>
      </c>
      <c r="E897">
        <v>2</v>
      </c>
      <c r="F897">
        <v>950</v>
      </c>
    </row>
    <row r="898" spans="1:6" x14ac:dyDescent="0.25">
      <c r="A898" t="s">
        <v>93</v>
      </c>
      <c r="B898" t="s">
        <v>95</v>
      </c>
      <c r="C898">
        <v>1</v>
      </c>
      <c r="D898">
        <v>2</v>
      </c>
      <c r="E898">
        <v>3</v>
      </c>
      <c r="F898">
        <v>631</v>
      </c>
    </row>
    <row r="899" spans="1:6" x14ac:dyDescent="0.25">
      <c r="A899" t="s">
        <v>93</v>
      </c>
      <c r="B899" t="s">
        <v>95</v>
      </c>
      <c r="C899">
        <v>1</v>
      </c>
      <c r="D899">
        <v>2</v>
      </c>
      <c r="E899">
        <v>4</v>
      </c>
      <c r="F899">
        <v>387</v>
      </c>
    </row>
    <row r="900" spans="1:6" x14ac:dyDescent="0.25">
      <c r="A900" t="s">
        <v>93</v>
      </c>
      <c r="B900" t="s">
        <v>95</v>
      </c>
      <c r="C900">
        <v>1</v>
      </c>
      <c r="D900">
        <v>2</v>
      </c>
      <c r="E900">
        <v>5</v>
      </c>
      <c r="F900">
        <v>69</v>
      </c>
    </row>
    <row r="901" spans="1:6" x14ac:dyDescent="0.25">
      <c r="A901" t="s">
        <v>93</v>
      </c>
      <c r="B901" t="s">
        <v>95</v>
      </c>
      <c r="C901">
        <v>1</v>
      </c>
      <c r="D901">
        <v>2</v>
      </c>
      <c r="E901">
        <v>6</v>
      </c>
      <c r="F901">
        <v>1127</v>
      </c>
    </row>
    <row r="902" spans="1:6" x14ac:dyDescent="0.25">
      <c r="A902" t="s">
        <v>93</v>
      </c>
      <c r="B902" t="s">
        <v>95</v>
      </c>
      <c r="C902">
        <v>2</v>
      </c>
      <c r="D902">
        <v>0</v>
      </c>
      <c r="E902">
        <v>1</v>
      </c>
      <c r="F902">
        <v>665779</v>
      </c>
    </row>
    <row r="903" spans="1:6" x14ac:dyDescent="0.25">
      <c r="A903" t="s">
        <v>93</v>
      </c>
      <c r="B903" t="s">
        <v>95</v>
      </c>
      <c r="C903">
        <v>2</v>
      </c>
      <c r="D903">
        <v>0</v>
      </c>
      <c r="E903">
        <v>2</v>
      </c>
      <c r="F903">
        <v>16089</v>
      </c>
    </row>
    <row r="904" spans="1:6" x14ac:dyDescent="0.25">
      <c r="A904" t="s">
        <v>93</v>
      </c>
      <c r="B904" t="s">
        <v>95</v>
      </c>
      <c r="C904">
        <v>2</v>
      </c>
      <c r="D904">
        <v>0</v>
      </c>
      <c r="E904">
        <v>3</v>
      </c>
      <c r="F904">
        <v>5005</v>
      </c>
    </row>
    <row r="905" spans="1:6" x14ac:dyDescent="0.25">
      <c r="A905" t="s">
        <v>93</v>
      </c>
      <c r="B905" t="s">
        <v>95</v>
      </c>
      <c r="C905">
        <v>2</v>
      </c>
      <c r="D905">
        <v>0</v>
      </c>
      <c r="E905">
        <v>4</v>
      </c>
      <c r="F905">
        <v>11469</v>
      </c>
    </row>
    <row r="906" spans="1:6" x14ac:dyDescent="0.25">
      <c r="A906" t="s">
        <v>93</v>
      </c>
      <c r="B906" t="s">
        <v>95</v>
      </c>
      <c r="C906">
        <v>2</v>
      </c>
      <c r="D906">
        <v>0</v>
      </c>
      <c r="E906">
        <v>5</v>
      </c>
      <c r="F906">
        <v>270</v>
      </c>
    </row>
    <row r="907" spans="1:6" x14ac:dyDescent="0.25">
      <c r="A907" t="s">
        <v>93</v>
      </c>
      <c r="B907" t="s">
        <v>95</v>
      </c>
      <c r="C907">
        <v>2</v>
      </c>
      <c r="D907">
        <v>0</v>
      </c>
      <c r="E907">
        <v>6</v>
      </c>
      <c r="F907">
        <v>14463</v>
      </c>
    </row>
    <row r="908" spans="1:6" x14ac:dyDescent="0.25">
      <c r="A908" t="s">
        <v>93</v>
      </c>
      <c r="B908" t="s">
        <v>95</v>
      </c>
      <c r="C908">
        <v>2</v>
      </c>
      <c r="D908">
        <v>1</v>
      </c>
      <c r="E908">
        <v>1</v>
      </c>
      <c r="F908">
        <v>652420</v>
      </c>
    </row>
    <row r="909" spans="1:6" x14ac:dyDescent="0.25">
      <c r="A909" t="s">
        <v>93</v>
      </c>
      <c r="B909" t="s">
        <v>95</v>
      </c>
      <c r="C909">
        <v>2</v>
      </c>
      <c r="D909">
        <v>1</v>
      </c>
      <c r="E909">
        <v>2</v>
      </c>
      <c r="F909">
        <v>15223</v>
      </c>
    </row>
    <row r="910" spans="1:6" x14ac:dyDescent="0.25">
      <c r="A910" t="s">
        <v>93</v>
      </c>
      <c r="B910" t="s">
        <v>95</v>
      </c>
      <c r="C910">
        <v>2</v>
      </c>
      <c r="D910">
        <v>1</v>
      </c>
      <c r="E910">
        <v>3</v>
      </c>
      <c r="F910">
        <v>4460</v>
      </c>
    </row>
    <row r="911" spans="1:6" x14ac:dyDescent="0.25">
      <c r="A911" t="s">
        <v>93</v>
      </c>
      <c r="B911" t="s">
        <v>95</v>
      </c>
      <c r="C911">
        <v>2</v>
      </c>
      <c r="D911">
        <v>1</v>
      </c>
      <c r="E911">
        <v>4</v>
      </c>
      <c r="F911">
        <v>11211</v>
      </c>
    </row>
    <row r="912" spans="1:6" x14ac:dyDescent="0.25">
      <c r="A912" t="s">
        <v>93</v>
      </c>
      <c r="B912" t="s">
        <v>95</v>
      </c>
      <c r="C912">
        <v>2</v>
      </c>
      <c r="D912">
        <v>1</v>
      </c>
      <c r="E912">
        <v>5</v>
      </c>
      <c r="F912">
        <v>214</v>
      </c>
    </row>
    <row r="913" spans="1:6" x14ac:dyDescent="0.25">
      <c r="A913" t="s">
        <v>93</v>
      </c>
      <c r="B913" t="s">
        <v>95</v>
      </c>
      <c r="C913">
        <v>2</v>
      </c>
      <c r="D913">
        <v>1</v>
      </c>
      <c r="E913">
        <v>6</v>
      </c>
      <c r="F913">
        <v>13294</v>
      </c>
    </row>
    <row r="914" spans="1:6" x14ac:dyDescent="0.25">
      <c r="A914" t="s">
        <v>93</v>
      </c>
      <c r="B914" t="s">
        <v>95</v>
      </c>
      <c r="C914">
        <v>2</v>
      </c>
      <c r="D914">
        <v>2</v>
      </c>
      <c r="E914">
        <v>1</v>
      </c>
      <c r="F914">
        <v>13359</v>
      </c>
    </row>
    <row r="915" spans="1:6" x14ac:dyDescent="0.25">
      <c r="A915" t="s">
        <v>93</v>
      </c>
      <c r="B915" t="s">
        <v>95</v>
      </c>
      <c r="C915">
        <v>2</v>
      </c>
      <c r="D915">
        <v>2</v>
      </c>
      <c r="E915">
        <v>2</v>
      </c>
      <c r="F915">
        <v>866</v>
      </c>
    </row>
    <row r="916" spans="1:6" x14ac:dyDescent="0.25">
      <c r="A916" t="s">
        <v>93</v>
      </c>
      <c r="B916" t="s">
        <v>95</v>
      </c>
      <c r="C916">
        <v>2</v>
      </c>
      <c r="D916">
        <v>2</v>
      </c>
      <c r="E916">
        <v>3</v>
      </c>
      <c r="F916">
        <v>545</v>
      </c>
    </row>
    <row r="917" spans="1:6" x14ac:dyDescent="0.25">
      <c r="A917" t="s">
        <v>93</v>
      </c>
      <c r="B917" t="s">
        <v>95</v>
      </c>
      <c r="C917">
        <v>2</v>
      </c>
      <c r="D917">
        <v>2</v>
      </c>
      <c r="E917">
        <v>4</v>
      </c>
      <c r="F917">
        <v>258</v>
      </c>
    </row>
    <row r="918" spans="1:6" x14ac:dyDescent="0.25">
      <c r="A918" t="s">
        <v>93</v>
      </c>
      <c r="B918" t="s">
        <v>95</v>
      </c>
      <c r="C918">
        <v>2</v>
      </c>
      <c r="D918">
        <v>2</v>
      </c>
      <c r="E918">
        <v>5</v>
      </c>
      <c r="F918">
        <v>56</v>
      </c>
    </row>
    <row r="919" spans="1:6" x14ac:dyDescent="0.25">
      <c r="A919" t="s">
        <v>93</v>
      </c>
      <c r="B919" t="s">
        <v>95</v>
      </c>
      <c r="C919">
        <v>2</v>
      </c>
      <c r="D919">
        <v>2</v>
      </c>
      <c r="E919">
        <v>6</v>
      </c>
      <c r="F919">
        <v>1169</v>
      </c>
    </row>
    <row r="920" spans="1:6" x14ac:dyDescent="0.25">
      <c r="A920" t="s">
        <v>96</v>
      </c>
      <c r="B920" t="s">
        <v>98</v>
      </c>
      <c r="C920">
        <v>0</v>
      </c>
      <c r="D920">
        <v>0</v>
      </c>
      <c r="E920">
        <v>1</v>
      </c>
      <c r="F920">
        <v>3551301</v>
      </c>
    </row>
    <row r="921" spans="1:6" x14ac:dyDescent="0.25">
      <c r="A921" t="s">
        <v>96</v>
      </c>
      <c r="B921" t="s">
        <v>98</v>
      </c>
      <c r="C921">
        <v>0</v>
      </c>
      <c r="D921">
        <v>0</v>
      </c>
      <c r="E921">
        <v>2</v>
      </c>
      <c r="F921">
        <v>1976758</v>
      </c>
    </row>
    <row r="922" spans="1:6" x14ac:dyDescent="0.25">
      <c r="A922" t="s">
        <v>96</v>
      </c>
      <c r="B922" t="s">
        <v>98</v>
      </c>
      <c r="C922">
        <v>0</v>
      </c>
      <c r="D922">
        <v>0</v>
      </c>
      <c r="E922">
        <v>3</v>
      </c>
      <c r="F922">
        <v>57175</v>
      </c>
    </row>
    <row r="923" spans="1:6" x14ac:dyDescent="0.25">
      <c r="A923" t="s">
        <v>96</v>
      </c>
      <c r="B923" t="s">
        <v>98</v>
      </c>
      <c r="C923">
        <v>0</v>
      </c>
      <c r="D923">
        <v>0</v>
      </c>
      <c r="E923">
        <v>4</v>
      </c>
      <c r="F923">
        <v>458331</v>
      </c>
    </row>
    <row r="924" spans="1:6" x14ac:dyDescent="0.25">
      <c r="A924" t="s">
        <v>96</v>
      </c>
      <c r="B924" t="s">
        <v>98</v>
      </c>
      <c r="C924">
        <v>0</v>
      </c>
      <c r="D924">
        <v>0</v>
      </c>
      <c r="E924">
        <v>5</v>
      </c>
      <c r="F924">
        <v>8346</v>
      </c>
    </row>
    <row r="925" spans="1:6" x14ac:dyDescent="0.25">
      <c r="A925" t="s">
        <v>96</v>
      </c>
      <c r="B925" t="s">
        <v>98</v>
      </c>
      <c r="C925">
        <v>0</v>
      </c>
      <c r="D925">
        <v>0</v>
      </c>
      <c r="E925">
        <v>6</v>
      </c>
      <c r="F925">
        <v>211309</v>
      </c>
    </row>
    <row r="926" spans="1:6" x14ac:dyDescent="0.25">
      <c r="A926" t="s">
        <v>96</v>
      </c>
      <c r="B926" t="s">
        <v>98</v>
      </c>
      <c r="C926">
        <v>0</v>
      </c>
      <c r="D926">
        <v>1</v>
      </c>
      <c r="E926">
        <v>1</v>
      </c>
      <c r="F926">
        <v>2907756</v>
      </c>
    </row>
    <row r="927" spans="1:6" x14ac:dyDescent="0.25">
      <c r="A927" t="s">
        <v>96</v>
      </c>
      <c r="B927" t="s">
        <v>98</v>
      </c>
      <c r="C927">
        <v>0</v>
      </c>
      <c r="D927">
        <v>1</v>
      </c>
      <c r="E927">
        <v>2</v>
      </c>
      <c r="F927">
        <v>1886655</v>
      </c>
    </row>
    <row r="928" spans="1:6" x14ac:dyDescent="0.25">
      <c r="A928" t="s">
        <v>96</v>
      </c>
      <c r="B928" t="s">
        <v>98</v>
      </c>
      <c r="C928">
        <v>0</v>
      </c>
      <c r="D928">
        <v>1</v>
      </c>
      <c r="E928">
        <v>3</v>
      </c>
      <c r="F928">
        <v>14529</v>
      </c>
    </row>
    <row r="929" spans="1:6" x14ac:dyDescent="0.25">
      <c r="A929" t="s">
        <v>96</v>
      </c>
      <c r="B929" t="s">
        <v>98</v>
      </c>
      <c r="C929">
        <v>0</v>
      </c>
      <c r="D929">
        <v>1</v>
      </c>
      <c r="E929">
        <v>4</v>
      </c>
      <c r="F929">
        <v>446755</v>
      </c>
    </row>
    <row r="930" spans="1:6" x14ac:dyDescent="0.25">
      <c r="A930" t="s">
        <v>96</v>
      </c>
      <c r="B930" t="s">
        <v>98</v>
      </c>
      <c r="C930">
        <v>0</v>
      </c>
      <c r="D930">
        <v>1</v>
      </c>
      <c r="E930">
        <v>5</v>
      </c>
      <c r="F930">
        <v>3058</v>
      </c>
    </row>
    <row r="931" spans="1:6" x14ac:dyDescent="0.25">
      <c r="A931" t="s">
        <v>96</v>
      </c>
      <c r="B931" t="s">
        <v>98</v>
      </c>
      <c r="C931">
        <v>0</v>
      </c>
      <c r="D931">
        <v>1</v>
      </c>
      <c r="E931">
        <v>6</v>
      </c>
      <c r="F931">
        <v>173518</v>
      </c>
    </row>
    <row r="932" spans="1:6" x14ac:dyDescent="0.25">
      <c r="A932" t="s">
        <v>96</v>
      </c>
      <c r="B932" t="s">
        <v>98</v>
      </c>
      <c r="C932">
        <v>0</v>
      </c>
      <c r="D932">
        <v>2</v>
      </c>
      <c r="E932">
        <v>1</v>
      </c>
      <c r="F932">
        <v>643545</v>
      </c>
    </row>
    <row r="933" spans="1:6" x14ac:dyDescent="0.25">
      <c r="A933" t="s">
        <v>96</v>
      </c>
      <c r="B933" t="s">
        <v>98</v>
      </c>
      <c r="C933">
        <v>0</v>
      </c>
      <c r="D933">
        <v>2</v>
      </c>
      <c r="E933">
        <v>2</v>
      </c>
      <c r="F933">
        <v>90103</v>
      </c>
    </row>
    <row r="934" spans="1:6" x14ac:dyDescent="0.25">
      <c r="A934" t="s">
        <v>96</v>
      </c>
      <c r="B934" t="s">
        <v>98</v>
      </c>
      <c r="C934">
        <v>0</v>
      </c>
      <c r="D934">
        <v>2</v>
      </c>
      <c r="E934">
        <v>3</v>
      </c>
      <c r="F934">
        <v>42646</v>
      </c>
    </row>
    <row r="935" spans="1:6" x14ac:dyDescent="0.25">
      <c r="A935" t="s">
        <v>96</v>
      </c>
      <c r="B935" t="s">
        <v>98</v>
      </c>
      <c r="C935">
        <v>0</v>
      </c>
      <c r="D935">
        <v>2</v>
      </c>
      <c r="E935">
        <v>4</v>
      </c>
      <c r="F935">
        <v>11576</v>
      </c>
    </row>
    <row r="936" spans="1:6" x14ac:dyDescent="0.25">
      <c r="A936" t="s">
        <v>96</v>
      </c>
      <c r="B936" t="s">
        <v>98</v>
      </c>
      <c r="C936">
        <v>0</v>
      </c>
      <c r="D936">
        <v>2</v>
      </c>
      <c r="E936">
        <v>5</v>
      </c>
      <c r="F936">
        <v>5288</v>
      </c>
    </row>
    <row r="937" spans="1:6" x14ac:dyDescent="0.25">
      <c r="A937" t="s">
        <v>96</v>
      </c>
      <c r="B937" t="s">
        <v>98</v>
      </c>
      <c r="C937">
        <v>0</v>
      </c>
      <c r="D937">
        <v>2</v>
      </c>
      <c r="E937">
        <v>6</v>
      </c>
      <c r="F937">
        <v>37791</v>
      </c>
    </row>
    <row r="938" spans="1:6" x14ac:dyDescent="0.25">
      <c r="A938" t="s">
        <v>96</v>
      </c>
      <c r="B938" t="s">
        <v>98</v>
      </c>
      <c r="C938">
        <v>1</v>
      </c>
      <c r="D938">
        <v>0</v>
      </c>
      <c r="E938">
        <v>1</v>
      </c>
      <c r="F938">
        <v>1764632</v>
      </c>
    </row>
    <row r="939" spans="1:6" x14ac:dyDescent="0.25">
      <c r="A939" t="s">
        <v>96</v>
      </c>
      <c r="B939" t="s">
        <v>98</v>
      </c>
      <c r="C939">
        <v>1</v>
      </c>
      <c r="D939">
        <v>0</v>
      </c>
      <c r="E939">
        <v>2</v>
      </c>
      <c r="F939">
        <v>924816</v>
      </c>
    </row>
    <row r="940" spans="1:6" x14ac:dyDescent="0.25">
      <c r="A940" t="s">
        <v>96</v>
      </c>
      <c r="B940" t="s">
        <v>98</v>
      </c>
      <c r="C940">
        <v>1</v>
      </c>
      <c r="D940">
        <v>0</v>
      </c>
      <c r="E940">
        <v>3</v>
      </c>
      <c r="F940">
        <v>29312</v>
      </c>
    </row>
    <row r="941" spans="1:6" x14ac:dyDescent="0.25">
      <c r="A941" t="s">
        <v>96</v>
      </c>
      <c r="B941" t="s">
        <v>98</v>
      </c>
      <c r="C941">
        <v>1</v>
      </c>
      <c r="D941">
        <v>0</v>
      </c>
      <c r="E941">
        <v>4</v>
      </c>
      <c r="F941">
        <v>218792</v>
      </c>
    </row>
    <row r="942" spans="1:6" x14ac:dyDescent="0.25">
      <c r="A942" t="s">
        <v>96</v>
      </c>
      <c r="B942" t="s">
        <v>98</v>
      </c>
      <c r="C942">
        <v>1</v>
      </c>
      <c r="D942">
        <v>0</v>
      </c>
      <c r="E942">
        <v>5</v>
      </c>
      <c r="F942">
        <v>4204</v>
      </c>
    </row>
    <row r="943" spans="1:6" x14ac:dyDescent="0.25">
      <c r="A943" t="s">
        <v>96</v>
      </c>
      <c r="B943" t="s">
        <v>98</v>
      </c>
      <c r="C943">
        <v>1</v>
      </c>
      <c r="D943">
        <v>0</v>
      </c>
      <c r="E943">
        <v>6</v>
      </c>
      <c r="F943">
        <v>103256</v>
      </c>
    </row>
    <row r="944" spans="1:6" x14ac:dyDescent="0.25">
      <c r="A944" t="s">
        <v>96</v>
      </c>
      <c r="B944" t="s">
        <v>98</v>
      </c>
      <c r="C944">
        <v>1</v>
      </c>
      <c r="D944">
        <v>1</v>
      </c>
      <c r="E944">
        <v>1</v>
      </c>
      <c r="F944">
        <v>1432452</v>
      </c>
    </row>
    <row r="945" spans="1:6" x14ac:dyDescent="0.25">
      <c r="A945" t="s">
        <v>96</v>
      </c>
      <c r="B945" t="s">
        <v>98</v>
      </c>
      <c r="C945">
        <v>1</v>
      </c>
      <c r="D945">
        <v>1</v>
      </c>
      <c r="E945">
        <v>2</v>
      </c>
      <c r="F945">
        <v>879687</v>
      </c>
    </row>
    <row r="946" spans="1:6" x14ac:dyDescent="0.25">
      <c r="A946" t="s">
        <v>96</v>
      </c>
      <c r="B946" t="s">
        <v>98</v>
      </c>
      <c r="C946">
        <v>1</v>
      </c>
      <c r="D946">
        <v>1</v>
      </c>
      <c r="E946">
        <v>3</v>
      </c>
      <c r="F946">
        <v>7071</v>
      </c>
    </row>
    <row r="947" spans="1:6" x14ac:dyDescent="0.25">
      <c r="A947" t="s">
        <v>96</v>
      </c>
      <c r="B947" t="s">
        <v>98</v>
      </c>
      <c r="C947">
        <v>1</v>
      </c>
      <c r="D947">
        <v>1</v>
      </c>
      <c r="E947">
        <v>4</v>
      </c>
      <c r="F947">
        <v>212933</v>
      </c>
    </row>
    <row r="948" spans="1:6" x14ac:dyDescent="0.25">
      <c r="A948" t="s">
        <v>96</v>
      </c>
      <c r="B948" t="s">
        <v>98</v>
      </c>
      <c r="C948">
        <v>1</v>
      </c>
      <c r="D948">
        <v>1</v>
      </c>
      <c r="E948">
        <v>5</v>
      </c>
      <c r="F948">
        <v>1411</v>
      </c>
    </row>
    <row r="949" spans="1:6" x14ac:dyDescent="0.25">
      <c r="A949" t="s">
        <v>96</v>
      </c>
      <c r="B949" t="s">
        <v>98</v>
      </c>
      <c r="C949">
        <v>1</v>
      </c>
      <c r="D949">
        <v>1</v>
      </c>
      <c r="E949">
        <v>6</v>
      </c>
      <c r="F949">
        <v>84447</v>
      </c>
    </row>
    <row r="950" spans="1:6" x14ac:dyDescent="0.25">
      <c r="A950" t="s">
        <v>96</v>
      </c>
      <c r="B950" t="s">
        <v>98</v>
      </c>
      <c r="C950">
        <v>1</v>
      </c>
      <c r="D950">
        <v>2</v>
      </c>
      <c r="E950">
        <v>1</v>
      </c>
      <c r="F950">
        <v>332180</v>
      </c>
    </row>
    <row r="951" spans="1:6" x14ac:dyDescent="0.25">
      <c r="A951" t="s">
        <v>96</v>
      </c>
      <c r="B951" t="s">
        <v>98</v>
      </c>
      <c r="C951">
        <v>1</v>
      </c>
      <c r="D951">
        <v>2</v>
      </c>
      <c r="E951">
        <v>2</v>
      </c>
      <c r="F951">
        <v>45129</v>
      </c>
    </row>
    <row r="952" spans="1:6" x14ac:dyDescent="0.25">
      <c r="A952" t="s">
        <v>96</v>
      </c>
      <c r="B952" t="s">
        <v>98</v>
      </c>
      <c r="C952">
        <v>1</v>
      </c>
      <c r="D952">
        <v>2</v>
      </c>
      <c r="E952">
        <v>3</v>
      </c>
      <c r="F952">
        <v>22241</v>
      </c>
    </row>
    <row r="953" spans="1:6" x14ac:dyDescent="0.25">
      <c r="A953" t="s">
        <v>96</v>
      </c>
      <c r="B953" t="s">
        <v>98</v>
      </c>
      <c r="C953">
        <v>1</v>
      </c>
      <c r="D953">
        <v>2</v>
      </c>
      <c r="E953">
        <v>4</v>
      </c>
      <c r="F953">
        <v>5859</v>
      </c>
    </row>
    <row r="954" spans="1:6" x14ac:dyDescent="0.25">
      <c r="A954" t="s">
        <v>96</v>
      </c>
      <c r="B954" t="s">
        <v>98</v>
      </c>
      <c r="C954">
        <v>1</v>
      </c>
      <c r="D954">
        <v>2</v>
      </c>
      <c r="E954">
        <v>5</v>
      </c>
      <c r="F954">
        <v>2793</v>
      </c>
    </row>
    <row r="955" spans="1:6" x14ac:dyDescent="0.25">
      <c r="A955" t="s">
        <v>96</v>
      </c>
      <c r="B955" t="s">
        <v>98</v>
      </c>
      <c r="C955">
        <v>1</v>
      </c>
      <c r="D955">
        <v>2</v>
      </c>
      <c r="E955">
        <v>6</v>
      </c>
      <c r="F955">
        <v>18809</v>
      </c>
    </row>
    <row r="956" spans="1:6" x14ac:dyDescent="0.25">
      <c r="A956" t="s">
        <v>96</v>
      </c>
      <c r="B956" t="s">
        <v>98</v>
      </c>
      <c r="C956">
        <v>2</v>
      </c>
      <c r="D956">
        <v>0</v>
      </c>
      <c r="E956">
        <v>1</v>
      </c>
      <c r="F956">
        <v>1786669</v>
      </c>
    </row>
    <row r="957" spans="1:6" x14ac:dyDescent="0.25">
      <c r="A957" t="s">
        <v>96</v>
      </c>
      <c r="B957" t="s">
        <v>98</v>
      </c>
      <c r="C957">
        <v>2</v>
      </c>
      <c r="D957">
        <v>0</v>
      </c>
      <c r="E957">
        <v>2</v>
      </c>
      <c r="F957">
        <v>1051942</v>
      </c>
    </row>
    <row r="958" spans="1:6" x14ac:dyDescent="0.25">
      <c r="A958" t="s">
        <v>96</v>
      </c>
      <c r="B958" t="s">
        <v>98</v>
      </c>
      <c r="C958">
        <v>2</v>
      </c>
      <c r="D958">
        <v>0</v>
      </c>
      <c r="E958">
        <v>3</v>
      </c>
      <c r="F958">
        <v>27863</v>
      </c>
    </row>
    <row r="959" spans="1:6" x14ac:dyDescent="0.25">
      <c r="A959" t="s">
        <v>96</v>
      </c>
      <c r="B959" t="s">
        <v>98</v>
      </c>
      <c r="C959">
        <v>2</v>
      </c>
      <c r="D959">
        <v>0</v>
      </c>
      <c r="E959">
        <v>4</v>
      </c>
      <c r="F959">
        <v>239539</v>
      </c>
    </row>
    <row r="960" spans="1:6" x14ac:dyDescent="0.25">
      <c r="A960" t="s">
        <v>96</v>
      </c>
      <c r="B960" t="s">
        <v>98</v>
      </c>
      <c r="C960">
        <v>2</v>
      </c>
      <c r="D960">
        <v>0</v>
      </c>
      <c r="E960">
        <v>5</v>
      </c>
      <c r="F960">
        <v>4142</v>
      </c>
    </row>
    <row r="961" spans="1:6" x14ac:dyDescent="0.25">
      <c r="A961" t="s">
        <v>96</v>
      </c>
      <c r="B961" t="s">
        <v>98</v>
      </c>
      <c r="C961">
        <v>2</v>
      </c>
      <c r="D961">
        <v>0</v>
      </c>
      <c r="E961">
        <v>6</v>
      </c>
      <c r="F961">
        <v>108053</v>
      </c>
    </row>
    <row r="962" spans="1:6" x14ac:dyDescent="0.25">
      <c r="A962" t="s">
        <v>96</v>
      </c>
      <c r="B962" t="s">
        <v>98</v>
      </c>
      <c r="C962">
        <v>2</v>
      </c>
      <c r="D962">
        <v>1</v>
      </c>
      <c r="E962">
        <v>1</v>
      </c>
      <c r="F962">
        <v>1475304</v>
      </c>
    </row>
    <row r="963" spans="1:6" x14ac:dyDescent="0.25">
      <c r="A963" t="s">
        <v>96</v>
      </c>
      <c r="B963" t="s">
        <v>98</v>
      </c>
      <c r="C963">
        <v>2</v>
      </c>
      <c r="D963">
        <v>1</v>
      </c>
      <c r="E963">
        <v>2</v>
      </c>
      <c r="F963">
        <v>1006968</v>
      </c>
    </row>
    <row r="964" spans="1:6" x14ac:dyDescent="0.25">
      <c r="A964" t="s">
        <v>96</v>
      </c>
      <c r="B964" t="s">
        <v>98</v>
      </c>
      <c r="C964">
        <v>2</v>
      </c>
      <c r="D964">
        <v>1</v>
      </c>
      <c r="E964">
        <v>3</v>
      </c>
      <c r="F964">
        <v>7458</v>
      </c>
    </row>
    <row r="965" spans="1:6" x14ac:dyDescent="0.25">
      <c r="A965" t="s">
        <v>96</v>
      </c>
      <c r="B965" t="s">
        <v>98</v>
      </c>
      <c r="C965">
        <v>2</v>
      </c>
      <c r="D965">
        <v>1</v>
      </c>
      <c r="E965">
        <v>4</v>
      </c>
      <c r="F965">
        <v>233822</v>
      </c>
    </row>
    <row r="966" spans="1:6" x14ac:dyDescent="0.25">
      <c r="A966" t="s">
        <v>96</v>
      </c>
      <c r="B966" t="s">
        <v>98</v>
      </c>
      <c r="C966">
        <v>2</v>
      </c>
      <c r="D966">
        <v>1</v>
      </c>
      <c r="E966">
        <v>5</v>
      </c>
      <c r="F966">
        <v>1647</v>
      </c>
    </row>
    <row r="967" spans="1:6" x14ac:dyDescent="0.25">
      <c r="A967" t="s">
        <v>96</v>
      </c>
      <c r="B967" t="s">
        <v>98</v>
      </c>
      <c r="C967">
        <v>2</v>
      </c>
      <c r="D967">
        <v>1</v>
      </c>
      <c r="E967">
        <v>6</v>
      </c>
      <c r="F967">
        <v>89071</v>
      </c>
    </row>
    <row r="968" spans="1:6" x14ac:dyDescent="0.25">
      <c r="A968" t="s">
        <v>96</v>
      </c>
      <c r="B968" t="s">
        <v>98</v>
      </c>
      <c r="C968">
        <v>2</v>
      </c>
      <c r="D968">
        <v>2</v>
      </c>
      <c r="E968">
        <v>1</v>
      </c>
      <c r="F968">
        <v>311365</v>
      </c>
    </row>
    <row r="969" spans="1:6" x14ac:dyDescent="0.25">
      <c r="A969" t="s">
        <v>96</v>
      </c>
      <c r="B969" t="s">
        <v>98</v>
      </c>
      <c r="C969">
        <v>2</v>
      </c>
      <c r="D969">
        <v>2</v>
      </c>
      <c r="E969">
        <v>2</v>
      </c>
      <c r="F969">
        <v>44974</v>
      </c>
    </row>
    <row r="970" spans="1:6" x14ac:dyDescent="0.25">
      <c r="A970" t="s">
        <v>96</v>
      </c>
      <c r="B970" t="s">
        <v>98</v>
      </c>
      <c r="C970">
        <v>2</v>
      </c>
      <c r="D970">
        <v>2</v>
      </c>
      <c r="E970">
        <v>3</v>
      </c>
      <c r="F970">
        <v>20405</v>
      </c>
    </row>
    <row r="971" spans="1:6" x14ac:dyDescent="0.25">
      <c r="A971" t="s">
        <v>96</v>
      </c>
      <c r="B971" t="s">
        <v>98</v>
      </c>
      <c r="C971">
        <v>2</v>
      </c>
      <c r="D971">
        <v>2</v>
      </c>
      <c r="E971">
        <v>4</v>
      </c>
      <c r="F971">
        <v>5717</v>
      </c>
    </row>
    <row r="972" spans="1:6" x14ac:dyDescent="0.25">
      <c r="A972" t="s">
        <v>96</v>
      </c>
      <c r="B972" t="s">
        <v>98</v>
      </c>
      <c r="C972">
        <v>2</v>
      </c>
      <c r="D972">
        <v>2</v>
      </c>
      <c r="E972">
        <v>5</v>
      </c>
      <c r="F972">
        <v>2495</v>
      </c>
    </row>
    <row r="973" spans="1:6" x14ac:dyDescent="0.25">
      <c r="A973" t="s">
        <v>96</v>
      </c>
      <c r="B973" t="s">
        <v>98</v>
      </c>
      <c r="C973">
        <v>2</v>
      </c>
      <c r="D973">
        <v>2</v>
      </c>
      <c r="E973">
        <v>6</v>
      </c>
      <c r="F973">
        <v>18982</v>
      </c>
    </row>
    <row r="974" spans="1:6" x14ac:dyDescent="0.25">
      <c r="A974" t="s">
        <v>99</v>
      </c>
      <c r="B974" t="s">
        <v>101</v>
      </c>
      <c r="C974">
        <v>0</v>
      </c>
      <c r="D974">
        <v>0</v>
      </c>
      <c r="E974">
        <v>1</v>
      </c>
      <c r="F974">
        <v>5572524</v>
      </c>
    </row>
    <row r="975" spans="1:6" x14ac:dyDescent="0.25">
      <c r="A975" t="s">
        <v>99</v>
      </c>
      <c r="B975" t="s">
        <v>101</v>
      </c>
      <c r="C975">
        <v>0</v>
      </c>
      <c r="D975">
        <v>0</v>
      </c>
      <c r="E975">
        <v>2</v>
      </c>
      <c r="F975">
        <v>708951</v>
      </c>
    </row>
    <row r="976" spans="1:6" x14ac:dyDescent="0.25">
      <c r="A976" t="s">
        <v>99</v>
      </c>
      <c r="B976" t="s">
        <v>101</v>
      </c>
      <c r="C976">
        <v>0</v>
      </c>
      <c r="D976">
        <v>0</v>
      </c>
      <c r="E976">
        <v>3</v>
      </c>
      <c r="F976">
        <v>43304</v>
      </c>
    </row>
    <row r="977" spans="1:6" x14ac:dyDescent="0.25">
      <c r="A977" t="s">
        <v>99</v>
      </c>
      <c r="B977" t="s">
        <v>101</v>
      </c>
      <c r="C977">
        <v>0</v>
      </c>
      <c r="D977">
        <v>0</v>
      </c>
      <c r="E977">
        <v>4</v>
      </c>
      <c r="F977">
        <v>591165</v>
      </c>
    </row>
    <row r="978" spans="1:6" x14ac:dyDescent="0.25">
      <c r="A978" t="s">
        <v>99</v>
      </c>
      <c r="B978" t="s">
        <v>101</v>
      </c>
      <c r="C978">
        <v>0</v>
      </c>
      <c r="D978">
        <v>0</v>
      </c>
      <c r="E978">
        <v>5</v>
      </c>
      <c r="F978">
        <v>8212</v>
      </c>
    </row>
    <row r="979" spans="1:6" x14ac:dyDescent="0.25">
      <c r="A979" t="s">
        <v>99</v>
      </c>
      <c r="B979" t="s">
        <v>101</v>
      </c>
      <c r="C979">
        <v>0</v>
      </c>
      <c r="D979">
        <v>0</v>
      </c>
      <c r="E979">
        <v>6</v>
      </c>
      <c r="F979">
        <v>212015</v>
      </c>
    </row>
    <row r="980" spans="1:6" x14ac:dyDescent="0.25">
      <c r="A980" t="s">
        <v>99</v>
      </c>
      <c r="B980" t="s">
        <v>101</v>
      </c>
      <c r="C980">
        <v>0</v>
      </c>
      <c r="D980">
        <v>1</v>
      </c>
      <c r="E980">
        <v>1</v>
      </c>
      <c r="F980">
        <v>4825398</v>
      </c>
    </row>
    <row r="981" spans="1:6" x14ac:dyDescent="0.25">
      <c r="A981" t="s">
        <v>99</v>
      </c>
      <c r="B981" t="s">
        <v>101</v>
      </c>
      <c r="C981">
        <v>0</v>
      </c>
      <c r="D981">
        <v>1</v>
      </c>
      <c r="E981">
        <v>2</v>
      </c>
      <c r="F981">
        <v>560152</v>
      </c>
    </row>
    <row r="982" spans="1:6" x14ac:dyDescent="0.25">
      <c r="A982" t="s">
        <v>99</v>
      </c>
      <c r="B982" t="s">
        <v>101</v>
      </c>
      <c r="C982">
        <v>0</v>
      </c>
      <c r="D982">
        <v>1</v>
      </c>
      <c r="E982">
        <v>3</v>
      </c>
      <c r="F982">
        <v>12637</v>
      </c>
    </row>
    <row r="983" spans="1:6" x14ac:dyDescent="0.25">
      <c r="A983" t="s">
        <v>99</v>
      </c>
      <c r="B983" t="s">
        <v>101</v>
      </c>
      <c r="C983">
        <v>0</v>
      </c>
      <c r="D983">
        <v>1</v>
      </c>
      <c r="E983">
        <v>4</v>
      </c>
      <c r="F983">
        <v>581427</v>
      </c>
    </row>
    <row r="984" spans="1:6" x14ac:dyDescent="0.25">
      <c r="A984" t="s">
        <v>99</v>
      </c>
      <c r="B984" t="s">
        <v>101</v>
      </c>
      <c r="C984">
        <v>0</v>
      </c>
      <c r="D984">
        <v>1</v>
      </c>
      <c r="E984">
        <v>5</v>
      </c>
      <c r="F984">
        <v>3321</v>
      </c>
    </row>
    <row r="985" spans="1:6" x14ac:dyDescent="0.25">
      <c r="A985" t="s">
        <v>99</v>
      </c>
      <c r="B985" t="s">
        <v>101</v>
      </c>
      <c r="C985">
        <v>0</v>
      </c>
      <c r="D985">
        <v>1</v>
      </c>
      <c r="E985">
        <v>6</v>
      </c>
      <c r="F985">
        <v>151907</v>
      </c>
    </row>
    <row r="986" spans="1:6" x14ac:dyDescent="0.25">
      <c r="A986" t="s">
        <v>99</v>
      </c>
      <c r="B986" t="s">
        <v>101</v>
      </c>
      <c r="C986">
        <v>0</v>
      </c>
      <c r="D986">
        <v>2</v>
      </c>
      <c r="E986">
        <v>1</v>
      </c>
      <c r="F986">
        <v>747126</v>
      </c>
    </row>
    <row r="987" spans="1:6" x14ac:dyDescent="0.25">
      <c r="A987" t="s">
        <v>99</v>
      </c>
      <c r="B987" t="s">
        <v>101</v>
      </c>
      <c r="C987">
        <v>0</v>
      </c>
      <c r="D987">
        <v>2</v>
      </c>
      <c r="E987">
        <v>2</v>
      </c>
      <c r="F987">
        <v>148799</v>
      </c>
    </row>
    <row r="988" spans="1:6" x14ac:dyDescent="0.25">
      <c r="A988" t="s">
        <v>99</v>
      </c>
      <c r="B988" t="s">
        <v>101</v>
      </c>
      <c r="C988">
        <v>0</v>
      </c>
      <c r="D988">
        <v>2</v>
      </c>
      <c r="E988">
        <v>3</v>
      </c>
      <c r="F988">
        <v>30667</v>
      </c>
    </row>
    <row r="989" spans="1:6" x14ac:dyDescent="0.25">
      <c r="A989" t="s">
        <v>99</v>
      </c>
      <c r="B989" t="s">
        <v>101</v>
      </c>
      <c r="C989">
        <v>0</v>
      </c>
      <c r="D989">
        <v>2</v>
      </c>
      <c r="E989">
        <v>4</v>
      </c>
      <c r="F989">
        <v>9738</v>
      </c>
    </row>
    <row r="990" spans="1:6" x14ac:dyDescent="0.25">
      <c r="A990" t="s">
        <v>99</v>
      </c>
      <c r="B990" t="s">
        <v>101</v>
      </c>
      <c r="C990">
        <v>0</v>
      </c>
      <c r="D990">
        <v>2</v>
      </c>
      <c r="E990">
        <v>5</v>
      </c>
      <c r="F990">
        <v>4891</v>
      </c>
    </row>
    <row r="991" spans="1:6" x14ac:dyDescent="0.25">
      <c r="A991" t="s">
        <v>99</v>
      </c>
      <c r="B991" t="s">
        <v>101</v>
      </c>
      <c r="C991">
        <v>0</v>
      </c>
      <c r="D991">
        <v>2</v>
      </c>
      <c r="E991">
        <v>6</v>
      </c>
      <c r="F991">
        <v>60108</v>
      </c>
    </row>
    <row r="992" spans="1:6" x14ac:dyDescent="0.25">
      <c r="A992" t="s">
        <v>99</v>
      </c>
      <c r="B992" t="s">
        <v>101</v>
      </c>
      <c r="C992">
        <v>1</v>
      </c>
      <c r="D992">
        <v>0</v>
      </c>
      <c r="E992">
        <v>1</v>
      </c>
      <c r="F992">
        <v>2725650</v>
      </c>
    </row>
    <row r="993" spans="1:6" x14ac:dyDescent="0.25">
      <c r="A993" t="s">
        <v>99</v>
      </c>
      <c r="B993" t="s">
        <v>101</v>
      </c>
      <c r="C993">
        <v>1</v>
      </c>
      <c r="D993">
        <v>0</v>
      </c>
      <c r="E993">
        <v>2</v>
      </c>
      <c r="F993">
        <v>345909</v>
      </c>
    </row>
    <row r="994" spans="1:6" x14ac:dyDescent="0.25">
      <c r="A994" t="s">
        <v>99</v>
      </c>
      <c r="B994" t="s">
        <v>101</v>
      </c>
      <c r="C994">
        <v>1</v>
      </c>
      <c r="D994">
        <v>0</v>
      </c>
      <c r="E994">
        <v>3</v>
      </c>
      <c r="F994">
        <v>22298</v>
      </c>
    </row>
    <row r="995" spans="1:6" x14ac:dyDescent="0.25">
      <c r="A995" t="s">
        <v>99</v>
      </c>
      <c r="B995" t="s">
        <v>101</v>
      </c>
      <c r="C995">
        <v>1</v>
      </c>
      <c r="D995">
        <v>0</v>
      </c>
      <c r="E995">
        <v>4</v>
      </c>
      <c r="F995">
        <v>283918</v>
      </c>
    </row>
    <row r="996" spans="1:6" x14ac:dyDescent="0.25">
      <c r="A996" t="s">
        <v>99</v>
      </c>
      <c r="B996" t="s">
        <v>101</v>
      </c>
      <c r="C996">
        <v>1</v>
      </c>
      <c r="D996">
        <v>0</v>
      </c>
      <c r="E996">
        <v>5</v>
      </c>
      <c r="F996">
        <v>4000</v>
      </c>
    </row>
    <row r="997" spans="1:6" x14ac:dyDescent="0.25">
      <c r="A997" t="s">
        <v>99</v>
      </c>
      <c r="B997" t="s">
        <v>101</v>
      </c>
      <c r="C997">
        <v>1</v>
      </c>
      <c r="D997">
        <v>0</v>
      </c>
      <c r="E997">
        <v>6</v>
      </c>
      <c r="F997">
        <v>105733</v>
      </c>
    </row>
    <row r="998" spans="1:6" x14ac:dyDescent="0.25">
      <c r="A998" t="s">
        <v>99</v>
      </c>
      <c r="B998" t="s">
        <v>101</v>
      </c>
      <c r="C998">
        <v>1</v>
      </c>
      <c r="D998">
        <v>1</v>
      </c>
      <c r="E998">
        <v>1</v>
      </c>
      <c r="F998">
        <v>2353443</v>
      </c>
    </row>
    <row r="999" spans="1:6" x14ac:dyDescent="0.25">
      <c r="A999" t="s">
        <v>99</v>
      </c>
      <c r="B999" t="s">
        <v>101</v>
      </c>
      <c r="C999">
        <v>1</v>
      </c>
      <c r="D999">
        <v>1</v>
      </c>
      <c r="E999">
        <v>2</v>
      </c>
      <c r="F999">
        <v>274386</v>
      </c>
    </row>
    <row r="1000" spans="1:6" x14ac:dyDescent="0.25">
      <c r="A1000" t="s">
        <v>99</v>
      </c>
      <c r="B1000" t="s">
        <v>101</v>
      </c>
      <c r="C1000">
        <v>1</v>
      </c>
      <c r="D1000">
        <v>1</v>
      </c>
      <c r="E1000">
        <v>3</v>
      </c>
      <c r="F1000">
        <v>6302</v>
      </c>
    </row>
    <row r="1001" spans="1:6" x14ac:dyDescent="0.25">
      <c r="A1001" t="s">
        <v>99</v>
      </c>
      <c r="B1001" t="s">
        <v>101</v>
      </c>
      <c r="C1001">
        <v>1</v>
      </c>
      <c r="D1001">
        <v>1</v>
      </c>
      <c r="E1001">
        <v>4</v>
      </c>
      <c r="F1001">
        <v>279091</v>
      </c>
    </row>
    <row r="1002" spans="1:6" x14ac:dyDescent="0.25">
      <c r="A1002" t="s">
        <v>99</v>
      </c>
      <c r="B1002" t="s">
        <v>101</v>
      </c>
      <c r="C1002">
        <v>1</v>
      </c>
      <c r="D1002">
        <v>1</v>
      </c>
      <c r="E1002">
        <v>5</v>
      </c>
      <c r="F1002">
        <v>1605</v>
      </c>
    </row>
    <row r="1003" spans="1:6" x14ac:dyDescent="0.25">
      <c r="A1003" t="s">
        <v>99</v>
      </c>
      <c r="B1003" t="s">
        <v>101</v>
      </c>
      <c r="C1003">
        <v>1</v>
      </c>
      <c r="D1003">
        <v>1</v>
      </c>
      <c r="E1003">
        <v>6</v>
      </c>
      <c r="F1003">
        <v>75361</v>
      </c>
    </row>
    <row r="1004" spans="1:6" x14ac:dyDescent="0.25">
      <c r="A1004" t="s">
        <v>99</v>
      </c>
      <c r="B1004" t="s">
        <v>101</v>
      </c>
      <c r="C1004">
        <v>1</v>
      </c>
      <c r="D1004">
        <v>2</v>
      </c>
      <c r="E1004">
        <v>1</v>
      </c>
      <c r="F1004">
        <v>372207</v>
      </c>
    </row>
    <row r="1005" spans="1:6" x14ac:dyDescent="0.25">
      <c r="A1005" t="s">
        <v>99</v>
      </c>
      <c r="B1005" t="s">
        <v>101</v>
      </c>
      <c r="C1005">
        <v>1</v>
      </c>
      <c r="D1005">
        <v>2</v>
      </c>
      <c r="E1005">
        <v>2</v>
      </c>
      <c r="F1005">
        <v>71523</v>
      </c>
    </row>
    <row r="1006" spans="1:6" x14ac:dyDescent="0.25">
      <c r="A1006" t="s">
        <v>99</v>
      </c>
      <c r="B1006" t="s">
        <v>101</v>
      </c>
      <c r="C1006">
        <v>1</v>
      </c>
      <c r="D1006">
        <v>2</v>
      </c>
      <c r="E1006">
        <v>3</v>
      </c>
      <c r="F1006">
        <v>15996</v>
      </c>
    </row>
    <row r="1007" spans="1:6" x14ac:dyDescent="0.25">
      <c r="A1007" t="s">
        <v>99</v>
      </c>
      <c r="B1007" t="s">
        <v>101</v>
      </c>
      <c r="C1007">
        <v>1</v>
      </c>
      <c r="D1007">
        <v>2</v>
      </c>
      <c r="E1007">
        <v>4</v>
      </c>
      <c r="F1007">
        <v>4827</v>
      </c>
    </row>
    <row r="1008" spans="1:6" x14ac:dyDescent="0.25">
      <c r="A1008" t="s">
        <v>99</v>
      </c>
      <c r="B1008" t="s">
        <v>101</v>
      </c>
      <c r="C1008">
        <v>1</v>
      </c>
      <c r="D1008">
        <v>2</v>
      </c>
      <c r="E1008">
        <v>5</v>
      </c>
      <c r="F1008">
        <v>2395</v>
      </c>
    </row>
    <row r="1009" spans="1:6" x14ac:dyDescent="0.25">
      <c r="A1009" t="s">
        <v>99</v>
      </c>
      <c r="B1009" t="s">
        <v>101</v>
      </c>
      <c r="C1009">
        <v>1</v>
      </c>
      <c r="D1009">
        <v>2</v>
      </c>
      <c r="E1009">
        <v>6</v>
      </c>
      <c r="F1009">
        <v>30372</v>
      </c>
    </row>
    <row r="1010" spans="1:6" x14ac:dyDescent="0.25">
      <c r="A1010" t="s">
        <v>99</v>
      </c>
      <c r="B1010" t="s">
        <v>101</v>
      </c>
      <c r="C1010">
        <v>2</v>
      </c>
      <c r="D1010">
        <v>0</v>
      </c>
      <c r="E1010">
        <v>1</v>
      </c>
      <c r="F1010">
        <v>2846874</v>
      </c>
    </row>
    <row r="1011" spans="1:6" x14ac:dyDescent="0.25">
      <c r="A1011" t="s">
        <v>99</v>
      </c>
      <c r="B1011" t="s">
        <v>101</v>
      </c>
      <c r="C1011">
        <v>2</v>
      </c>
      <c r="D1011">
        <v>0</v>
      </c>
      <c r="E1011">
        <v>2</v>
      </c>
      <c r="F1011">
        <v>363042</v>
      </c>
    </row>
    <row r="1012" spans="1:6" x14ac:dyDescent="0.25">
      <c r="A1012" t="s">
        <v>99</v>
      </c>
      <c r="B1012" t="s">
        <v>101</v>
      </c>
      <c r="C1012">
        <v>2</v>
      </c>
      <c r="D1012">
        <v>0</v>
      </c>
      <c r="E1012">
        <v>3</v>
      </c>
      <c r="F1012">
        <v>21006</v>
      </c>
    </row>
    <row r="1013" spans="1:6" x14ac:dyDescent="0.25">
      <c r="A1013" t="s">
        <v>99</v>
      </c>
      <c r="B1013" t="s">
        <v>101</v>
      </c>
      <c r="C1013">
        <v>2</v>
      </c>
      <c r="D1013">
        <v>0</v>
      </c>
      <c r="E1013">
        <v>4</v>
      </c>
      <c r="F1013">
        <v>307247</v>
      </c>
    </row>
    <row r="1014" spans="1:6" x14ac:dyDescent="0.25">
      <c r="A1014" t="s">
        <v>99</v>
      </c>
      <c r="B1014" t="s">
        <v>101</v>
      </c>
      <c r="C1014">
        <v>2</v>
      </c>
      <c r="D1014">
        <v>0</v>
      </c>
      <c r="E1014">
        <v>5</v>
      </c>
      <c r="F1014">
        <v>4212</v>
      </c>
    </row>
    <row r="1015" spans="1:6" x14ac:dyDescent="0.25">
      <c r="A1015" t="s">
        <v>99</v>
      </c>
      <c r="B1015" t="s">
        <v>101</v>
      </c>
      <c r="C1015">
        <v>2</v>
      </c>
      <c r="D1015">
        <v>0</v>
      </c>
      <c r="E1015">
        <v>6</v>
      </c>
      <c r="F1015">
        <v>106282</v>
      </c>
    </row>
    <row r="1016" spans="1:6" x14ac:dyDescent="0.25">
      <c r="A1016" t="s">
        <v>99</v>
      </c>
      <c r="B1016" t="s">
        <v>101</v>
      </c>
      <c r="C1016">
        <v>2</v>
      </c>
      <c r="D1016">
        <v>1</v>
      </c>
      <c r="E1016">
        <v>1</v>
      </c>
      <c r="F1016">
        <v>2471955</v>
      </c>
    </row>
    <row r="1017" spans="1:6" x14ac:dyDescent="0.25">
      <c r="A1017" t="s">
        <v>99</v>
      </c>
      <c r="B1017" t="s">
        <v>101</v>
      </c>
      <c r="C1017">
        <v>2</v>
      </c>
      <c r="D1017">
        <v>1</v>
      </c>
      <c r="E1017">
        <v>2</v>
      </c>
      <c r="F1017">
        <v>285766</v>
      </c>
    </row>
    <row r="1018" spans="1:6" x14ac:dyDescent="0.25">
      <c r="A1018" t="s">
        <v>99</v>
      </c>
      <c r="B1018" t="s">
        <v>101</v>
      </c>
      <c r="C1018">
        <v>2</v>
      </c>
      <c r="D1018">
        <v>1</v>
      </c>
      <c r="E1018">
        <v>3</v>
      </c>
      <c r="F1018">
        <v>6335</v>
      </c>
    </row>
    <row r="1019" spans="1:6" x14ac:dyDescent="0.25">
      <c r="A1019" t="s">
        <v>99</v>
      </c>
      <c r="B1019" t="s">
        <v>101</v>
      </c>
      <c r="C1019">
        <v>2</v>
      </c>
      <c r="D1019">
        <v>1</v>
      </c>
      <c r="E1019">
        <v>4</v>
      </c>
      <c r="F1019">
        <v>302336</v>
      </c>
    </row>
    <row r="1020" spans="1:6" x14ac:dyDescent="0.25">
      <c r="A1020" t="s">
        <v>99</v>
      </c>
      <c r="B1020" t="s">
        <v>101</v>
      </c>
      <c r="C1020">
        <v>2</v>
      </c>
      <c r="D1020">
        <v>1</v>
      </c>
      <c r="E1020">
        <v>5</v>
      </c>
      <c r="F1020">
        <v>1716</v>
      </c>
    </row>
    <row r="1021" spans="1:6" x14ac:dyDescent="0.25">
      <c r="A1021" t="s">
        <v>99</v>
      </c>
      <c r="B1021" t="s">
        <v>101</v>
      </c>
      <c r="C1021">
        <v>2</v>
      </c>
      <c r="D1021">
        <v>1</v>
      </c>
      <c r="E1021">
        <v>6</v>
      </c>
      <c r="F1021">
        <v>76546</v>
      </c>
    </row>
    <row r="1022" spans="1:6" x14ac:dyDescent="0.25">
      <c r="A1022" t="s">
        <v>99</v>
      </c>
      <c r="B1022" t="s">
        <v>101</v>
      </c>
      <c r="C1022">
        <v>2</v>
      </c>
      <c r="D1022">
        <v>2</v>
      </c>
      <c r="E1022">
        <v>1</v>
      </c>
      <c r="F1022">
        <v>374919</v>
      </c>
    </row>
    <row r="1023" spans="1:6" x14ac:dyDescent="0.25">
      <c r="A1023" t="s">
        <v>99</v>
      </c>
      <c r="B1023" t="s">
        <v>101</v>
      </c>
      <c r="C1023">
        <v>2</v>
      </c>
      <c r="D1023">
        <v>2</v>
      </c>
      <c r="E1023">
        <v>2</v>
      </c>
      <c r="F1023">
        <v>77276</v>
      </c>
    </row>
    <row r="1024" spans="1:6" x14ac:dyDescent="0.25">
      <c r="A1024" t="s">
        <v>99</v>
      </c>
      <c r="B1024" t="s">
        <v>101</v>
      </c>
      <c r="C1024">
        <v>2</v>
      </c>
      <c r="D1024">
        <v>2</v>
      </c>
      <c r="E1024">
        <v>3</v>
      </c>
      <c r="F1024">
        <v>14671</v>
      </c>
    </row>
    <row r="1025" spans="1:6" x14ac:dyDescent="0.25">
      <c r="A1025" t="s">
        <v>99</v>
      </c>
      <c r="B1025" t="s">
        <v>101</v>
      </c>
      <c r="C1025">
        <v>2</v>
      </c>
      <c r="D1025">
        <v>2</v>
      </c>
      <c r="E1025">
        <v>4</v>
      </c>
      <c r="F1025">
        <v>4911</v>
      </c>
    </row>
    <row r="1026" spans="1:6" x14ac:dyDescent="0.25">
      <c r="A1026" t="s">
        <v>99</v>
      </c>
      <c r="B1026" t="s">
        <v>101</v>
      </c>
      <c r="C1026">
        <v>2</v>
      </c>
      <c r="D1026">
        <v>2</v>
      </c>
      <c r="E1026">
        <v>5</v>
      </c>
      <c r="F1026">
        <v>2496</v>
      </c>
    </row>
    <row r="1027" spans="1:6" x14ac:dyDescent="0.25">
      <c r="A1027" t="s">
        <v>99</v>
      </c>
      <c r="B1027" t="s">
        <v>101</v>
      </c>
      <c r="C1027">
        <v>2</v>
      </c>
      <c r="D1027">
        <v>2</v>
      </c>
      <c r="E1027">
        <v>6</v>
      </c>
      <c r="F1027">
        <v>29736</v>
      </c>
    </row>
    <row r="1028" spans="1:6" x14ac:dyDescent="0.25">
      <c r="A1028" t="s">
        <v>102</v>
      </c>
      <c r="B1028" t="s">
        <v>104</v>
      </c>
      <c r="C1028">
        <v>0</v>
      </c>
      <c r="D1028">
        <v>0</v>
      </c>
      <c r="E1028">
        <v>1</v>
      </c>
      <c r="F1028">
        <v>7930610</v>
      </c>
    </row>
    <row r="1029" spans="1:6" x14ac:dyDescent="0.25">
      <c r="A1029" t="s">
        <v>102</v>
      </c>
      <c r="B1029" t="s">
        <v>104</v>
      </c>
      <c r="C1029">
        <v>0</v>
      </c>
      <c r="D1029">
        <v>0</v>
      </c>
      <c r="E1029">
        <v>2</v>
      </c>
      <c r="F1029">
        <v>1426504</v>
      </c>
    </row>
    <row r="1030" spans="1:6" x14ac:dyDescent="0.25">
      <c r="A1030" t="s">
        <v>102</v>
      </c>
      <c r="B1030" t="s">
        <v>104</v>
      </c>
      <c r="C1030">
        <v>0</v>
      </c>
      <c r="D1030">
        <v>0</v>
      </c>
      <c r="E1030">
        <v>3</v>
      </c>
      <c r="F1030">
        <v>77228</v>
      </c>
    </row>
    <row r="1031" spans="1:6" x14ac:dyDescent="0.25">
      <c r="A1031" t="s">
        <v>102</v>
      </c>
      <c r="B1031" t="s">
        <v>104</v>
      </c>
      <c r="C1031">
        <v>0</v>
      </c>
      <c r="D1031">
        <v>0</v>
      </c>
      <c r="E1031">
        <v>4</v>
      </c>
      <c r="F1031">
        <v>407909</v>
      </c>
    </row>
    <row r="1032" spans="1:6" x14ac:dyDescent="0.25">
      <c r="A1032" t="s">
        <v>102</v>
      </c>
      <c r="B1032" t="s">
        <v>104</v>
      </c>
      <c r="C1032">
        <v>0</v>
      </c>
      <c r="D1032">
        <v>0</v>
      </c>
      <c r="E1032">
        <v>5</v>
      </c>
      <c r="F1032">
        <v>5074</v>
      </c>
    </row>
    <row r="1033" spans="1:6" x14ac:dyDescent="0.25">
      <c r="A1033" t="s">
        <v>102</v>
      </c>
      <c r="B1033" t="s">
        <v>104</v>
      </c>
      <c r="C1033">
        <v>0</v>
      </c>
      <c r="D1033">
        <v>0</v>
      </c>
      <c r="E1033">
        <v>6</v>
      </c>
      <c r="F1033">
        <v>293134</v>
      </c>
    </row>
    <row r="1034" spans="1:6" x14ac:dyDescent="0.25">
      <c r="A1034" t="s">
        <v>102</v>
      </c>
      <c r="B1034" t="s">
        <v>104</v>
      </c>
      <c r="C1034">
        <v>0</v>
      </c>
      <c r="D1034">
        <v>1</v>
      </c>
      <c r="E1034">
        <v>1</v>
      </c>
      <c r="F1034">
        <v>7405951</v>
      </c>
    </row>
    <row r="1035" spans="1:6" x14ac:dyDescent="0.25">
      <c r="A1035" t="s">
        <v>102</v>
      </c>
      <c r="B1035" t="s">
        <v>104</v>
      </c>
      <c r="C1035">
        <v>0</v>
      </c>
      <c r="D1035">
        <v>1</v>
      </c>
      <c r="E1035">
        <v>2</v>
      </c>
      <c r="F1035">
        <v>1387002</v>
      </c>
    </row>
    <row r="1036" spans="1:6" x14ac:dyDescent="0.25">
      <c r="A1036" t="s">
        <v>102</v>
      </c>
      <c r="B1036" t="s">
        <v>104</v>
      </c>
      <c r="C1036">
        <v>0</v>
      </c>
      <c r="D1036">
        <v>1</v>
      </c>
      <c r="E1036">
        <v>3</v>
      </c>
      <c r="F1036">
        <v>57403</v>
      </c>
    </row>
    <row r="1037" spans="1:6" x14ac:dyDescent="0.25">
      <c r="A1037" t="s">
        <v>102</v>
      </c>
      <c r="B1037" t="s">
        <v>104</v>
      </c>
      <c r="C1037">
        <v>0</v>
      </c>
      <c r="D1037">
        <v>1</v>
      </c>
      <c r="E1037">
        <v>4</v>
      </c>
      <c r="F1037">
        <v>402694</v>
      </c>
    </row>
    <row r="1038" spans="1:6" x14ac:dyDescent="0.25">
      <c r="A1038" t="s">
        <v>102</v>
      </c>
      <c r="B1038" t="s">
        <v>104</v>
      </c>
      <c r="C1038">
        <v>0</v>
      </c>
      <c r="D1038">
        <v>1</v>
      </c>
      <c r="E1038">
        <v>5</v>
      </c>
      <c r="F1038">
        <v>3155</v>
      </c>
    </row>
    <row r="1039" spans="1:6" x14ac:dyDescent="0.25">
      <c r="A1039" t="s">
        <v>102</v>
      </c>
      <c r="B1039" t="s">
        <v>104</v>
      </c>
      <c r="C1039">
        <v>0</v>
      </c>
      <c r="D1039">
        <v>1</v>
      </c>
      <c r="E1039">
        <v>6</v>
      </c>
      <c r="F1039">
        <v>260375</v>
      </c>
    </row>
    <row r="1040" spans="1:6" x14ac:dyDescent="0.25">
      <c r="A1040" t="s">
        <v>102</v>
      </c>
      <c r="B1040" t="s">
        <v>104</v>
      </c>
      <c r="C1040">
        <v>0</v>
      </c>
      <c r="D1040">
        <v>2</v>
      </c>
      <c r="E1040">
        <v>1</v>
      </c>
      <c r="F1040">
        <v>524659</v>
      </c>
    </row>
    <row r="1041" spans="1:6" x14ac:dyDescent="0.25">
      <c r="A1041" t="s">
        <v>102</v>
      </c>
      <c r="B1041" t="s">
        <v>104</v>
      </c>
      <c r="C1041">
        <v>0</v>
      </c>
      <c r="D1041">
        <v>2</v>
      </c>
      <c r="E1041">
        <v>2</v>
      </c>
      <c r="F1041">
        <v>39502</v>
      </c>
    </row>
    <row r="1042" spans="1:6" x14ac:dyDescent="0.25">
      <c r="A1042" t="s">
        <v>102</v>
      </c>
      <c r="B1042" t="s">
        <v>104</v>
      </c>
      <c r="C1042">
        <v>0</v>
      </c>
      <c r="D1042">
        <v>2</v>
      </c>
      <c r="E1042">
        <v>3</v>
      </c>
      <c r="F1042">
        <v>19825</v>
      </c>
    </row>
    <row r="1043" spans="1:6" x14ac:dyDescent="0.25">
      <c r="A1043" t="s">
        <v>102</v>
      </c>
      <c r="B1043" t="s">
        <v>104</v>
      </c>
      <c r="C1043">
        <v>0</v>
      </c>
      <c r="D1043">
        <v>2</v>
      </c>
      <c r="E1043">
        <v>4</v>
      </c>
      <c r="F1043">
        <v>5215</v>
      </c>
    </row>
    <row r="1044" spans="1:6" x14ac:dyDescent="0.25">
      <c r="A1044" t="s">
        <v>102</v>
      </c>
      <c r="B1044" t="s">
        <v>104</v>
      </c>
      <c r="C1044">
        <v>0</v>
      </c>
      <c r="D1044">
        <v>2</v>
      </c>
      <c r="E1044">
        <v>5</v>
      </c>
      <c r="F1044">
        <v>1919</v>
      </c>
    </row>
    <row r="1045" spans="1:6" x14ac:dyDescent="0.25">
      <c r="A1045" t="s">
        <v>102</v>
      </c>
      <c r="B1045" t="s">
        <v>104</v>
      </c>
      <c r="C1045">
        <v>0</v>
      </c>
      <c r="D1045">
        <v>2</v>
      </c>
      <c r="E1045">
        <v>6</v>
      </c>
      <c r="F1045">
        <v>32759</v>
      </c>
    </row>
    <row r="1046" spans="1:6" x14ac:dyDescent="0.25">
      <c r="A1046" t="s">
        <v>102</v>
      </c>
      <c r="B1046" t="s">
        <v>104</v>
      </c>
      <c r="C1046">
        <v>1</v>
      </c>
      <c r="D1046">
        <v>0</v>
      </c>
      <c r="E1046">
        <v>1</v>
      </c>
      <c r="F1046">
        <v>3955850</v>
      </c>
    </row>
    <row r="1047" spans="1:6" x14ac:dyDescent="0.25">
      <c r="A1047" t="s">
        <v>102</v>
      </c>
      <c r="B1047" t="s">
        <v>104</v>
      </c>
      <c r="C1047">
        <v>1</v>
      </c>
      <c r="D1047">
        <v>0</v>
      </c>
      <c r="E1047">
        <v>2</v>
      </c>
      <c r="F1047">
        <v>678947</v>
      </c>
    </row>
    <row r="1048" spans="1:6" x14ac:dyDescent="0.25">
      <c r="A1048" t="s">
        <v>102</v>
      </c>
      <c r="B1048" t="s">
        <v>104</v>
      </c>
      <c r="C1048">
        <v>1</v>
      </c>
      <c r="D1048">
        <v>0</v>
      </c>
      <c r="E1048">
        <v>3</v>
      </c>
      <c r="F1048">
        <v>38766</v>
      </c>
    </row>
    <row r="1049" spans="1:6" x14ac:dyDescent="0.25">
      <c r="A1049" t="s">
        <v>102</v>
      </c>
      <c r="B1049" t="s">
        <v>104</v>
      </c>
      <c r="C1049">
        <v>1</v>
      </c>
      <c r="D1049">
        <v>0</v>
      </c>
      <c r="E1049">
        <v>4</v>
      </c>
      <c r="F1049">
        <v>201250</v>
      </c>
    </row>
    <row r="1050" spans="1:6" x14ac:dyDescent="0.25">
      <c r="A1050" t="s">
        <v>102</v>
      </c>
      <c r="B1050" t="s">
        <v>104</v>
      </c>
      <c r="C1050">
        <v>1</v>
      </c>
      <c r="D1050">
        <v>0</v>
      </c>
      <c r="E1050">
        <v>5</v>
      </c>
      <c r="F1050">
        <v>2608</v>
      </c>
    </row>
    <row r="1051" spans="1:6" x14ac:dyDescent="0.25">
      <c r="A1051" t="s">
        <v>102</v>
      </c>
      <c r="B1051" t="s">
        <v>104</v>
      </c>
      <c r="C1051">
        <v>1</v>
      </c>
      <c r="D1051">
        <v>0</v>
      </c>
      <c r="E1051">
        <v>6</v>
      </c>
      <c r="F1051">
        <v>145872</v>
      </c>
    </row>
    <row r="1052" spans="1:6" x14ac:dyDescent="0.25">
      <c r="A1052" t="s">
        <v>102</v>
      </c>
      <c r="B1052" t="s">
        <v>104</v>
      </c>
      <c r="C1052">
        <v>1</v>
      </c>
      <c r="D1052">
        <v>1</v>
      </c>
      <c r="E1052">
        <v>1</v>
      </c>
      <c r="F1052">
        <v>3687338</v>
      </c>
    </row>
    <row r="1053" spans="1:6" x14ac:dyDescent="0.25">
      <c r="A1053" t="s">
        <v>102</v>
      </c>
      <c r="B1053" t="s">
        <v>104</v>
      </c>
      <c r="C1053">
        <v>1</v>
      </c>
      <c r="D1053">
        <v>1</v>
      </c>
      <c r="E1053">
        <v>2</v>
      </c>
      <c r="F1053">
        <v>659495</v>
      </c>
    </row>
    <row r="1054" spans="1:6" x14ac:dyDescent="0.25">
      <c r="A1054" t="s">
        <v>102</v>
      </c>
      <c r="B1054" t="s">
        <v>104</v>
      </c>
      <c r="C1054">
        <v>1</v>
      </c>
      <c r="D1054">
        <v>1</v>
      </c>
      <c r="E1054">
        <v>3</v>
      </c>
      <c r="F1054">
        <v>28537</v>
      </c>
    </row>
    <row r="1055" spans="1:6" x14ac:dyDescent="0.25">
      <c r="A1055" t="s">
        <v>102</v>
      </c>
      <c r="B1055" t="s">
        <v>104</v>
      </c>
      <c r="C1055">
        <v>1</v>
      </c>
      <c r="D1055">
        <v>1</v>
      </c>
      <c r="E1055">
        <v>4</v>
      </c>
      <c r="F1055">
        <v>198701</v>
      </c>
    </row>
    <row r="1056" spans="1:6" x14ac:dyDescent="0.25">
      <c r="A1056" t="s">
        <v>102</v>
      </c>
      <c r="B1056" t="s">
        <v>104</v>
      </c>
      <c r="C1056">
        <v>1</v>
      </c>
      <c r="D1056">
        <v>1</v>
      </c>
      <c r="E1056">
        <v>5</v>
      </c>
      <c r="F1056">
        <v>1586</v>
      </c>
    </row>
    <row r="1057" spans="1:6" x14ac:dyDescent="0.25">
      <c r="A1057" t="s">
        <v>102</v>
      </c>
      <c r="B1057" t="s">
        <v>104</v>
      </c>
      <c r="C1057">
        <v>1</v>
      </c>
      <c r="D1057">
        <v>1</v>
      </c>
      <c r="E1057">
        <v>6</v>
      </c>
      <c r="F1057">
        <v>129647</v>
      </c>
    </row>
    <row r="1058" spans="1:6" x14ac:dyDescent="0.25">
      <c r="A1058" t="s">
        <v>102</v>
      </c>
      <c r="B1058" t="s">
        <v>104</v>
      </c>
      <c r="C1058">
        <v>1</v>
      </c>
      <c r="D1058">
        <v>2</v>
      </c>
      <c r="E1058">
        <v>1</v>
      </c>
      <c r="F1058">
        <v>268512</v>
      </c>
    </row>
    <row r="1059" spans="1:6" x14ac:dyDescent="0.25">
      <c r="A1059" t="s">
        <v>102</v>
      </c>
      <c r="B1059" t="s">
        <v>104</v>
      </c>
      <c r="C1059">
        <v>1</v>
      </c>
      <c r="D1059">
        <v>2</v>
      </c>
      <c r="E1059">
        <v>2</v>
      </c>
      <c r="F1059">
        <v>19452</v>
      </c>
    </row>
    <row r="1060" spans="1:6" x14ac:dyDescent="0.25">
      <c r="A1060" t="s">
        <v>102</v>
      </c>
      <c r="B1060" t="s">
        <v>104</v>
      </c>
      <c r="C1060">
        <v>1</v>
      </c>
      <c r="D1060">
        <v>2</v>
      </c>
      <c r="E1060">
        <v>3</v>
      </c>
      <c r="F1060">
        <v>10229</v>
      </c>
    </row>
    <row r="1061" spans="1:6" x14ac:dyDescent="0.25">
      <c r="A1061" t="s">
        <v>102</v>
      </c>
      <c r="B1061" t="s">
        <v>104</v>
      </c>
      <c r="C1061">
        <v>1</v>
      </c>
      <c r="D1061">
        <v>2</v>
      </c>
      <c r="E1061">
        <v>4</v>
      </c>
      <c r="F1061">
        <v>2549</v>
      </c>
    </row>
    <row r="1062" spans="1:6" x14ac:dyDescent="0.25">
      <c r="A1062" t="s">
        <v>102</v>
      </c>
      <c r="B1062" t="s">
        <v>104</v>
      </c>
      <c r="C1062">
        <v>1</v>
      </c>
      <c r="D1062">
        <v>2</v>
      </c>
      <c r="E1062">
        <v>5</v>
      </c>
      <c r="F1062">
        <v>1022</v>
      </c>
    </row>
    <row r="1063" spans="1:6" x14ac:dyDescent="0.25">
      <c r="A1063" t="s">
        <v>102</v>
      </c>
      <c r="B1063" t="s">
        <v>104</v>
      </c>
      <c r="C1063">
        <v>1</v>
      </c>
      <c r="D1063">
        <v>2</v>
      </c>
      <c r="E1063">
        <v>6</v>
      </c>
      <c r="F1063">
        <v>16225</v>
      </c>
    </row>
    <row r="1064" spans="1:6" x14ac:dyDescent="0.25">
      <c r="A1064" t="s">
        <v>102</v>
      </c>
      <c r="B1064" t="s">
        <v>104</v>
      </c>
      <c r="C1064">
        <v>2</v>
      </c>
      <c r="D1064">
        <v>0</v>
      </c>
      <c r="E1064">
        <v>1</v>
      </c>
      <c r="F1064">
        <v>3974760</v>
      </c>
    </row>
    <row r="1065" spans="1:6" x14ac:dyDescent="0.25">
      <c r="A1065" t="s">
        <v>102</v>
      </c>
      <c r="B1065" t="s">
        <v>104</v>
      </c>
      <c r="C1065">
        <v>2</v>
      </c>
      <c r="D1065">
        <v>0</v>
      </c>
      <c r="E1065">
        <v>2</v>
      </c>
      <c r="F1065">
        <v>747557</v>
      </c>
    </row>
    <row r="1066" spans="1:6" x14ac:dyDescent="0.25">
      <c r="A1066" t="s">
        <v>102</v>
      </c>
      <c r="B1066" t="s">
        <v>104</v>
      </c>
      <c r="C1066">
        <v>2</v>
      </c>
      <c r="D1066">
        <v>0</v>
      </c>
      <c r="E1066">
        <v>3</v>
      </c>
      <c r="F1066">
        <v>38462</v>
      </c>
    </row>
    <row r="1067" spans="1:6" x14ac:dyDescent="0.25">
      <c r="A1067" t="s">
        <v>102</v>
      </c>
      <c r="B1067" t="s">
        <v>104</v>
      </c>
      <c r="C1067">
        <v>2</v>
      </c>
      <c r="D1067">
        <v>0</v>
      </c>
      <c r="E1067">
        <v>4</v>
      </c>
      <c r="F1067">
        <v>206659</v>
      </c>
    </row>
    <row r="1068" spans="1:6" x14ac:dyDescent="0.25">
      <c r="A1068" t="s">
        <v>102</v>
      </c>
      <c r="B1068" t="s">
        <v>104</v>
      </c>
      <c r="C1068">
        <v>2</v>
      </c>
      <c r="D1068">
        <v>0</v>
      </c>
      <c r="E1068">
        <v>5</v>
      </c>
      <c r="F1068">
        <v>2466</v>
      </c>
    </row>
    <row r="1069" spans="1:6" x14ac:dyDescent="0.25">
      <c r="A1069" t="s">
        <v>102</v>
      </c>
      <c r="B1069" t="s">
        <v>104</v>
      </c>
      <c r="C1069">
        <v>2</v>
      </c>
      <c r="D1069">
        <v>0</v>
      </c>
      <c r="E1069">
        <v>6</v>
      </c>
      <c r="F1069">
        <v>147262</v>
      </c>
    </row>
    <row r="1070" spans="1:6" x14ac:dyDescent="0.25">
      <c r="A1070" t="s">
        <v>102</v>
      </c>
      <c r="B1070" t="s">
        <v>104</v>
      </c>
      <c r="C1070">
        <v>2</v>
      </c>
      <c r="D1070">
        <v>1</v>
      </c>
      <c r="E1070">
        <v>1</v>
      </c>
      <c r="F1070">
        <v>3718613</v>
      </c>
    </row>
    <row r="1071" spans="1:6" x14ac:dyDescent="0.25">
      <c r="A1071" t="s">
        <v>102</v>
      </c>
      <c r="B1071" t="s">
        <v>104</v>
      </c>
      <c r="C1071">
        <v>2</v>
      </c>
      <c r="D1071">
        <v>1</v>
      </c>
      <c r="E1071">
        <v>2</v>
      </c>
      <c r="F1071">
        <v>727507</v>
      </c>
    </row>
    <row r="1072" spans="1:6" x14ac:dyDescent="0.25">
      <c r="A1072" t="s">
        <v>102</v>
      </c>
      <c r="B1072" t="s">
        <v>104</v>
      </c>
      <c r="C1072">
        <v>2</v>
      </c>
      <c r="D1072">
        <v>1</v>
      </c>
      <c r="E1072">
        <v>3</v>
      </c>
      <c r="F1072">
        <v>28866</v>
      </c>
    </row>
    <row r="1073" spans="1:6" x14ac:dyDescent="0.25">
      <c r="A1073" t="s">
        <v>102</v>
      </c>
      <c r="B1073" t="s">
        <v>104</v>
      </c>
      <c r="C1073">
        <v>2</v>
      </c>
      <c r="D1073">
        <v>1</v>
      </c>
      <c r="E1073">
        <v>4</v>
      </c>
      <c r="F1073">
        <v>203993</v>
      </c>
    </row>
    <row r="1074" spans="1:6" x14ac:dyDescent="0.25">
      <c r="A1074" t="s">
        <v>102</v>
      </c>
      <c r="B1074" t="s">
        <v>104</v>
      </c>
      <c r="C1074">
        <v>2</v>
      </c>
      <c r="D1074">
        <v>1</v>
      </c>
      <c r="E1074">
        <v>5</v>
      </c>
      <c r="F1074">
        <v>1569</v>
      </c>
    </row>
    <row r="1075" spans="1:6" x14ac:dyDescent="0.25">
      <c r="A1075" t="s">
        <v>102</v>
      </c>
      <c r="B1075" t="s">
        <v>104</v>
      </c>
      <c r="C1075">
        <v>2</v>
      </c>
      <c r="D1075">
        <v>1</v>
      </c>
      <c r="E1075">
        <v>6</v>
      </c>
      <c r="F1075">
        <v>130728</v>
      </c>
    </row>
    <row r="1076" spans="1:6" x14ac:dyDescent="0.25">
      <c r="A1076" t="s">
        <v>102</v>
      </c>
      <c r="B1076" t="s">
        <v>104</v>
      </c>
      <c r="C1076">
        <v>2</v>
      </c>
      <c r="D1076">
        <v>2</v>
      </c>
      <c r="E1076">
        <v>1</v>
      </c>
      <c r="F1076">
        <v>256147</v>
      </c>
    </row>
    <row r="1077" spans="1:6" x14ac:dyDescent="0.25">
      <c r="A1077" t="s">
        <v>102</v>
      </c>
      <c r="B1077" t="s">
        <v>104</v>
      </c>
      <c r="C1077">
        <v>2</v>
      </c>
      <c r="D1077">
        <v>2</v>
      </c>
      <c r="E1077">
        <v>2</v>
      </c>
      <c r="F1077">
        <v>20050</v>
      </c>
    </row>
    <row r="1078" spans="1:6" x14ac:dyDescent="0.25">
      <c r="A1078" t="s">
        <v>102</v>
      </c>
      <c r="B1078" t="s">
        <v>104</v>
      </c>
      <c r="C1078">
        <v>2</v>
      </c>
      <c r="D1078">
        <v>2</v>
      </c>
      <c r="E1078">
        <v>3</v>
      </c>
      <c r="F1078">
        <v>9596</v>
      </c>
    </row>
    <row r="1079" spans="1:6" x14ac:dyDescent="0.25">
      <c r="A1079" t="s">
        <v>102</v>
      </c>
      <c r="B1079" t="s">
        <v>104</v>
      </c>
      <c r="C1079">
        <v>2</v>
      </c>
      <c r="D1079">
        <v>2</v>
      </c>
      <c r="E1079">
        <v>4</v>
      </c>
      <c r="F1079">
        <v>2666</v>
      </c>
    </row>
    <row r="1080" spans="1:6" x14ac:dyDescent="0.25">
      <c r="A1080" t="s">
        <v>102</v>
      </c>
      <c r="B1080" t="s">
        <v>104</v>
      </c>
      <c r="C1080">
        <v>2</v>
      </c>
      <c r="D1080">
        <v>2</v>
      </c>
      <c r="E1080">
        <v>5</v>
      </c>
      <c r="F1080">
        <v>897</v>
      </c>
    </row>
    <row r="1081" spans="1:6" x14ac:dyDescent="0.25">
      <c r="A1081" t="s">
        <v>102</v>
      </c>
      <c r="B1081" t="s">
        <v>104</v>
      </c>
      <c r="C1081">
        <v>2</v>
      </c>
      <c r="D1081">
        <v>2</v>
      </c>
      <c r="E1081">
        <v>6</v>
      </c>
      <c r="F1081">
        <v>16534</v>
      </c>
    </row>
    <row r="1082" spans="1:6" x14ac:dyDescent="0.25">
      <c r="A1082" t="s">
        <v>105</v>
      </c>
      <c r="B1082" t="s">
        <v>107</v>
      </c>
      <c r="C1082">
        <v>0</v>
      </c>
      <c r="D1082">
        <v>0</v>
      </c>
      <c r="E1082">
        <v>1</v>
      </c>
      <c r="F1082">
        <v>4723898</v>
      </c>
    </row>
    <row r="1083" spans="1:6" x14ac:dyDescent="0.25">
      <c r="A1083" t="s">
        <v>105</v>
      </c>
      <c r="B1083" t="s">
        <v>107</v>
      </c>
      <c r="C1083">
        <v>0</v>
      </c>
      <c r="D1083">
        <v>0</v>
      </c>
      <c r="E1083">
        <v>2</v>
      </c>
      <c r="F1083">
        <v>476525</v>
      </c>
    </row>
    <row r="1084" spans="1:6" x14ac:dyDescent="0.25">
      <c r="A1084" t="s">
        <v>105</v>
      </c>
      <c r="B1084" t="s">
        <v>107</v>
      </c>
      <c r="C1084">
        <v>0</v>
      </c>
      <c r="D1084">
        <v>0</v>
      </c>
      <c r="E1084">
        <v>3</v>
      </c>
      <c r="F1084">
        <v>84204</v>
      </c>
    </row>
    <row r="1085" spans="1:6" x14ac:dyDescent="0.25">
      <c r="A1085" t="s">
        <v>105</v>
      </c>
      <c r="B1085" t="s">
        <v>107</v>
      </c>
      <c r="C1085">
        <v>0</v>
      </c>
      <c r="D1085">
        <v>0</v>
      </c>
      <c r="E1085">
        <v>4</v>
      </c>
      <c r="F1085">
        <v>332830</v>
      </c>
    </row>
    <row r="1086" spans="1:6" x14ac:dyDescent="0.25">
      <c r="A1086" t="s">
        <v>105</v>
      </c>
      <c r="B1086" t="s">
        <v>107</v>
      </c>
      <c r="C1086">
        <v>0</v>
      </c>
      <c r="D1086">
        <v>0</v>
      </c>
      <c r="E1086">
        <v>5</v>
      </c>
      <c r="F1086">
        <v>5524</v>
      </c>
    </row>
    <row r="1087" spans="1:6" x14ac:dyDescent="0.25">
      <c r="A1087" t="s">
        <v>105</v>
      </c>
      <c r="B1087" t="s">
        <v>107</v>
      </c>
      <c r="C1087">
        <v>0</v>
      </c>
      <c r="D1087">
        <v>0</v>
      </c>
      <c r="E1087">
        <v>6</v>
      </c>
      <c r="F1087">
        <v>170170</v>
      </c>
    </row>
    <row r="1088" spans="1:6" x14ac:dyDescent="0.25">
      <c r="A1088" t="s">
        <v>105</v>
      </c>
      <c r="B1088" t="s">
        <v>107</v>
      </c>
      <c r="C1088">
        <v>0</v>
      </c>
      <c r="D1088">
        <v>1</v>
      </c>
      <c r="E1088">
        <v>1</v>
      </c>
      <c r="F1088">
        <v>4401992</v>
      </c>
    </row>
    <row r="1089" spans="1:6" x14ac:dyDescent="0.25">
      <c r="A1089" t="s">
        <v>105</v>
      </c>
      <c r="B1089" t="s">
        <v>107</v>
      </c>
      <c r="C1089">
        <v>0</v>
      </c>
      <c r="D1089">
        <v>1</v>
      </c>
      <c r="E1089">
        <v>2</v>
      </c>
      <c r="F1089">
        <v>460317</v>
      </c>
    </row>
    <row r="1090" spans="1:6" x14ac:dyDescent="0.25">
      <c r="A1090" t="s">
        <v>105</v>
      </c>
      <c r="B1090" t="s">
        <v>107</v>
      </c>
      <c r="C1090">
        <v>0</v>
      </c>
      <c r="D1090">
        <v>1</v>
      </c>
      <c r="E1090">
        <v>3</v>
      </c>
      <c r="F1090">
        <v>59870</v>
      </c>
    </row>
    <row r="1091" spans="1:6" x14ac:dyDescent="0.25">
      <c r="A1091" t="s">
        <v>105</v>
      </c>
      <c r="B1091" t="s">
        <v>107</v>
      </c>
      <c r="C1091">
        <v>0</v>
      </c>
      <c r="D1091">
        <v>1</v>
      </c>
      <c r="E1091">
        <v>4</v>
      </c>
      <c r="F1091">
        <v>327697</v>
      </c>
    </row>
    <row r="1092" spans="1:6" x14ac:dyDescent="0.25">
      <c r="A1092" t="s">
        <v>105</v>
      </c>
      <c r="B1092" t="s">
        <v>107</v>
      </c>
      <c r="C1092">
        <v>0</v>
      </c>
      <c r="D1092">
        <v>1</v>
      </c>
      <c r="E1092">
        <v>5</v>
      </c>
      <c r="F1092">
        <v>3889</v>
      </c>
    </row>
    <row r="1093" spans="1:6" x14ac:dyDescent="0.25">
      <c r="A1093" t="s">
        <v>105</v>
      </c>
      <c r="B1093" t="s">
        <v>107</v>
      </c>
      <c r="C1093">
        <v>0</v>
      </c>
      <c r="D1093">
        <v>1</v>
      </c>
      <c r="E1093">
        <v>6</v>
      </c>
      <c r="F1093">
        <v>149301</v>
      </c>
    </row>
    <row r="1094" spans="1:6" x14ac:dyDescent="0.25">
      <c r="A1094" t="s">
        <v>105</v>
      </c>
      <c r="B1094" t="s">
        <v>107</v>
      </c>
      <c r="C1094">
        <v>0</v>
      </c>
      <c r="D1094">
        <v>2</v>
      </c>
      <c r="E1094">
        <v>1</v>
      </c>
      <c r="F1094">
        <v>321906</v>
      </c>
    </row>
    <row r="1095" spans="1:6" x14ac:dyDescent="0.25">
      <c r="A1095" t="s">
        <v>105</v>
      </c>
      <c r="B1095" t="s">
        <v>107</v>
      </c>
      <c r="C1095">
        <v>0</v>
      </c>
      <c r="D1095">
        <v>2</v>
      </c>
      <c r="E1095">
        <v>2</v>
      </c>
      <c r="F1095">
        <v>16208</v>
      </c>
    </row>
    <row r="1096" spans="1:6" x14ac:dyDescent="0.25">
      <c r="A1096" t="s">
        <v>105</v>
      </c>
      <c r="B1096" t="s">
        <v>107</v>
      </c>
      <c r="C1096">
        <v>0</v>
      </c>
      <c r="D1096">
        <v>2</v>
      </c>
      <c r="E1096">
        <v>3</v>
      </c>
      <c r="F1096">
        <v>24334</v>
      </c>
    </row>
    <row r="1097" spans="1:6" x14ac:dyDescent="0.25">
      <c r="A1097" t="s">
        <v>105</v>
      </c>
      <c r="B1097" t="s">
        <v>107</v>
      </c>
      <c r="C1097">
        <v>0</v>
      </c>
      <c r="D1097">
        <v>2</v>
      </c>
      <c r="E1097">
        <v>4</v>
      </c>
      <c r="F1097">
        <v>5133</v>
      </c>
    </row>
    <row r="1098" spans="1:6" x14ac:dyDescent="0.25">
      <c r="A1098" t="s">
        <v>105</v>
      </c>
      <c r="B1098" t="s">
        <v>107</v>
      </c>
      <c r="C1098">
        <v>0</v>
      </c>
      <c r="D1098">
        <v>2</v>
      </c>
      <c r="E1098">
        <v>5</v>
      </c>
      <c r="F1098">
        <v>1635</v>
      </c>
    </row>
    <row r="1099" spans="1:6" x14ac:dyDescent="0.25">
      <c r="A1099" t="s">
        <v>105</v>
      </c>
      <c r="B1099" t="s">
        <v>107</v>
      </c>
      <c r="C1099">
        <v>0</v>
      </c>
      <c r="D1099">
        <v>2</v>
      </c>
      <c r="E1099">
        <v>6</v>
      </c>
      <c r="F1099">
        <v>20869</v>
      </c>
    </row>
    <row r="1100" spans="1:6" x14ac:dyDescent="0.25">
      <c r="A1100" t="s">
        <v>105</v>
      </c>
      <c r="B1100" t="s">
        <v>107</v>
      </c>
      <c r="C1100">
        <v>1</v>
      </c>
      <c r="D1100">
        <v>0</v>
      </c>
      <c r="E1100">
        <v>1</v>
      </c>
      <c r="F1100">
        <v>2365489</v>
      </c>
    </row>
    <row r="1101" spans="1:6" x14ac:dyDescent="0.25">
      <c r="A1101" t="s">
        <v>105</v>
      </c>
      <c r="B1101" t="s">
        <v>107</v>
      </c>
      <c r="C1101">
        <v>1</v>
      </c>
      <c r="D1101">
        <v>0</v>
      </c>
      <c r="E1101">
        <v>2</v>
      </c>
      <c r="F1101">
        <v>242780</v>
      </c>
    </row>
    <row r="1102" spans="1:6" x14ac:dyDescent="0.25">
      <c r="A1102" t="s">
        <v>105</v>
      </c>
      <c r="B1102" t="s">
        <v>107</v>
      </c>
      <c r="C1102">
        <v>1</v>
      </c>
      <c r="D1102">
        <v>0</v>
      </c>
      <c r="E1102">
        <v>3</v>
      </c>
      <c r="F1102">
        <v>42342</v>
      </c>
    </row>
    <row r="1103" spans="1:6" x14ac:dyDescent="0.25">
      <c r="A1103" t="s">
        <v>105</v>
      </c>
      <c r="B1103" t="s">
        <v>107</v>
      </c>
      <c r="C1103">
        <v>1</v>
      </c>
      <c r="D1103">
        <v>0</v>
      </c>
      <c r="E1103">
        <v>4</v>
      </c>
      <c r="F1103">
        <v>163018</v>
      </c>
    </row>
    <row r="1104" spans="1:6" x14ac:dyDescent="0.25">
      <c r="A1104" t="s">
        <v>105</v>
      </c>
      <c r="B1104" t="s">
        <v>107</v>
      </c>
      <c r="C1104">
        <v>1</v>
      </c>
      <c r="D1104">
        <v>0</v>
      </c>
      <c r="E1104">
        <v>5</v>
      </c>
      <c r="F1104">
        <v>2813</v>
      </c>
    </row>
    <row r="1105" spans="1:6" x14ac:dyDescent="0.25">
      <c r="A1105" t="s">
        <v>105</v>
      </c>
      <c r="B1105" t="s">
        <v>107</v>
      </c>
      <c r="C1105">
        <v>1</v>
      </c>
      <c r="D1105">
        <v>0</v>
      </c>
      <c r="E1105">
        <v>6</v>
      </c>
      <c r="F1105">
        <v>85224</v>
      </c>
    </row>
    <row r="1106" spans="1:6" x14ac:dyDescent="0.25">
      <c r="A1106" t="s">
        <v>105</v>
      </c>
      <c r="B1106" t="s">
        <v>107</v>
      </c>
      <c r="C1106">
        <v>1</v>
      </c>
      <c r="D1106">
        <v>1</v>
      </c>
      <c r="E1106">
        <v>1</v>
      </c>
      <c r="F1106">
        <v>2198356</v>
      </c>
    </row>
    <row r="1107" spans="1:6" x14ac:dyDescent="0.25">
      <c r="A1107" t="s">
        <v>105</v>
      </c>
      <c r="B1107" t="s">
        <v>107</v>
      </c>
      <c r="C1107">
        <v>1</v>
      </c>
      <c r="D1107">
        <v>1</v>
      </c>
      <c r="E1107">
        <v>2</v>
      </c>
      <c r="F1107">
        <v>234305</v>
      </c>
    </row>
    <row r="1108" spans="1:6" x14ac:dyDescent="0.25">
      <c r="A1108" t="s">
        <v>105</v>
      </c>
      <c r="B1108" t="s">
        <v>107</v>
      </c>
      <c r="C1108">
        <v>1</v>
      </c>
      <c r="D1108">
        <v>1</v>
      </c>
      <c r="E1108">
        <v>3</v>
      </c>
      <c r="F1108">
        <v>29751</v>
      </c>
    </row>
    <row r="1109" spans="1:6" x14ac:dyDescent="0.25">
      <c r="A1109" t="s">
        <v>105</v>
      </c>
      <c r="B1109" t="s">
        <v>107</v>
      </c>
      <c r="C1109">
        <v>1</v>
      </c>
      <c r="D1109">
        <v>1</v>
      </c>
      <c r="E1109">
        <v>4</v>
      </c>
      <c r="F1109">
        <v>160378</v>
      </c>
    </row>
    <row r="1110" spans="1:6" x14ac:dyDescent="0.25">
      <c r="A1110" t="s">
        <v>105</v>
      </c>
      <c r="B1110" t="s">
        <v>107</v>
      </c>
      <c r="C1110">
        <v>1</v>
      </c>
      <c r="D1110">
        <v>1</v>
      </c>
      <c r="E1110">
        <v>5</v>
      </c>
      <c r="F1110">
        <v>1996</v>
      </c>
    </row>
    <row r="1111" spans="1:6" x14ac:dyDescent="0.25">
      <c r="A1111" t="s">
        <v>105</v>
      </c>
      <c r="B1111" t="s">
        <v>107</v>
      </c>
      <c r="C1111">
        <v>1</v>
      </c>
      <c r="D1111">
        <v>1</v>
      </c>
      <c r="E1111">
        <v>6</v>
      </c>
      <c r="F1111">
        <v>74389</v>
      </c>
    </row>
    <row r="1112" spans="1:6" x14ac:dyDescent="0.25">
      <c r="A1112" t="s">
        <v>105</v>
      </c>
      <c r="B1112" t="s">
        <v>107</v>
      </c>
      <c r="C1112">
        <v>1</v>
      </c>
      <c r="D1112">
        <v>2</v>
      </c>
      <c r="E1112">
        <v>1</v>
      </c>
      <c r="F1112">
        <v>167133</v>
      </c>
    </row>
    <row r="1113" spans="1:6" x14ac:dyDescent="0.25">
      <c r="A1113" t="s">
        <v>105</v>
      </c>
      <c r="B1113" t="s">
        <v>107</v>
      </c>
      <c r="C1113">
        <v>1</v>
      </c>
      <c r="D1113">
        <v>2</v>
      </c>
      <c r="E1113">
        <v>2</v>
      </c>
      <c r="F1113">
        <v>8475</v>
      </c>
    </row>
    <row r="1114" spans="1:6" x14ac:dyDescent="0.25">
      <c r="A1114" t="s">
        <v>105</v>
      </c>
      <c r="B1114" t="s">
        <v>107</v>
      </c>
      <c r="C1114">
        <v>1</v>
      </c>
      <c r="D1114">
        <v>2</v>
      </c>
      <c r="E1114">
        <v>3</v>
      </c>
      <c r="F1114">
        <v>12591</v>
      </c>
    </row>
    <row r="1115" spans="1:6" x14ac:dyDescent="0.25">
      <c r="A1115" t="s">
        <v>105</v>
      </c>
      <c r="B1115" t="s">
        <v>107</v>
      </c>
      <c r="C1115">
        <v>1</v>
      </c>
      <c r="D1115">
        <v>2</v>
      </c>
      <c r="E1115">
        <v>4</v>
      </c>
      <c r="F1115">
        <v>2640</v>
      </c>
    </row>
    <row r="1116" spans="1:6" x14ac:dyDescent="0.25">
      <c r="A1116" t="s">
        <v>105</v>
      </c>
      <c r="B1116" t="s">
        <v>107</v>
      </c>
      <c r="C1116">
        <v>1</v>
      </c>
      <c r="D1116">
        <v>2</v>
      </c>
      <c r="E1116">
        <v>5</v>
      </c>
      <c r="F1116">
        <v>817</v>
      </c>
    </row>
    <row r="1117" spans="1:6" x14ac:dyDescent="0.25">
      <c r="A1117" t="s">
        <v>105</v>
      </c>
      <c r="B1117" t="s">
        <v>107</v>
      </c>
      <c r="C1117">
        <v>1</v>
      </c>
      <c r="D1117">
        <v>2</v>
      </c>
      <c r="E1117">
        <v>6</v>
      </c>
      <c r="F1117">
        <v>10835</v>
      </c>
    </row>
    <row r="1118" spans="1:6" x14ac:dyDescent="0.25">
      <c r="A1118" t="s">
        <v>105</v>
      </c>
      <c r="B1118" t="s">
        <v>107</v>
      </c>
      <c r="C1118">
        <v>2</v>
      </c>
      <c r="D1118">
        <v>0</v>
      </c>
      <c r="E1118">
        <v>1</v>
      </c>
      <c r="F1118">
        <v>2358409</v>
      </c>
    </row>
    <row r="1119" spans="1:6" x14ac:dyDescent="0.25">
      <c r="A1119" t="s">
        <v>105</v>
      </c>
      <c r="B1119" t="s">
        <v>107</v>
      </c>
      <c r="C1119">
        <v>2</v>
      </c>
      <c r="D1119">
        <v>0</v>
      </c>
      <c r="E1119">
        <v>2</v>
      </c>
      <c r="F1119">
        <v>233745</v>
      </c>
    </row>
    <row r="1120" spans="1:6" x14ac:dyDescent="0.25">
      <c r="A1120" t="s">
        <v>105</v>
      </c>
      <c r="B1120" t="s">
        <v>107</v>
      </c>
      <c r="C1120">
        <v>2</v>
      </c>
      <c r="D1120">
        <v>0</v>
      </c>
      <c r="E1120">
        <v>3</v>
      </c>
      <c r="F1120">
        <v>41862</v>
      </c>
    </row>
    <row r="1121" spans="1:6" x14ac:dyDescent="0.25">
      <c r="A1121" t="s">
        <v>105</v>
      </c>
      <c r="B1121" t="s">
        <v>107</v>
      </c>
      <c r="C1121">
        <v>2</v>
      </c>
      <c r="D1121">
        <v>0</v>
      </c>
      <c r="E1121">
        <v>4</v>
      </c>
      <c r="F1121">
        <v>169812</v>
      </c>
    </row>
    <row r="1122" spans="1:6" x14ac:dyDescent="0.25">
      <c r="A1122" t="s">
        <v>105</v>
      </c>
      <c r="B1122" t="s">
        <v>107</v>
      </c>
      <c r="C1122">
        <v>2</v>
      </c>
      <c r="D1122">
        <v>0</v>
      </c>
      <c r="E1122">
        <v>5</v>
      </c>
      <c r="F1122">
        <v>2711</v>
      </c>
    </row>
    <row r="1123" spans="1:6" x14ac:dyDescent="0.25">
      <c r="A1123" t="s">
        <v>105</v>
      </c>
      <c r="B1123" t="s">
        <v>107</v>
      </c>
      <c r="C1123">
        <v>2</v>
      </c>
      <c r="D1123">
        <v>0</v>
      </c>
      <c r="E1123">
        <v>6</v>
      </c>
      <c r="F1123">
        <v>84946</v>
      </c>
    </row>
    <row r="1124" spans="1:6" x14ac:dyDescent="0.25">
      <c r="A1124" t="s">
        <v>105</v>
      </c>
      <c r="B1124" t="s">
        <v>107</v>
      </c>
      <c r="C1124">
        <v>2</v>
      </c>
      <c r="D1124">
        <v>1</v>
      </c>
      <c r="E1124">
        <v>1</v>
      </c>
      <c r="F1124">
        <v>2203636</v>
      </c>
    </row>
    <row r="1125" spans="1:6" x14ac:dyDescent="0.25">
      <c r="A1125" t="s">
        <v>105</v>
      </c>
      <c r="B1125" t="s">
        <v>107</v>
      </c>
      <c r="C1125">
        <v>2</v>
      </c>
      <c r="D1125">
        <v>1</v>
      </c>
      <c r="E1125">
        <v>2</v>
      </c>
      <c r="F1125">
        <v>226012</v>
      </c>
    </row>
    <row r="1126" spans="1:6" x14ac:dyDescent="0.25">
      <c r="A1126" t="s">
        <v>105</v>
      </c>
      <c r="B1126" t="s">
        <v>107</v>
      </c>
      <c r="C1126">
        <v>2</v>
      </c>
      <c r="D1126">
        <v>1</v>
      </c>
      <c r="E1126">
        <v>3</v>
      </c>
      <c r="F1126">
        <v>30119</v>
      </c>
    </row>
    <row r="1127" spans="1:6" x14ac:dyDescent="0.25">
      <c r="A1127" t="s">
        <v>105</v>
      </c>
      <c r="B1127" t="s">
        <v>107</v>
      </c>
      <c r="C1127">
        <v>2</v>
      </c>
      <c r="D1127">
        <v>1</v>
      </c>
      <c r="E1127">
        <v>4</v>
      </c>
      <c r="F1127">
        <v>167319</v>
      </c>
    </row>
    <row r="1128" spans="1:6" x14ac:dyDescent="0.25">
      <c r="A1128" t="s">
        <v>105</v>
      </c>
      <c r="B1128" t="s">
        <v>107</v>
      </c>
      <c r="C1128">
        <v>2</v>
      </c>
      <c r="D1128">
        <v>1</v>
      </c>
      <c r="E1128">
        <v>5</v>
      </c>
      <c r="F1128">
        <v>1893</v>
      </c>
    </row>
    <row r="1129" spans="1:6" x14ac:dyDescent="0.25">
      <c r="A1129" t="s">
        <v>105</v>
      </c>
      <c r="B1129" t="s">
        <v>107</v>
      </c>
      <c r="C1129">
        <v>2</v>
      </c>
      <c r="D1129">
        <v>1</v>
      </c>
      <c r="E1129">
        <v>6</v>
      </c>
      <c r="F1129">
        <v>74912</v>
      </c>
    </row>
    <row r="1130" spans="1:6" x14ac:dyDescent="0.25">
      <c r="A1130" t="s">
        <v>105</v>
      </c>
      <c r="B1130" t="s">
        <v>107</v>
      </c>
      <c r="C1130">
        <v>2</v>
      </c>
      <c r="D1130">
        <v>2</v>
      </c>
      <c r="E1130">
        <v>1</v>
      </c>
      <c r="F1130">
        <v>154773</v>
      </c>
    </row>
    <row r="1131" spans="1:6" x14ac:dyDescent="0.25">
      <c r="A1131" t="s">
        <v>105</v>
      </c>
      <c r="B1131" t="s">
        <v>107</v>
      </c>
      <c r="C1131">
        <v>2</v>
      </c>
      <c r="D1131">
        <v>2</v>
      </c>
      <c r="E1131">
        <v>2</v>
      </c>
      <c r="F1131">
        <v>7733</v>
      </c>
    </row>
    <row r="1132" spans="1:6" x14ac:dyDescent="0.25">
      <c r="A1132" t="s">
        <v>105</v>
      </c>
      <c r="B1132" t="s">
        <v>107</v>
      </c>
      <c r="C1132">
        <v>2</v>
      </c>
      <c r="D1132">
        <v>2</v>
      </c>
      <c r="E1132">
        <v>3</v>
      </c>
      <c r="F1132">
        <v>11743</v>
      </c>
    </row>
    <row r="1133" spans="1:6" x14ac:dyDescent="0.25">
      <c r="A1133" t="s">
        <v>105</v>
      </c>
      <c r="B1133" t="s">
        <v>107</v>
      </c>
      <c r="C1133">
        <v>2</v>
      </c>
      <c r="D1133">
        <v>2</v>
      </c>
      <c r="E1133">
        <v>4</v>
      </c>
      <c r="F1133">
        <v>2493</v>
      </c>
    </row>
    <row r="1134" spans="1:6" x14ac:dyDescent="0.25">
      <c r="A1134" t="s">
        <v>105</v>
      </c>
      <c r="B1134" t="s">
        <v>107</v>
      </c>
      <c r="C1134">
        <v>2</v>
      </c>
      <c r="D1134">
        <v>2</v>
      </c>
      <c r="E1134">
        <v>5</v>
      </c>
      <c r="F1134">
        <v>818</v>
      </c>
    </row>
    <row r="1135" spans="1:6" x14ac:dyDescent="0.25">
      <c r="A1135" t="s">
        <v>105</v>
      </c>
      <c r="B1135" t="s">
        <v>107</v>
      </c>
      <c r="C1135">
        <v>2</v>
      </c>
      <c r="D1135">
        <v>2</v>
      </c>
      <c r="E1135">
        <v>6</v>
      </c>
      <c r="F1135">
        <v>10034</v>
      </c>
    </row>
    <row r="1136" spans="1:6" x14ac:dyDescent="0.25">
      <c r="A1136" t="s">
        <v>108</v>
      </c>
      <c r="B1136" t="s">
        <v>110</v>
      </c>
      <c r="C1136">
        <v>0</v>
      </c>
      <c r="D1136">
        <v>0</v>
      </c>
      <c r="E1136">
        <v>1</v>
      </c>
      <c r="F1136">
        <v>1725681</v>
      </c>
    </row>
    <row r="1137" spans="1:6" x14ac:dyDescent="0.25">
      <c r="A1137" t="s">
        <v>108</v>
      </c>
      <c r="B1137" t="s">
        <v>110</v>
      </c>
      <c r="C1137">
        <v>0</v>
      </c>
      <c r="D1137">
        <v>0</v>
      </c>
      <c r="E1137">
        <v>2</v>
      </c>
      <c r="F1137">
        <v>1110314</v>
      </c>
    </row>
    <row r="1138" spans="1:6" x14ac:dyDescent="0.25">
      <c r="A1138" t="s">
        <v>108</v>
      </c>
      <c r="B1138" t="s">
        <v>110</v>
      </c>
      <c r="C1138">
        <v>0</v>
      </c>
      <c r="D1138">
        <v>0</v>
      </c>
      <c r="E1138">
        <v>3</v>
      </c>
      <c r="F1138">
        <v>20113</v>
      </c>
    </row>
    <row r="1139" spans="1:6" x14ac:dyDescent="0.25">
      <c r="A1139" t="s">
        <v>108</v>
      </c>
      <c r="B1139" t="s">
        <v>110</v>
      </c>
      <c r="C1139">
        <v>0</v>
      </c>
      <c r="D1139">
        <v>0</v>
      </c>
      <c r="E1139">
        <v>4</v>
      </c>
      <c r="F1139">
        <v>37950</v>
      </c>
    </row>
    <row r="1140" spans="1:6" x14ac:dyDescent="0.25">
      <c r="A1140" t="s">
        <v>108</v>
      </c>
      <c r="B1140" t="s">
        <v>110</v>
      </c>
      <c r="C1140">
        <v>0</v>
      </c>
      <c r="D1140">
        <v>0</v>
      </c>
      <c r="E1140">
        <v>5</v>
      </c>
      <c r="F1140">
        <v>2111</v>
      </c>
    </row>
    <row r="1141" spans="1:6" x14ac:dyDescent="0.25">
      <c r="A1141" t="s">
        <v>108</v>
      </c>
      <c r="B1141" t="s">
        <v>110</v>
      </c>
      <c r="C1141">
        <v>0</v>
      </c>
      <c r="D1141">
        <v>0</v>
      </c>
      <c r="E1141">
        <v>6</v>
      </c>
      <c r="F1141">
        <v>46876</v>
      </c>
    </row>
    <row r="1142" spans="1:6" x14ac:dyDescent="0.25">
      <c r="A1142" t="s">
        <v>108</v>
      </c>
      <c r="B1142" t="s">
        <v>110</v>
      </c>
      <c r="C1142">
        <v>0</v>
      </c>
      <c r="D1142">
        <v>1</v>
      </c>
      <c r="E1142">
        <v>1</v>
      </c>
      <c r="F1142">
        <v>1629843</v>
      </c>
    </row>
    <row r="1143" spans="1:6" x14ac:dyDescent="0.25">
      <c r="A1143" t="s">
        <v>108</v>
      </c>
      <c r="B1143" t="s">
        <v>110</v>
      </c>
      <c r="C1143">
        <v>0</v>
      </c>
      <c r="D1143">
        <v>1</v>
      </c>
      <c r="E1143">
        <v>2</v>
      </c>
      <c r="F1143">
        <v>1097054</v>
      </c>
    </row>
    <row r="1144" spans="1:6" x14ac:dyDescent="0.25">
      <c r="A1144" t="s">
        <v>108</v>
      </c>
      <c r="B1144" t="s">
        <v>110</v>
      </c>
      <c r="C1144">
        <v>0</v>
      </c>
      <c r="D1144">
        <v>1</v>
      </c>
      <c r="E1144">
        <v>3</v>
      </c>
      <c r="F1144">
        <v>15266</v>
      </c>
    </row>
    <row r="1145" spans="1:6" x14ac:dyDescent="0.25">
      <c r="A1145" t="s">
        <v>108</v>
      </c>
      <c r="B1145" t="s">
        <v>110</v>
      </c>
      <c r="C1145">
        <v>0</v>
      </c>
      <c r="D1145">
        <v>1</v>
      </c>
      <c r="E1145">
        <v>4</v>
      </c>
      <c r="F1145">
        <v>36994</v>
      </c>
    </row>
    <row r="1146" spans="1:6" x14ac:dyDescent="0.25">
      <c r="A1146" t="s">
        <v>108</v>
      </c>
      <c r="B1146" t="s">
        <v>110</v>
      </c>
      <c r="C1146">
        <v>0</v>
      </c>
      <c r="D1146">
        <v>1</v>
      </c>
      <c r="E1146">
        <v>5</v>
      </c>
      <c r="F1146">
        <v>1269</v>
      </c>
    </row>
    <row r="1147" spans="1:6" x14ac:dyDescent="0.25">
      <c r="A1147" t="s">
        <v>108</v>
      </c>
      <c r="B1147" t="s">
        <v>110</v>
      </c>
      <c r="C1147">
        <v>0</v>
      </c>
      <c r="D1147">
        <v>1</v>
      </c>
      <c r="E1147">
        <v>6</v>
      </c>
      <c r="F1147">
        <v>41674</v>
      </c>
    </row>
    <row r="1148" spans="1:6" x14ac:dyDescent="0.25">
      <c r="A1148" t="s">
        <v>108</v>
      </c>
      <c r="B1148" t="s">
        <v>110</v>
      </c>
      <c r="C1148">
        <v>0</v>
      </c>
      <c r="D1148">
        <v>2</v>
      </c>
      <c r="E1148">
        <v>1</v>
      </c>
      <c r="F1148">
        <v>95838</v>
      </c>
    </row>
    <row r="1149" spans="1:6" x14ac:dyDescent="0.25">
      <c r="A1149" t="s">
        <v>108</v>
      </c>
      <c r="B1149" t="s">
        <v>110</v>
      </c>
      <c r="C1149">
        <v>0</v>
      </c>
      <c r="D1149">
        <v>2</v>
      </c>
      <c r="E1149">
        <v>2</v>
      </c>
      <c r="F1149">
        <v>13260</v>
      </c>
    </row>
    <row r="1150" spans="1:6" x14ac:dyDescent="0.25">
      <c r="A1150" t="s">
        <v>108</v>
      </c>
      <c r="B1150" t="s">
        <v>110</v>
      </c>
      <c r="C1150">
        <v>0</v>
      </c>
      <c r="D1150">
        <v>2</v>
      </c>
      <c r="E1150">
        <v>3</v>
      </c>
      <c r="F1150">
        <v>4847</v>
      </c>
    </row>
    <row r="1151" spans="1:6" x14ac:dyDescent="0.25">
      <c r="A1151" t="s">
        <v>108</v>
      </c>
      <c r="B1151" t="s">
        <v>110</v>
      </c>
      <c r="C1151">
        <v>0</v>
      </c>
      <c r="D1151">
        <v>2</v>
      </c>
      <c r="E1151">
        <v>4</v>
      </c>
      <c r="F1151">
        <v>956</v>
      </c>
    </row>
    <row r="1152" spans="1:6" x14ac:dyDescent="0.25">
      <c r="A1152" t="s">
        <v>108</v>
      </c>
      <c r="B1152" t="s">
        <v>110</v>
      </c>
      <c r="C1152">
        <v>0</v>
      </c>
      <c r="D1152">
        <v>2</v>
      </c>
      <c r="E1152">
        <v>5</v>
      </c>
      <c r="F1152">
        <v>842</v>
      </c>
    </row>
    <row r="1153" spans="1:6" x14ac:dyDescent="0.25">
      <c r="A1153" t="s">
        <v>108</v>
      </c>
      <c r="B1153" t="s">
        <v>110</v>
      </c>
      <c r="C1153">
        <v>0</v>
      </c>
      <c r="D1153">
        <v>2</v>
      </c>
      <c r="E1153">
        <v>6</v>
      </c>
      <c r="F1153">
        <v>5202</v>
      </c>
    </row>
    <row r="1154" spans="1:6" x14ac:dyDescent="0.25">
      <c r="A1154" t="s">
        <v>108</v>
      </c>
      <c r="B1154" t="s">
        <v>110</v>
      </c>
      <c r="C1154">
        <v>1</v>
      </c>
      <c r="D1154">
        <v>0</v>
      </c>
      <c r="E1154">
        <v>1</v>
      </c>
      <c r="F1154">
        <v>853010</v>
      </c>
    </row>
    <row r="1155" spans="1:6" x14ac:dyDescent="0.25">
      <c r="A1155" t="s">
        <v>108</v>
      </c>
      <c r="B1155" t="s">
        <v>110</v>
      </c>
      <c r="C1155">
        <v>1</v>
      </c>
      <c r="D1155">
        <v>0</v>
      </c>
      <c r="E1155">
        <v>2</v>
      </c>
      <c r="F1155">
        <v>519711</v>
      </c>
    </row>
    <row r="1156" spans="1:6" x14ac:dyDescent="0.25">
      <c r="A1156" t="s">
        <v>108</v>
      </c>
      <c r="B1156" t="s">
        <v>110</v>
      </c>
      <c r="C1156">
        <v>1</v>
      </c>
      <c r="D1156">
        <v>0</v>
      </c>
      <c r="E1156">
        <v>3</v>
      </c>
      <c r="F1156">
        <v>10076</v>
      </c>
    </row>
    <row r="1157" spans="1:6" x14ac:dyDescent="0.25">
      <c r="A1157" t="s">
        <v>108</v>
      </c>
      <c r="B1157" t="s">
        <v>110</v>
      </c>
      <c r="C1157">
        <v>1</v>
      </c>
      <c r="D1157">
        <v>0</v>
      </c>
      <c r="E1157">
        <v>4</v>
      </c>
      <c r="F1157">
        <v>17741</v>
      </c>
    </row>
    <row r="1158" spans="1:6" x14ac:dyDescent="0.25">
      <c r="A1158" t="s">
        <v>108</v>
      </c>
      <c r="B1158" t="s">
        <v>110</v>
      </c>
      <c r="C1158">
        <v>1</v>
      </c>
      <c r="D1158">
        <v>0</v>
      </c>
      <c r="E1158">
        <v>5</v>
      </c>
      <c r="F1158">
        <v>1066</v>
      </c>
    </row>
    <row r="1159" spans="1:6" x14ac:dyDescent="0.25">
      <c r="A1159" t="s">
        <v>108</v>
      </c>
      <c r="B1159" t="s">
        <v>110</v>
      </c>
      <c r="C1159">
        <v>1</v>
      </c>
      <c r="D1159">
        <v>0</v>
      </c>
      <c r="E1159">
        <v>6</v>
      </c>
      <c r="F1159">
        <v>23064</v>
      </c>
    </row>
    <row r="1160" spans="1:6" x14ac:dyDescent="0.25">
      <c r="A1160" t="s">
        <v>108</v>
      </c>
      <c r="B1160" t="s">
        <v>110</v>
      </c>
      <c r="C1160">
        <v>1</v>
      </c>
      <c r="D1160">
        <v>1</v>
      </c>
      <c r="E1160">
        <v>1</v>
      </c>
      <c r="F1160">
        <v>801280</v>
      </c>
    </row>
    <row r="1161" spans="1:6" x14ac:dyDescent="0.25">
      <c r="A1161" t="s">
        <v>108</v>
      </c>
      <c r="B1161" t="s">
        <v>110</v>
      </c>
      <c r="C1161">
        <v>1</v>
      </c>
      <c r="D1161">
        <v>1</v>
      </c>
      <c r="E1161">
        <v>2</v>
      </c>
      <c r="F1161">
        <v>512962</v>
      </c>
    </row>
    <row r="1162" spans="1:6" x14ac:dyDescent="0.25">
      <c r="A1162" t="s">
        <v>108</v>
      </c>
      <c r="B1162" t="s">
        <v>110</v>
      </c>
      <c r="C1162">
        <v>1</v>
      </c>
      <c r="D1162">
        <v>1</v>
      </c>
      <c r="E1162">
        <v>3</v>
      </c>
      <c r="F1162">
        <v>7301</v>
      </c>
    </row>
    <row r="1163" spans="1:6" x14ac:dyDescent="0.25">
      <c r="A1163" t="s">
        <v>108</v>
      </c>
      <c r="B1163" t="s">
        <v>110</v>
      </c>
      <c r="C1163">
        <v>1</v>
      </c>
      <c r="D1163">
        <v>1</v>
      </c>
      <c r="E1163">
        <v>4</v>
      </c>
      <c r="F1163">
        <v>17284</v>
      </c>
    </row>
    <row r="1164" spans="1:6" x14ac:dyDescent="0.25">
      <c r="A1164" t="s">
        <v>108</v>
      </c>
      <c r="B1164" t="s">
        <v>110</v>
      </c>
      <c r="C1164">
        <v>1</v>
      </c>
      <c r="D1164">
        <v>1</v>
      </c>
      <c r="E1164">
        <v>5</v>
      </c>
      <c r="F1164">
        <v>569</v>
      </c>
    </row>
    <row r="1165" spans="1:6" x14ac:dyDescent="0.25">
      <c r="A1165" t="s">
        <v>108</v>
      </c>
      <c r="B1165" t="s">
        <v>110</v>
      </c>
      <c r="C1165">
        <v>1</v>
      </c>
      <c r="D1165">
        <v>1</v>
      </c>
      <c r="E1165">
        <v>6</v>
      </c>
      <c r="F1165">
        <v>20330</v>
      </c>
    </row>
    <row r="1166" spans="1:6" x14ac:dyDescent="0.25">
      <c r="A1166" t="s">
        <v>108</v>
      </c>
      <c r="B1166" t="s">
        <v>110</v>
      </c>
      <c r="C1166">
        <v>1</v>
      </c>
      <c r="D1166">
        <v>2</v>
      </c>
      <c r="E1166">
        <v>1</v>
      </c>
      <c r="F1166">
        <v>51730</v>
      </c>
    </row>
    <row r="1167" spans="1:6" x14ac:dyDescent="0.25">
      <c r="A1167" t="s">
        <v>108</v>
      </c>
      <c r="B1167" t="s">
        <v>110</v>
      </c>
      <c r="C1167">
        <v>1</v>
      </c>
      <c r="D1167">
        <v>2</v>
      </c>
      <c r="E1167">
        <v>2</v>
      </c>
      <c r="F1167">
        <v>6749</v>
      </c>
    </row>
    <row r="1168" spans="1:6" x14ac:dyDescent="0.25">
      <c r="A1168" t="s">
        <v>108</v>
      </c>
      <c r="B1168" t="s">
        <v>110</v>
      </c>
      <c r="C1168">
        <v>1</v>
      </c>
      <c r="D1168">
        <v>2</v>
      </c>
      <c r="E1168">
        <v>3</v>
      </c>
      <c r="F1168">
        <v>2775</v>
      </c>
    </row>
    <row r="1169" spans="1:6" x14ac:dyDescent="0.25">
      <c r="A1169" t="s">
        <v>108</v>
      </c>
      <c r="B1169" t="s">
        <v>110</v>
      </c>
      <c r="C1169">
        <v>1</v>
      </c>
      <c r="D1169">
        <v>2</v>
      </c>
      <c r="E1169">
        <v>4</v>
      </c>
      <c r="F1169">
        <v>457</v>
      </c>
    </row>
    <row r="1170" spans="1:6" x14ac:dyDescent="0.25">
      <c r="A1170" t="s">
        <v>108</v>
      </c>
      <c r="B1170" t="s">
        <v>110</v>
      </c>
      <c r="C1170">
        <v>1</v>
      </c>
      <c r="D1170">
        <v>2</v>
      </c>
      <c r="E1170">
        <v>5</v>
      </c>
      <c r="F1170">
        <v>497</v>
      </c>
    </row>
    <row r="1171" spans="1:6" x14ac:dyDescent="0.25">
      <c r="A1171" t="s">
        <v>108</v>
      </c>
      <c r="B1171" t="s">
        <v>110</v>
      </c>
      <c r="C1171">
        <v>1</v>
      </c>
      <c r="D1171">
        <v>2</v>
      </c>
      <c r="E1171">
        <v>6</v>
      </c>
      <c r="F1171">
        <v>2734</v>
      </c>
    </row>
    <row r="1172" spans="1:6" x14ac:dyDescent="0.25">
      <c r="A1172" t="s">
        <v>108</v>
      </c>
      <c r="B1172" t="s">
        <v>110</v>
      </c>
      <c r="C1172">
        <v>2</v>
      </c>
      <c r="D1172">
        <v>0</v>
      </c>
      <c r="E1172">
        <v>1</v>
      </c>
      <c r="F1172">
        <v>872671</v>
      </c>
    </row>
    <row r="1173" spans="1:6" x14ac:dyDescent="0.25">
      <c r="A1173" t="s">
        <v>108</v>
      </c>
      <c r="B1173" t="s">
        <v>110</v>
      </c>
      <c r="C1173">
        <v>2</v>
      </c>
      <c r="D1173">
        <v>0</v>
      </c>
      <c r="E1173">
        <v>2</v>
      </c>
      <c r="F1173">
        <v>590603</v>
      </c>
    </row>
    <row r="1174" spans="1:6" x14ac:dyDescent="0.25">
      <c r="A1174" t="s">
        <v>108</v>
      </c>
      <c r="B1174" t="s">
        <v>110</v>
      </c>
      <c r="C1174">
        <v>2</v>
      </c>
      <c r="D1174">
        <v>0</v>
      </c>
      <c r="E1174">
        <v>3</v>
      </c>
      <c r="F1174">
        <v>10037</v>
      </c>
    </row>
    <row r="1175" spans="1:6" x14ac:dyDescent="0.25">
      <c r="A1175" t="s">
        <v>108</v>
      </c>
      <c r="B1175" t="s">
        <v>110</v>
      </c>
      <c r="C1175">
        <v>2</v>
      </c>
      <c r="D1175">
        <v>0</v>
      </c>
      <c r="E1175">
        <v>4</v>
      </c>
      <c r="F1175">
        <v>20209</v>
      </c>
    </row>
    <row r="1176" spans="1:6" x14ac:dyDescent="0.25">
      <c r="A1176" t="s">
        <v>108</v>
      </c>
      <c r="B1176" t="s">
        <v>110</v>
      </c>
      <c r="C1176">
        <v>2</v>
      </c>
      <c r="D1176">
        <v>0</v>
      </c>
      <c r="E1176">
        <v>5</v>
      </c>
      <c r="F1176">
        <v>1045</v>
      </c>
    </row>
    <row r="1177" spans="1:6" x14ac:dyDescent="0.25">
      <c r="A1177" t="s">
        <v>108</v>
      </c>
      <c r="B1177" t="s">
        <v>110</v>
      </c>
      <c r="C1177">
        <v>2</v>
      </c>
      <c r="D1177">
        <v>0</v>
      </c>
      <c r="E1177">
        <v>6</v>
      </c>
      <c r="F1177">
        <v>23812</v>
      </c>
    </row>
    <row r="1178" spans="1:6" x14ac:dyDescent="0.25">
      <c r="A1178" t="s">
        <v>108</v>
      </c>
      <c r="B1178" t="s">
        <v>110</v>
      </c>
      <c r="C1178">
        <v>2</v>
      </c>
      <c r="D1178">
        <v>1</v>
      </c>
      <c r="E1178">
        <v>1</v>
      </c>
      <c r="F1178">
        <v>828563</v>
      </c>
    </row>
    <row r="1179" spans="1:6" x14ac:dyDescent="0.25">
      <c r="A1179" t="s">
        <v>108</v>
      </c>
      <c r="B1179" t="s">
        <v>110</v>
      </c>
      <c r="C1179">
        <v>2</v>
      </c>
      <c r="D1179">
        <v>1</v>
      </c>
      <c r="E1179">
        <v>2</v>
      </c>
      <c r="F1179">
        <v>584092</v>
      </c>
    </row>
    <row r="1180" spans="1:6" x14ac:dyDescent="0.25">
      <c r="A1180" t="s">
        <v>108</v>
      </c>
      <c r="B1180" t="s">
        <v>110</v>
      </c>
      <c r="C1180">
        <v>2</v>
      </c>
      <c r="D1180">
        <v>1</v>
      </c>
      <c r="E1180">
        <v>3</v>
      </c>
      <c r="F1180">
        <v>7965</v>
      </c>
    </row>
    <row r="1181" spans="1:6" x14ac:dyDescent="0.25">
      <c r="A1181" t="s">
        <v>108</v>
      </c>
      <c r="B1181" t="s">
        <v>110</v>
      </c>
      <c r="C1181">
        <v>2</v>
      </c>
      <c r="D1181">
        <v>1</v>
      </c>
      <c r="E1181">
        <v>4</v>
      </c>
      <c r="F1181">
        <v>19710</v>
      </c>
    </row>
    <row r="1182" spans="1:6" x14ac:dyDescent="0.25">
      <c r="A1182" t="s">
        <v>108</v>
      </c>
      <c r="B1182" t="s">
        <v>110</v>
      </c>
      <c r="C1182">
        <v>2</v>
      </c>
      <c r="D1182">
        <v>1</v>
      </c>
      <c r="E1182">
        <v>5</v>
      </c>
      <c r="F1182">
        <v>700</v>
      </c>
    </row>
    <row r="1183" spans="1:6" x14ac:dyDescent="0.25">
      <c r="A1183" t="s">
        <v>108</v>
      </c>
      <c r="B1183" t="s">
        <v>110</v>
      </c>
      <c r="C1183">
        <v>2</v>
      </c>
      <c r="D1183">
        <v>1</v>
      </c>
      <c r="E1183">
        <v>6</v>
      </c>
      <c r="F1183">
        <v>21344</v>
      </c>
    </row>
    <row r="1184" spans="1:6" x14ac:dyDescent="0.25">
      <c r="A1184" t="s">
        <v>108</v>
      </c>
      <c r="B1184" t="s">
        <v>110</v>
      </c>
      <c r="C1184">
        <v>2</v>
      </c>
      <c r="D1184">
        <v>2</v>
      </c>
      <c r="E1184">
        <v>1</v>
      </c>
      <c r="F1184">
        <v>44108</v>
      </c>
    </row>
    <row r="1185" spans="1:6" x14ac:dyDescent="0.25">
      <c r="A1185" t="s">
        <v>108</v>
      </c>
      <c r="B1185" t="s">
        <v>110</v>
      </c>
      <c r="C1185">
        <v>2</v>
      </c>
      <c r="D1185">
        <v>2</v>
      </c>
      <c r="E1185">
        <v>2</v>
      </c>
      <c r="F1185">
        <v>6511</v>
      </c>
    </row>
    <row r="1186" spans="1:6" x14ac:dyDescent="0.25">
      <c r="A1186" t="s">
        <v>108</v>
      </c>
      <c r="B1186" t="s">
        <v>110</v>
      </c>
      <c r="C1186">
        <v>2</v>
      </c>
      <c r="D1186">
        <v>2</v>
      </c>
      <c r="E1186">
        <v>3</v>
      </c>
      <c r="F1186">
        <v>2072</v>
      </c>
    </row>
    <row r="1187" spans="1:6" x14ac:dyDescent="0.25">
      <c r="A1187" t="s">
        <v>108</v>
      </c>
      <c r="B1187" t="s">
        <v>110</v>
      </c>
      <c r="C1187">
        <v>2</v>
      </c>
      <c r="D1187">
        <v>2</v>
      </c>
      <c r="E1187">
        <v>4</v>
      </c>
      <c r="F1187">
        <v>499</v>
      </c>
    </row>
    <row r="1188" spans="1:6" x14ac:dyDescent="0.25">
      <c r="A1188" t="s">
        <v>108</v>
      </c>
      <c r="B1188" t="s">
        <v>110</v>
      </c>
      <c r="C1188">
        <v>2</v>
      </c>
      <c r="D1188">
        <v>2</v>
      </c>
      <c r="E1188">
        <v>5</v>
      </c>
      <c r="F1188">
        <v>345</v>
      </c>
    </row>
    <row r="1189" spans="1:6" x14ac:dyDescent="0.25">
      <c r="A1189" t="s">
        <v>108</v>
      </c>
      <c r="B1189" t="s">
        <v>110</v>
      </c>
      <c r="C1189">
        <v>2</v>
      </c>
      <c r="D1189">
        <v>2</v>
      </c>
      <c r="E1189">
        <v>6</v>
      </c>
      <c r="F1189">
        <v>2468</v>
      </c>
    </row>
    <row r="1190" spans="1:6" x14ac:dyDescent="0.25">
      <c r="A1190" t="s">
        <v>111</v>
      </c>
      <c r="B1190" t="s">
        <v>113</v>
      </c>
      <c r="C1190">
        <v>0</v>
      </c>
      <c r="D1190">
        <v>0</v>
      </c>
      <c r="E1190">
        <v>1</v>
      </c>
      <c r="F1190">
        <v>5125212</v>
      </c>
    </row>
    <row r="1191" spans="1:6" x14ac:dyDescent="0.25">
      <c r="A1191" t="s">
        <v>111</v>
      </c>
      <c r="B1191" t="s">
        <v>113</v>
      </c>
      <c r="C1191">
        <v>0</v>
      </c>
      <c r="D1191">
        <v>0</v>
      </c>
      <c r="E1191">
        <v>2</v>
      </c>
      <c r="F1191">
        <v>732670</v>
      </c>
    </row>
    <row r="1192" spans="1:6" x14ac:dyDescent="0.25">
      <c r="A1192" t="s">
        <v>111</v>
      </c>
      <c r="B1192" t="s">
        <v>113</v>
      </c>
      <c r="C1192">
        <v>0</v>
      </c>
      <c r="D1192">
        <v>0</v>
      </c>
      <c r="E1192">
        <v>3</v>
      </c>
      <c r="F1192">
        <v>40832</v>
      </c>
    </row>
    <row r="1193" spans="1:6" x14ac:dyDescent="0.25">
      <c r="A1193" t="s">
        <v>111</v>
      </c>
      <c r="B1193" t="s">
        <v>113</v>
      </c>
      <c r="C1193">
        <v>0</v>
      </c>
      <c r="D1193">
        <v>0</v>
      </c>
      <c r="E1193">
        <v>4</v>
      </c>
      <c r="F1193">
        <v>157426</v>
      </c>
    </row>
    <row r="1194" spans="1:6" x14ac:dyDescent="0.25">
      <c r="A1194" t="s">
        <v>111</v>
      </c>
      <c r="B1194" t="s">
        <v>113</v>
      </c>
      <c r="C1194">
        <v>0</v>
      </c>
      <c r="D1194">
        <v>0</v>
      </c>
      <c r="E1194">
        <v>5</v>
      </c>
      <c r="F1194">
        <v>13997</v>
      </c>
    </row>
    <row r="1195" spans="1:6" x14ac:dyDescent="0.25">
      <c r="A1195" t="s">
        <v>111</v>
      </c>
      <c r="B1195" t="s">
        <v>113</v>
      </c>
      <c r="C1195">
        <v>0</v>
      </c>
      <c r="D1195">
        <v>0</v>
      </c>
      <c r="E1195">
        <v>6</v>
      </c>
      <c r="F1195">
        <v>175329</v>
      </c>
    </row>
    <row r="1196" spans="1:6" x14ac:dyDescent="0.25">
      <c r="A1196" t="s">
        <v>111</v>
      </c>
      <c r="B1196" t="s">
        <v>113</v>
      </c>
      <c r="C1196">
        <v>0</v>
      </c>
      <c r="D1196">
        <v>1</v>
      </c>
      <c r="E1196">
        <v>1</v>
      </c>
      <c r="F1196">
        <v>4830683</v>
      </c>
    </row>
    <row r="1197" spans="1:6" x14ac:dyDescent="0.25">
      <c r="A1197" t="s">
        <v>111</v>
      </c>
      <c r="B1197" t="s">
        <v>113</v>
      </c>
      <c r="C1197">
        <v>0</v>
      </c>
      <c r="D1197">
        <v>1</v>
      </c>
      <c r="E1197">
        <v>2</v>
      </c>
      <c r="F1197">
        <v>713591</v>
      </c>
    </row>
    <row r="1198" spans="1:6" x14ac:dyDescent="0.25">
      <c r="A1198" t="s">
        <v>111</v>
      </c>
      <c r="B1198" t="s">
        <v>113</v>
      </c>
      <c r="C1198">
        <v>0</v>
      </c>
      <c r="D1198">
        <v>1</v>
      </c>
      <c r="E1198">
        <v>3</v>
      </c>
      <c r="F1198">
        <v>27708</v>
      </c>
    </row>
    <row r="1199" spans="1:6" x14ac:dyDescent="0.25">
      <c r="A1199" t="s">
        <v>111</v>
      </c>
      <c r="B1199" t="s">
        <v>113</v>
      </c>
      <c r="C1199">
        <v>0</v>
      </c>
      <c r="D1199">
        <v>1</v>
      </c>
      <c r="E1199">
        <v>4</v>
      </c>
      <c r="F1199">
        <v>153736</v>
      </c>
    </row>
    <row r="1200" spans="1:6" x14ac:dyDescent="0.25">
      <c r="A1200" t="s">
        <v>111</v>
      </c>
      <c r="B1200" t="s">
        <v>113</v>
      </c>
      <c r="C1200">
        <v>0</v>
      </c>
      <c r="D1200">
        <v>1</v>
      </c>
      <c r="E1200">
        <v>5</v>
      </c>
      <c r="F1200">
        <v>11630</v>
      </c>
    </row>
    <row r="1201" spans="1:6" x14ac:dyDescent="0.25">
      <c r="A1201" t="s">
        <v>111</v>
      </c>
      <c r="B1201" t="s">
        <v>113</v>
      </c>
      <c r="C1201">
        <v>0</v>
      </c>
      <c r="D1201">
        <v>1</v>
      </c>
      <c r="E1201">
        <v>6</v>
      </c>
      <c r="F1201">
        <v>157681</v>
      </c>
    </row>
    <row r="1202" spans="1:6" x14ac:dyDescent="0.25">
      <c r="A1202" t="s">
        <v>111</v>
      </c>
      <c r="B1202" t="s">
        <v>113</v>
      </c>
      <c r="C1202">
        <v>0</v>
      </c>
      <c r="D1202">
        <v>2</v>
      </c>
      <c r="E1202">
        <v>1</v>
      </c>
      <c r="F1202">
        <v>294529</v>
      </c>
    </row>
    <row r="1203" spans="1:6" x14ac:dyDescent="0.25">
      <c r="A1203" t="s">
        <v>111</v>
      </c>
      <c r="B1203" t="s">
        <v>113</v>
      </c>
      <c r="C1203">
        <v>0</v>
      </c>
      <c r="D1203">
        <v>2</v>
      </c>
      <c r="E1203">
        <v>2</v>
      </c>
      <c r="F1203">
        <v>19079</v>
      </c>
    </row>
    <row r="1204" spans="1:6" x14ac:dyDescent="0.25">
      <c r="A1204" t="s">
        <v>111</v>
      </c>
      <c r="B1204" t="s">
        <v>113</v>
      </c>
      <c r="C1204">
        <v>0</v>
      </c>
      <c r="D1204">
        <v>2</v>
      </c>
      <c r="E1204">
        <v>3</v>
      </c>
      <c r="F1204">
        <v>13124</v>
      </c>
    </row>
    <row r="1205" spans="1:6" x14ac:dyDescent="0.25">
      <c r="A1205" t="s">
        <v>111</v>
      </c>
      <c r="B1205" t="s">
        <v>113</v>
      </c>
      <c r="C1205">
        <v>0</v>
      </c>
      <c r="D1205">
        <v>2</v>
      </c>
      <c r="E1205">
        <v>4</v>
      </c>
      <c r="F1205">
        <v>3690</v>
      </c>
    </row>
    <row r="1206" spans="1:6" x14ac:dyDescent="0.25">
      <c r="A1206" t="s">
        <v>111</v>
      </c>
      <c r="B1206" t="s">
        <v>113</v>
      </c>
      <c r="C1206">
        <v>0</v>
      </c>
      <c r="D1206">
        <v>2</v>
      </c>
      <c r="E1206">
        <v>5</v>
      </c>
      <c r="F1206">
        <v>2367</v>
      </c>
    </row>
    <row r="1207" spans="1:6" x14ac:dyDescent="0.25">
      <c r="A1207" t="s">
        <v>111</v>
      </c>
      <c r="B1207" t="s">
        <v>113</v>
      </c>
      <c r="C1207">
        <v>0</v>
      </c>
      <c r="D1207">
        <v>2</v>
      </c>
      <c r="E1207">
        <v>6</v>
      </c>
      <c r="F1207">
        <v>17648</v>
      </c>
    </row>
    <row r="1208" spans="1:6" x14ac:dyDescent="0.25">
      <c r="A1208" t="s">
        <v>111</v>
      </c>
      <c r="B1208" t="s">
        <v>113</v>
      </c>
      <c r="C1208">
        <v>1</v>
      </c>
      <c r="D1208">
        <v>0</v>
      </c>
      <c r="E1208">
        <v>1</v>
      </c>
      <c r="F1208">
        <v>2540814</v>
      </c>
    </row>
    <row r="1209" spans="1:6" x14ac:dyDescent="0.25">
      <c r="A1209" t="s">
        <v>111</v>
      </c>
      <c r="B1209" t="s">
        <v>113</v>
      </c>
      <c r="C1209">
        <v>1</v>
      </c>
      <c r="D1209">
        <v>0</v>
      </c>
      <c r="E1209">
        <v>2</v>
      </c>
      <c r="F1209">
        <v>348795</v>
      </c>
    </row>
    <row r="1210" spans="1:6" x14ac:dyDescent="0.25">
      <c r="A1210" t="s">
        <v>111</v>
      </c>
      <c r="B1210" t="s">
        <v>113</v>
      </c>
      <c r="C1210">
        <v>1</v>
      </c>
      <c r="D1210">
        <v>0</v>
      </c>
      <c r="E1210">
        <v>3</v>
      </c>
      <c r="F1210">
        <v>20723</v>
      </c>
    </row>
    <row r="1211" spans="1:6" x14ac:dyDescent="0.25">
      <c r="A1211" t="s">
        <v>111</v>
      </c>
      <c r="B1211" t="s">
        <v>113</v>
      </c>
      <c r="C1211">
        <v>1</v>
      </c>
      <c r="D1211">
        <v>0</v>
      </c>
      <c r="E1211">
        <v>4</v>
      </c>
      <c r="F1211">
        <v>75794</v>
      </c>
    </row>
    <row r="1212" spans="1:6" x14ac:dyDescent="0.25">
      <c r="A1212" t="s">
        <v>111</v>
      </c>
      <c r="B1212" t="s">
        <v>113</v>
      </c>
      <c r="C1212">
        <v>1</v>
      </c>
      <c r="D1212">
        <v>0</v>
      </c>
      <c r="E1212">
        <v>5</v>
      </c>
      <c r="F1212">
        <v>7105</v>
      </c>
    </row>
    <row r="1213" spans="1:6" x14ac:dyDescent="0.25">
      <c r="A1213" t="s">
        <v>111</v>
      </c>
      <c r="B1213" t="s">
        <v>113</v>
      </c>
      <c r="C1213">
        <v>1</v>
      </c>
      <c r="D1213">
        <v>0</v>
      </c>
      <c r="E1213">
        <v>6</v>
      </c>
      <c r="F1213">
        <v>87669</v>
      </c>
    </row>
    <row r="1214" spans="1:6" x14ac:dyDescent="0.25">
      <c r="A1214" t="s">
        <v>111</v>
      </c>
      <c r="B1214" t="s">
        <v>113</v>
      </c>
      <c r="C1214">
        <v>1</v>
      </c>
      <c r="D1214">
        <v>1</v>
      </c>
      <c r="E1214">
        <v>1</v>
      </c>
      <c r="F1214">
        <v>2389327</v>
      </c>
    </row>
    <row r="1215" spans="1:6" x14ac:dyDescent="0.25">
      <c r="A1215" t="s">
        <v>111</v>
      </c>
      <c r="B1215" t="s">
        <v>113</v>
      </c>
      <c r="C1215">
        <v>1</v>
      </c>
      <c r="D1215">
        <v>1</v>
      </c>
      <c r="E1215">
        <v>2</v>
      </c>
      <c r="F1215">
        <v>338921</v>
      </c>
    </row>
    <row r="1216" spans="1:6" x14ac:dyDescent="0.25">
      <c r="A1216" t="s">
        <v>111</v>
      </c>
      <c r="B1216" t="s">
        <v>113</v>
      </c>
      <c r="C1216">
        <v>1</v>
      </c>
      <c r="D1216">
        <v>1</v>
      </c>
      <c r="E1216">
        <v>3</v>
      </c>
      <c r="F1216">
        <v>13976</v>
      </c>
    </row>
    <row r="1217" spans="1:6" x14ac:dyDescent="0.25">
      <c r="A1217" t="s">
        <v>111</v>
      </c>
      <c r="B1217" t="s">
        <v>113</v>
      </c>
      <c r="C1217">
        <v>1</v>
      </c>
      <c r="D1217">
        <v>1</v>
      </c>
      <c r="E1217">
        <v>4</v>
      </c>
      <c r="F1217">
        <v>73936</v>
      </c>
    </row>
    <row r="1218" spans="1:6" x14ac:dyDescent="0.25">
      <c r="A1218" t="s">
        <v>111</v>
      </c>
      <c r="B1218" t="s">
        <v>113</v>
      </c>
      <c r="C1218">
        <v>1</v>
      </c>
      <c r="D1218">
        <v>1</v>
      </c>
      <c r="E1218">
        <v>5</v>
      </c>
      <c r="F1218">
        <v>5938</v>
      </c>
    </row>
    <row r="1219" spans="1:6" x14ac:dyDescent="0.25">
      <c r="A1219" t="s">
        <v>111</v>
      </c>
      <c r="B1219" t="s">
        <v>113</v>
      </c>
      <c r="C1219">
        <v>1</v>
      </c>
      <c r="D1219">
        <v>1</v>
      </c>
      <c r="E1219">
        <v>6</v>
      </c>
      <c r="F1219">
        <v>78738</v>
      </c>
    </row>
    <row r="1220" spans="1:6" x14ac:dyDescent="0.25">
      <c r="A1220" t="s">
        <v>111</v>
      </c>
      <c r="B1220" t="s">
        <v>113</v>
      </c>
      <c r="C1220">
        <v>1</v>
      </c>
      <c r="D1220">
        <v>2</v>
      </c>
      <c r="E1220">
        <v>1</v>
      </c>
      <c r="F1220">
        <v>151487</v>
      </c>
    </row>
    <row r="1221" spans="1:6" x14ac:dyDescent="0.25">
      <c r="A1221" t="s">
        <v>111</v>
      </c>
      <c r="B1221" t="s">
        <v>113</v>
      </c>
      <c r="C1221">
        <v>1</v>
      </c>
      <c r="D1221">
        <v>2</v>
      </c>
      <c r="E1221">
        <v>2</v>
      </c>
      <c r="F1221">
        <v>9874</v>
      </c>
    </row>
    <row r="1222" spans="1:6" x14ac:dyDescent="0.25">
      <c r="A1222" t="s">
        <v>111</v>
      </c>
      <c r="B1222" t="s">
        <v>113</v>
      </c>
      <c r="C1222">
        <v>1</v>
      </c>
      <c r="D1222">
        <v>2</v>
      </c>
      <c r="E1222">
        <v>3</v>
      </c>
      <c r="F1222">
        <v>6747</v>
      </c>
    </row>
    <row r="1223" spans="1:6" x14ac:dyDescent="0.25">
      <c r="A1223" t="s">
        <v>111</v>
      </c>
      <c r="B1223" t="s">
        <v>113</v>
      </c>
      <c r="C1223">
        <v>1</v>
      </c>
      <c r="D1223">
        <v>2</v>
      </c>
      <c r="E1223">
        <v>4</v>
      </c>
      <c r="F1223">
        <v>1858</v>
      </c>
    </row>
    <row r="1224" spans="1:6" x14ac:dyDescent="0.25">
      <c r="A1224" t="s">
        <v>111</v>
      </c>
      <c r="B1224" t="s">
        <v>113</v>
      </c>
      <c r="C1224">
        <v>1</v>
      </c>
      <c r="D1224">
        <v>2</v>
      </c>
      <c r="E1224">
        <v>5</v>
      </c>
      <c r="F1224">
        <v>1167</v>
      </c>
    </row>
    <row r="1225" spans="1:6" x14ac:dyDescent="0.25">
      <c r="A1225" t="s">
        <v>111</v>
      </c>
      <c r="B1225" t="s">
        <v>113</v>
      </c>
      <c r="C1225">
        <v>1</v>
      </c>
      <c r="D1225">
        <v>2</v>
      </c>
      <c r="E1225">
        <v>6</v>
      </c>
      <c r="F1225">
        <v>8931</v>
      </c>
    </row>
    <row r="1226" spans="1:6" x14ac:dyDescent="0.25">
      <c r="A1226" t="s">
        <v>111</v>
      </c>
      <c r="B1226" t="s">
        <v>113</v>
      </c>
      <c r="C1226">
        <v>2</v>
      </c>
      <c r="D1226">
        <v>0</v>
      </c>
      <c r="E1226">
        <v>1</v>
      </c>
      <c r="F1226">
        <v>2584398</v>
      </c>
    </row>
    <row r="1227" spans="1:6" x14ac:dyDescent="0.25">
      <c r="A1227" t="s">
        <v>111</v>
      </c>
      <c r="B1227" t="s">
        <v>113</v>
      </c>
      <c r="C1227">
        <v>2</v>
      </c>
      <c r="D1227">
        <v>0</v>
      </c>
      <c r="E1227">
        <v>2</v>
      </c>
      <c r="F1227">
        <v>383875</v>
      </c>
    </row>
    <row r="1228" spans="1:6" x14ac:dyDescent="0.25">
      <c r="A1228" t="s">
        <v>111</v>
      </c>
      <c r="B1228" t="s">
        <v>113</v>
      </c>
      <c r="C1228">
        <v>2</v>
      </c>
      <c r="D1228">
        <v>0</v>
      </c>
      <c r="E1228">
        <v>3</v>
      </c>
      <c r="F1228">
        <v>20109</v>
      </c>
    </row>
    <row r="1229" spans="1:6" x14ac:dyDescent="0.25">
      <c r="A1229" t="s">
        <v>111</v>
      </c>
      <c r="B1229" t="s">
        <v>113</v>
      </c>
      <c r="C1229">
        <v>2</v>
      </c>
      <c r="D1229">
        <v>0</v>
      </c>
      <c r="E1229">
        <v>4</v>
      </c>
      <c r="F1229">
        <v>81632</v>
      </c>
    </row>
    <row r="1230" spans="1:6" x14ac:dyDescent="0.25">
      <c r="A1230" t="s">
        <v>111</v>
      </c>
      <c r="B1230" t="s">
        <v>113</v>
      </c>
      <c r="C1230">
        <v>2</v>
      </c>
      <c r="D1230">
        <v>0</v>
      </c>
      <c r="E1230">
        <v>5</v>
      </c>
      <c r="F1230">
        <v>6892</v>
      </c>
    </row>
    <row r="1231" spans="1:6" x14ac:dyDescent="0.25">
      <c r="A1231" t="s">
        <v>111</v>
      </c>
      <c r="B1231" t="s">
        <v>113</v>
      </c>
      <c r="C1231">
        <v>2</v>
      </c>
      <c r="D1231">
        <v>0</v>
      </c>
      <c r="E1231">
        <v>6</v>
      </c>
      <c r="F1231">
        <v>87660</v>
      </c>
    </row>
    <row r="1232" spans="1:6" x14ac:dyDescent="0.25">
      <c r="A1232" t="s">
        <v>111</v>
      </c>
      <c r="B1232" t="s">
        <v>113</v>
      </c>
      <c r="C1232">
        <v>2</v>
      </c>
      <c r="D1232">
        <v>1</v>
      </c>
      <c r="E1232">
        <v>1</v>
      </c>
      <c r="F1232">
        <v>2441356</v>
      </c>
    </row>
    <row r="1233" spans="1:6" x14ac:dyDescent="0.25">
      <c r="A1233" t="s">
        <v>111</v>
      </c>
      <c r="B1233" t="s">
        <v>113</v>
      </c>
      <c r="C1233">
        <v>2</v>
      </c>
      <c r="D1233">
        <v>1</v>
      </c>
      <c r="E1233">
        <v>2</v>
      </c>
      <c r="F1233">
        <v>374670</v>
      </c>
    </row>
    <row r="1234" spans="1:6" x14ac:dyDescent="0.25">
      <c r="A1234" t="s">
        <v>111</v>
      </c>
      <c r="B1234" t="s">
        <v>113</v>
      </c>
      <c r="C1234">
        <v>2</v>
      </c>
      <c r="D1234">
        <v>1</v>
      </c>
      <c r="E1234">
        <v>3</v>
      </c>
      <c r="F1234">
        <v>13732</v>
      </c>
    </row>
    <row r="1235" spans="1:6" x14ac:dyDescent="0.25">
      <c r="A1235" t="s">
        <v>111</v>
      </c>
      <c r="B1235" t="s">
        <v>113</v>
      </c>
      <c r="C1235">
        <v>2</v>
      </c>
      <c r="D1235">
        <v>1</v>
      </c>
      <c r="E1235">
        <v>4</v>
      </c>
      <c r="F1235">
        <v>79800</v>
      </c>
    </row>
    <row r="1236" spans="1:6" x14ac:dyDescent="0.25">
      <c r="A1236" t="s">
        <v>111</v>
      </c>
      <c r="B1236" t="s">
        <v>113</v>
      </c>
      <c r="C1236">
        <v>2</v>
      </c>
      <c r="D1236">
        <v>1</v>
      </c>
      <c r="E1236">
        <v>5</v>
      </c>
      <c r="F1236">
        <v>5692</v>
      </c>
    </row>
    <row r="1237" spans="1:6" x14ac:dyDescent="0.25">
      <c r="A1237" t="s">
        <v>111</v>
      </c>
      <c r="B1237" t="s">
        <v>113</v>
      </c>
      <c r="C1237">
        <v>2</v>
      </c>
      <c r="D1237">
        <v>1</v>
      </c>
      <c r="E1237">
        <v>6</v>
      </c>
      <c r="F1237">
        <v>78943</v>
      </c>
    </row>
    <row r="1238" spans="1:6" x14ac:dyDescent="0.25">
      <c r="A1238" t="s">
        <v>111</v>
      </c>
      <c r="B1238" t="s">
        <v>113</v>
      </c>
      <c r="C1238">
        <v>2</v>
      </c>
      <c r="D1238">
        <v>2</v>
      </c>
      <c r="E1238">
        <v>1</v>
      </c>
      <c r="F1238">
        <v>143042</v>
      </c>
    </row>
    <row r="1239" spans="1:6" x14ac:dyDescent="0.25">
      <c r="A1239" t="s">
        <v>111</v>
      </c>
      <c r="B1239" t="s">
        <v>113</v>
      </c>
      <c r="C1239">
        <v>2</v>
      </c>
      <c r="D1239">
        <v>2</v>
      </c>
      <c r="E1239">
        <v>2</v>
      </c>
      <c r="F1239">
        <v>9205</v>
      </c>
    </row>
    <row r="1240" spans="1:6" x14ac:dyDescent="0.25">
      <c r="A1240" t="s">
        <v>111</v>
      </c>
      <c r="B1240" t="s">
        <v>113</v>
      </c>
      <c r="C1240">
        <v>2</v>
      </c>
      <c r="D1240">
        <v>2</v>
      </c>
      <c r="E1240">
        <v>3</v>
      </c>
      <c r="F1240">
        <v>6377</v>
      </c>
    </row>
    <row r="1241" spans="1:6" x14ac:dyDescent="0.25">
      <c r="A1241" t="s">
        <v>111</v>
      </c>
      <c r="B1241" t="s">
        <v>113</v>
      </c>
      <c r="C1241">
        <v>2</v>
      </c>
      <c r="D1241">
        <v>2</v>
      </c>
      <c r="E1241">
        <v>4</v>
      </c>
      <c r="F1241">
        <v>1832</v>
      </c>
    </row>
    <row r="1242" spans="1:6" x14ac:dyDescent="0.25">
      <c r="A1242" t="s">
        <v>111</v>
      </c>
      <c r="B1242" t="s">
        <v>113</v>
      </c>
      <c r="C1242">
        <v>2</v>
      </c>
      <c r="D1242">
        <v>2</v>
      </c>
      <c r="E1242">
        <v>5</v>
      </c>
      <c r="F1242">
        <v>1200</v>
      </c>
    </row>
    <row r="1243" spans="1:6" x14ac:dyDescent="0.25">
      <c r="A1243" t="s">
        <v>111</v>
      </c>
      <c r="B1243" t="s">
        <v>113</v>
      </c>
      <c r="C1243">
        <v>2</v>
      </c>
      <c r="D1243">
        <v>2</v>
      </c>
      <c r="E1243">
        <v>6</v>
      </c>
      <c r="F1243">
        <v>8717</v>
      </c>
    </row>
    <row r="1244" spans="1:6" x14ac:dyDescent="0.25">
      <c r="A1244" t="s">
        <v>114</v>
      </c>
      <c r="B1244" t="s">
        <v>116</v>
      </c>
      <c r="C1244">
        <v>0</v>
      </c>
      <c r="D1244">
        <v>0</v>
      </c>
      <c r="E1244">
        <v>1</v>
      </c>
      <c r="F1244">
        <v>1008299</v>
      </c>
    </row>
    <row r="1245" spans="1:6" x14ac:dyDescent="0.25">
      <c r="A1245" t="s">
        <v>114</v>
      </c>
      <c r="B1245" t="s">
        <v>116</v>
      </c>
      <c r="C1245">
        <v>0</v>
      </c>
      <c r="D1245">
        <v>0</v>
      </c>
      <c r="E1245">
        <v>2</v>
      </c>
      <c r="F1245">
        <v>7554</v>
      </c>
    </row>
    <row r="1246" spans="1:6" x14ac:dyDescent="0.25">
      <c r="A1246" t="s">
        <v>114</v>
      </c>
      <c r="B1246" t="s">
        <v>116</v>
      </c>
      <c r="C1246">
        <v>0</v>
      </c>
      <c r="D1246">
        <v>0</v>
      </c>
      <c r="E1246">
        <v>3</v>
      </c>
      <c r="F1246">
        <v>72778</v>
      </c>
    </row>
    <row r="1247" spans="1:6" x14ac:dyDescent="0.25">
      <c r="A1247" t="s">
        <v>114</v>
      </c>
      <c r="B1247" t="s">
        <v>116</v>
      </c>
      <c r="C1247">
        <v>0</v>
      </c>
      <c r="D1247">
        <v>0</v>
      </c>
      <c r="E1247">
        <v>4</v>
      </c>
      <c r="F1247">
        <v>11739</v>
      </c>
    </row>
    <row r="1248" spans="1:6" x14ac:dyDescent="0.25">
      <c r="A1248" t="s">
        <v>114</v>
      </c>
      <c r="B1248" t="s">
        <v>116</v>
      </c>
      <c r="C1248">
        <v>0</v>
      </c>
      <c r="D1248">
        <v>0</v>
      </c>
      <c r="E1248">
        <v>5</v>
      </c>
      <c r="F1248">
        <v>1159</v>
      </c>
    </row>
    <row r="1249" spans="1:6" x14ac:dyDescent="0.25">
      <c r="A1249" t="s">
        <v>114</v>
      </c>
      <c r="B1249" t="s">
        <v>116</v>
      </c>
      <c r="C1249">
        <v>0</v>
      </c>
      <c r="D1249">
        <v>0</v>
      </c>
      <c r="E1249">
        <v>6</v>
      </c>
      <c r="F1249">
        <v>35704</v>
      </c>
    </row>
    <row r="1250" spans="1:6" x14ac:dyDescent="0.25">
      <c r="A1250" t="s">
        <v>114</v>
      </c>
      <c r="B1250" t="s">
        <v>116</v>
      </c>
      <c r="C1250">
        <v>0</v>
      </c>
      <c r="D1250">
        <v>1</v>
      </c>
      <c r="E1250">
        <v>1</v>
      </c>
      <c r="F1250">
        <v>965539</v>
      </c>
    </row>
    <row r="1251" spans="1:6" x14ac:dyDescent="0.25">
      <c r="A1251" t="s">
        <v>114</v>
      </c>
      <c r="B1251" t="s">
        <v>116</v>
      </c>
      <c r="C1251">
        <v>0</v>
      </c>
      <c r="D1251">
        <v>1</v>
      </c>
      <c r="E1251">
        <v>2</v>
      </c>
      <c r="F1251">
        <v>6645</v>
      </c>
    </row>
    <row r="1252" spans="1:6" x14ac:dyDescent="0.25">
      <c r="A1252" t="s">
        <v>114</v>
      </c>
      <c r="B1252" t="s">
        <v>116</v>
      </c>
      <c r="C1252">
        <v>0</v>
      </c>
      <c r="D1252">
        <v>1</v>
      </c>
      <c r="E1252">
        <v>3</v>
      </c>
      <c r="F1252">
        <v>65711</v>
      </c>
    </row>
    <row r="1253" spans="1:6" x14ac:dyDescent="0.25">
      <c r="A1253" t="s">
        <v>114</v>
      </c>
      <c r="B1253" t="s">
        <v>116</v>
      </c>
      <c r="C1253">
        <v>0</v>
      </c>
      <c r="D1253">
        <v>1</v>
      </c>
      <c r="E1253">
        <v>4</v>
      </c>
      <c r="F1253">
        <v>11161</v>
      </c>
    </row>
    <row r="1254" spans="1:6" x14ac:dyDescent="0.25">
      <c r="A1254" t="s">
        <v>114</v>
      </c>
      <c r="B1254" t="s">
        <v>116</v>
      </c>
      <c r="C1254">
        <v>0</v>
      </c>
      <c r="D1254">
        <v>1</v>
      </c>
      <c r="E1254">
        <v>5</v>
      </c>
      <c r="F1254">
        <v>920</v>
      </c>
    </row>
    <row r="1255" spans="1:6" x14ac:dyDescent="0.25">
      <c r="A1255" t="s">
        <v>114</v>
      </c>
      <c r="B1255" t="s">
        <v>116</v>
      </c>
      <c r="C1255">
        <v>0</v>
      </c>
      <c r="D1255">
        <v>1</v>
      </c>
      <c r="E1255">
        <v>6</v>
      </c>
      <c r="F1255">
        <v>31301</v>
      </c>
    </row>
    <row r="1256" spans="1:6" x14ac:dyDescent="0.25">
      <c r="A1256" t="s">
        <v>114</v>
      </c>
      <c r="B1256" t="s">
        <v>116</v>
      </c>
      <c r="C1256">
        <v>0</v>
      </c>
      <c r="D1256">
        <v>2</v>
      </c>
      <c r="E1256">
        <v>1</v>
      </c>
      <c r="F1256">
        <v>42760</v>
      </c>
    </row>
    <row r="1257" spans="1:6" x14ac:dyDescent="0.25">
      <c r="A1257" t="s">
        <v>114</v>
      </c>
      <c r="B1257" t="s">
        <v>116</v>
      </c>
      <c r="C1257">
        <v>0</v>
      </c>
      <c r="D1257">
        <v>2</v>
      </c>
      <c r="E1257">
        <v>2</v>
      </c>
      <c r="F1257">
        <v>909</v>
      </c>
    </row>
    <row r="1258" spans="1:6" x14ac:dyDescent="0.25">
      <c r="A1258" t="s">
        <v>114</v>
      </c>
      <c r="B1258" t="s">
        <v>116</v>
      </c>
      <c r="C1258">
        <v>0</v>
      </c>
      <c r="D1258">
        <v>2</v>
      </c>
      <c r="E1258">
        <v>3</v>
      </c>
      <c r="F1258">
        <v>7067</v>
      </c>
    </row>
    <row r="1259" spans="1:6" x14ac:dyDescent="0.25">
      <c r="A1259" t="s">
        <v>114</v>
      </c>
      <c r="B1259" t="s">
        <v>116</v>
      </c>
      <c r="C1259">
        <v>0</v>
      </c>
      <c r="D1259">
        <v>2</v>
      </c>
      <c r="E1259">
        <v>4</v>
      </c>
      <c r="F1259">
        <v>578</v>
      </c>
    </row>
    <row r="1260" spans="1:6" x14ac:dyDescent="0.25">
      <c r="A1260" t="s">
        <v>114</v>
      </c>
      <c r="B1260" t="s">
        <v>116</v>
      </c>
      <c r="C1260">
        <v>0</v>
      </c>
      <c r="D1260">
        <v>2</v>
      </c>
      <c r="E1260">
        <v>5</v>
      </c>
      <c r="F1260">
        <v>239</v>
      </c>
    </row>
    <row r="1261" spans="1:6" x14ac:dyDescent="0.25">
      <c r="A1261" t="s">
        <v>114</v>
      </c>
      <c r="B1261" t="s">
        <v>116</v>
      </c>
      <c r="C1261">
        <v>0</v>
      </c>
      <c r="D1261">
        <v>2</v>
      </c>
      <c r="E1261">
        <v>6</v>
      </c>
      <c r="F1261">
        <v>4403</v>
      </c>
    </row>
    <row r="1262" spans="1:6" x14ac:dyDescent="0.25">
      <c r="A1262" t="s">
        <v>114</v>
      </c>
      <c r="B1262" t="s">
        <v>116</v>
      </c>
      <c r="C1262">
        <v>1</v>
      </c>
      <c r="D1262">
        <v>0</v>
      </c>
      <c r="E1262">
        <v>1</v>
      </c>
      <c r="F1262">
        <v>512015</v>
      </c>
    </row>
    <row r="1263" spans="1:6" x14ac:dyDescent="0.25">
      <c r="A1263" t="s">
        <v>114</v>
      </c>
      <c r="B1263" t="s">
        <v>116</v>
      </c>
      <c r="C1263">
        <v>1</v>
      </c>
      <c r="D1263">
        <v>0</v>
      </c>
      <c r="E1263">
        <v>2</v>
      </c>
      <c r="F1263">
        <v>4461</v>
      </c>
    </row>
    <row r="1264" spans="1:6" x14ac:dyDescent="0.25">
      <c r="A1264" t="s">
        <v>114</v>
      </c>
      <c r="B1264" t="s">
        <v>116</v>
      </c>
      <c r="C1264">
        <v>1</v>
      </c>
      <c r="D1264">
        <v>0</v>
      </c>
      <c r="E1264">
        <v>3</v>
      </c>
      <c r="F1264">
        <v>36290</v>
      </c>
    </row>
    <row r="1265" spans="1:6" x14ac:dyDescent="0.25">
      <c r="A1265" t="s">
        <v>114</v>
      </c>
      <c r="B1265" t="s">
        <v>116</v>
      </c>
      <c r="C1265">
        <v>1</v>
      </c>
      <c r="D1265">
        <v>0</v>
      </c>
      <c r="E1265">
        <v>4</v>
      </c>
      <c r="F1265">
        <v>4821</v>
      </c>
    </row>
    <row r="1266" spans="1:6" x14ac:dyDescent="0.25">
      <c r="A1266" t="s">
        <v>114</v>
      </c>
      <c r="B1266" t="s">
        <v>116</v>
      </c>
      <c r="C1266">
        <v>1</v>
      </c>
      <c r="D1266">
        <v>0</v>
      </c>
      <c r="E1266">
        <v>5</v>
      </c>
      <c r="F1266">
        <v>592</v>
      </c>
    </row>
    <row r="1267" spans="1:6" x14ac:dyDescent="0.25">
      <c r="A1267" t="s">
        <v>114</v>
      </c>
      <c r="B1267" t="s">
        <v>116</v>
      </c>
      <c r="C1267">
        <v>1</v>
      </c>
      <c r="D1267">
        <v>0</v>
      </c>
      <c r="E1267">
        <v>6</v>
      </c>
      <c r="F1267">
        <v>18041</v>
      </c>
    </row>
    <row r="1268" spans="1:6" x14ac:dyDescent="0.25">
      <c r="A1268" t="s">
        <v>114</v>
      </c>
      <c r="B1268" t="s">
        <v>116</v>
      </c>
      <c r="C1268">
        <v>1</v>
      </c>
      <c r="D1268">
        <v>1</v>
      </c>
      <c r="E1268">
        <v>1</v>
      </c>
      <c r="F1268">
        <v>489835</v>
      </c>
    </row>
    <row r="1269" spans="1:6" x14ac:dyDescent="0.25">
      <c r="A1269" t="s">
        <v>114</v>
      </c>
      <c r="B1269" t="s">
        <v>116</v>
      </c>
      <c r="C1269">
        <v>1</v>
      </c>
      <c r="D1269">
        <v>1</v>
      </c>
      <c r="E1269">
        <v>2</v>
      </c>
      <c r="F1269">
        <v>3997</v>
      </c>
    </row>
    <row r="1270" spans="1:6" x14ac:dyDescent="0.25">
      <c r="A1270" t="s">
        <v>114</v>
      </c>
      <c r="B1270" t="s">
        <v>116</v>
      </c>
      <c r="C1270">
        <v>1</v>
      </c>
      <c r="D1270">
        <v>1</v>
      </c>
      <c r="E1270">
        <v>3</v>
      </c>
      <c r="F1270">
        <v>32675</v>
      </c>
    </row>
    <row r="1271" spans="1:6" x14ac:dyDescent="0.25">
      <c r="A1271" t="s">
        <v>114</v>
      </c>
      <c r="B1271" t="s">
        <v>116</v>
      </c>
      <c r="C1271">
        <v>1</v>
      </c>
      <c r="D1271">
        <v>1</v>
      </c>
      <c r="E1271">
        <v>4</v>
      </c>
      <c r="F1271">
        <v>4534</v>
      </c>
    </row>
    <row r="1272" spans="1:6" x14ac:dyDescent="0.25">
      <c r="A1272" t="s">
        <v>114</v>
      </c>
      <c r="B1272" t="s">
        <v>116</v>
      </c>
      <c r="C1272">
        <v>1</v>
      </c>
      <c r="D1272">
        <v>1</v>
      </c>
      <c r="E1272">
        <v>5</v>
      </c>
      <c r="F1272">
        <v>464</v>
      </c>
    </row>
    <row r="1273" spans="1:6" x14ac:dyDescent="0.25">
      <c r="A1273" t="s">
        <v>114</v>
      </c>
      <c r="B1273" t="s">
        <v>116</v>
      </c>
      <c r="C1273">
        <v>1</v>
      </c>
      <c r="D1273">
        <v>1</v>
      </c>
      <c r="E1273">
        <v>6</v>
      </c>
      <c r="F1273">
        <v>15796</v>
      </c>
    </row>
    <row r="1274" spans="1:6" x14ac:dyDescent="0.25">
      <c r="A1274" t="s">
        <v>114</v>
      </c>
      <c r="B1274" t="s">
        <v>116</v>
      </c>
      <c r="C1274">
        <v>1</v>
      </c>
      <c r="D1274">
        <v>2</v>
      </c>
      <c r="E1274">
        <v>1</v>
      </c>
      <c r="F1274">
        <v>22180</v>
      </c>
    </row>
    <row r="1275" spans="1:6" x14ac:dyDescent="0.25">
      <c r="A1275" t="s">
        <v>114</v>
      </c>
      <c r="B1275" t="s">
        <v>116</v>
      </c>
      <c r="C1275">
        <v>1</v>
      </c>
      <c r="D1275">
        <v>2</v>
      </c>
      <c r="E1275">
        <v>2</v>
      </c>
      <c r="F1275">
        <v>464</v>
      </c>
    </row>
    <row r="1276" spans="1:6" x14ac:dyDescent="0.25">
      <c r="A1276" t="s">
        <v>114</v>
      </c>
      <c r="B1276" t="s">
        <v>116</v>
      </c>
      <c r="C1276">
        <v>1</v>
      </c>
      <c r="D1276">
        <v>2</v>
      </c>
      <c r="E1276">
        <v>3</v>
      </c>
      <c r="F1276">
        <v>3615</v>
      </c>
    </row>
    <row r="1277" spans="1:6" x14ac:dyDescent="0.25">
      <c r="A1277" t="s">
        <v>114</v>
      </c>
      <c r="B1277" t="s">
        <v>116</v>
      </c>
      <c r="C1277">
        <v>1</v>
      </c>
      <c r="D1277">
        <v>2</v>
      </c>
      <c r="E1277">
        <v>4</v>
      </c>
      <c r="F1277">
        <v>287</v>
      </c>
    </row>
    <row r="1278" spans="1:6" x14ac:dyDescent="0.25">
      <c r="A1278" t="s">
        <v>114</v>
      </c>
      <c r="B1278" t="s">
        <v>116</v>
      </c>
      <c r="C1278">
        <v>1</v>
      </c>
      <c r="D1278">
        <v>2</v>
      </c>
      <c r="E1278">
        <v>5</v>
      </c>
      <c r="F1278">
        <v>128</v>
      </c>
    </row>
    <row r="1279" spans="1:6" x14ac:dyDescent="0.25">
      <c r="A1279" t="s">
        <v>114</v>
      </c>
      <c r="B1279" t="s">
        <v>116</v>
      </c>
      <c r="C1279">
        <v>1</v>
      </c>
      <c r="D1279">
        <v>2</v>
      </c>
      <c r="E1279">
        <v>6</v>
      </c>
      <c r="F1279">
        <v>2245</v>
      </c>
    </row>
    <row r="1280" spans="1:6" x14ac:dyDescent="0.25">
      <c r="A1280" t="s">
        <v>114</v>
      </c>
      <c r="B1280" t="s">
        <v>116</v>
      </c>
      <c r="C1280">
        <v>2</v>
      </c>
      <c r="D1280">
        <v>0</v>
      </c>
      <c r="E1280">
        <v>1</v>
      </c>
      <c r="F1280">
        <v>496284</v>
      </c>
    </row>
    <row r="1281" spans="1:6" x14ac:dyDescent="0.25">
      <c r="A1281" t="s">
        <v>114</v>
      </c>
      <c r="B1281" t="s">
        <v>116</v>
      </c>
      <c r="C1281">
        <v>2</v>
      </c>
      <c r="D1281">
        <v>0</v>
      </c>
      <c r="E1281">
        <v>2</v>
      </c>
      <c r="F1281">
        <v>3093</v>
      </c>
    </row>
    <row r="1282" spans="1:6" x14ac:dyDescent="0.25">
      <c r="A1282" t="s">
        <v>114</v>
      </c>
      <c r="B1282" t="s">
        <v>116</v>
      </c>
      <c r="C1282">
        <v>2</v>
      </c>
      <c r="D1282">
        <v>0</v>
      </c>
      <c r="E1282">
        <v>3</v>
      </c>
      <c r="F1282">
        <v>36488</v>
      </c>
    </row>
    <row r="1283" spans="1:6" x14ac:dyDescent="0.25">
      <c r="A1283" t="s">
        <v>114</v>
      </c>
      <c r="B1283" t="s">
        <v>116</v>
      </c>
      <c r="C1283">
        <v>2</v>
      </c>
      <c r="D1283">
        <v>0</v>
      </c>
      <c r="E1283">
        <v>4</v>
      </c>
      <c r="F1283">
        <v>6918</v>
      </c>
    </row>
    <row r="1284" spans="1:6" x14ac:dyDescent="0.25">
      <c r="A1284" t="s">
        <v>114</v>
      </c>
      <c r="B1284" t="s">
        <v>116</v>
      </c>
      <c r="C1284">
        <v>2</v>
      </c>
      <c r="D1284">
        <v>0</v>
      </c>
      <c r="E1284">
        <v>5</v>
      </c>
      <c r="F1284">
        <v>567</v>
      </c>
    </row>
    <row r="1285" spans="1:6" x14ac:dyDescent="0.25">
      <c r="A1285" t="s">
        <v>114</v>
      </c>
      <c r="B1285" t="s">
        <v>116</v>
      </c>
      <c r="C1285">
        <v>2</v>
      </c>
      <c r="D1285">
        <v>0</v>
      </c>
      <c r="E1285">
        <v>6</v>
      </c>
      <c r="F1285">
        <v>17663</v>
      </c>
    </row>
    <row r="1286" spans="1:6" x14ac:dyDescent="0.25">
      <c r="A1286" t="s">
        <v>114</v>
      </c>
      <c r="B1286" t="s">
        <v>116</v>
      </c>
      <c r="C1286">
        <v>2</v>
      </c>
      <c r="D1286">
        <v>1</v>
      </c>
      <c r="E1286">
        <v>1</v>
      </c>
      <c r="F1286">
        <v>475704</v>
      </c>
    </row>
    <row r="1287" spans="1:6" x14ac:dyDescent="0.25">
      <c r="A1287" t="s">
        <v>114</v>
      </c>
      <c r="B1287" t="s">
        <v>116</v>
      </c>
      <c r="C1287">
        <v>2</v>
      </c>
      <c r="D1287">
        <v>1</v>
      </c>
      <c r="E1287">
        <v>2</v>
      </c>
      <c r="F1287">
        <v>2648</v>
      </c>
    </row>
    <row r="1288" spans="1:6" x14ac:dyDescent="0.25">
      <c r="A1288" t="s">
        <v>114</v>
      </c>
      <c r="B1288" t="s">
        <v>116</v>
      </c>
      <c r="C1288">
        <v>2</v>
      </c>
      <c r="D1288">
        <v>1</v>
      </c>
      <c r="E1288">
        <v>3</v>
      </c>
      <c r="F1288">
        <v>33036</v>
      </c>
    </row>
    <row r="1289" spans="1:6" x14ac:dyDescent="0.25">
      <c r="A1289" t="s">
        <v>114</v>
      </c>
      <c r="B1289" t="s">
        <v>116</v>
      </c>
      <c r="C1289">
        <v>2</v>
      </c>
      <c r="D1289">
        <v>1</v>
      </c>
      <c r="E1289">
        <v>4</v>
      </c>
      <c r="F1289">
        <v>6627</v>
      </c>
    </row>
    <row r="1290" spans="1:6" x14ac:dyDescent="0.25">
      <c r="A1290" t="s">
        <v>114</v>
      </c>
      <c r="B1290" t="s">
        <v>116</v>
      </c>
      <c r="C1290">
        <v>2</v>
      </c>
      <c r="D1290">
        <v>1</v>
      </c>
      <c r="E1290">
        <v>5</v>
      </c>
      <c r="F1290">
        <v>456</v>
      </c>
    </row>
    <row r="1291" spans="1:6" x14ac:dyDescent="0.25">
      <c r="A1291" t="s">
        <v>114</v>
      </c>
      <c r="B1291" t="s">
        <v>116</v>
      </c>
      <c r="C1291">
        <v>2</v>
      </c>
      <c r="D1291">
        <v>1</v>
      </c>
      <c r="E1291">
        <v>6</v>
      </c>
      <c r="F1291">
        <v>15505</v>
      </c>
    </row>
    <row r="1292" spans="1:6" x14ac:dyDescent="0.25">
      <c r="A1292" t="s">
        <v>114</v>
      </c>
      <c r="B1292" t="s">
        <v>116</v>
      </c>
      <c r="C1292">
        <v>2</v>
      </c>
      <c r="D1292">
        <v>2</v>
      </c>
      <c r="E1292">
        <v>1</v>
      </c>
      <c r="F1292">
        <v>20580</v>
      </c>
    </row>
    <row r="1293" spans="1:6" x14ac:dyDescent="0.25">
      <c r="A1293" t="s">
        <v>114</v>
      </c>
      <c r="B1293" t="s">
        <v>116</v>
      </c>
      <c r="C1293">
        <v>2</v>
      </c>
      <c r="D1293">
        <v>2</v>
      </c>
      <c r="E1293">
        <v>2</v>
      </c>
      <c r="F1293">
        <v>445</v>
      </c>
    </row>
    <row r="1294" spans="1:6" x14ac:dyDescent="0.25">
      <c r="A1294" t="s">
        <v>114</v>
      </c>
      <c r="B1294" t="s">
        <v>116</v>
      </c>
      <c r="C1294">
        <v>2</v>
      </c>
      <c r="D1294">
        <v>2</v>
      </c>
      <c r="E1294">
        <v>3</v>
      </c>
      <c r="F1294">
        <v>3452</v>
      </c>
    </row>
    <row r="1295" spans="1:6" x14ac:dyDescent="0.25">
      <c r="A1295" t="s">
        <v>114</v>
      </c>
      <c r="B1295" t="s">
        <v>116</v>
      </c>
      <c r="C1295">
        <v>2</v>
      </c>
      <c r="D1295">
        <v>2</v>
      </c>
      <c r="E1295">
        <v>4</v>
      </c>
      <c r="F1295">
        <v>291</v>
      </c>
    </row>
    <row r="1296" spans="1:6" x14ac:dyDescent="0.25">
      <c r="A1296" t="s">
        <v>114</v>
      </c>
      <c r="B1296" t="s">
        <v>116</v>
      </c>
      <c r="C1296">
        <v>2</v>
      </c>
      <c r="D1296">
        <v>2</v>
      </c>
      <c r="E1296">
        <v>5</v>
      </c>
      <c r="F1296">
        <v>111</v>
      </c>
    </row>
    <row r="1297" spans="1:6" x14ac:dyDescent="0.25">
      <c r="A1297" t="s">
        <v>114</v>
      </c>
      <c r="B1297" t="s">
        <v>116</v>
      </c>
      <c r="C1297">
        <v>2</v>
      </c>
      <c r="D1297">
        <v>2</v>
      </c>
      <c r="E1297">
        <v>6</v>
      </c>
      <c r="F1297">
        <v>2158</v>
      </c>
    </row>
    <row r="1298" spans="1:6" x14ac:dyDescent="0.25">
      <c r="A1298" t="s">
        <v>117</v>
      </c>
      <c r="B1298" t="s">
        <v>119</v>
      </c>
      <c r="C1298">
        <v>0</v>
      </c>
      <c r="D1298">
        <v>0</v>
      </c>
      <c r="E1298">
        <v>1</v>
      </c>
      <c r="F1298">
        <v>1735119</v>
      </c>
    </row>
    <row r="1299" spans="1:6" x14ac:dyDescent="0.25">
      <c r="A1299" t="s">
        <v>117</v>
      </c>
      <c r="B1299" t="s">
        <v>119</v>
      </c>
      <c r="C1299">
        <v>0</v>
      </c>
      <c r="D1299">
        <v>0</v>
      </c>
      <c r="E1299">
        <v>2</v>
      </c>
      <c r="F1299">
        <v>114430</v>
      </c>
    </row>
    <row r="1300" spans="1:6" x14ac:dyDescent="0.25">
      <c r="A1300" t="s">
        <v>117</v>
      </c>
      <c r="B1300" t="s">
        <v>119</v>
      </c>
      <c r="C1300">
        <v>0</v>
      </c>
      <c r="D1300">
        <v>0</v>
      </c>
      <c r="E1300">
        <v>3</v>
      </c>
      <c r="F1300">
        <v>36090</v>
      </c>
    </row>
    <row r="1301" spans="1:6" x14ac:dyDescent="0.25">
      <c r="A1301" t="s">
        <v>117</v>
      </c>
      <c r="B1301" t="s">
        <v>119</v>
      </c>
      <c r="C1301">
        <v>0</v>
      </c>
      <c r="D1301">
        <v>0</v>
      </c>
      <c r="E1301">
        <v>4</v>
      </c>
      <c r="F1301">
        <v>62273</v>
      </c>
    </row>
    <row r="1302" spans="1:6" x14ac:dyDescent="0.25">
      <c r="A1302" t="s">
        <v>117</v>
      </c>
      <c r="B1302" t="s">
        <v>119</v>
      </c>
      <c r="C1302">
        <v>0</v>
      </c>
      <c r="D1302">
        <v>0</v>
      </c>
      <c r="E1302">
        <v>5</v>
      </c>
      <c r="F1302">
        <v>3037</v>
      </c>
    </row>
    <row r="1303" spans="1:6" x14ac:dyDescent="0.25">
      <c r="A1303" t="s">
        <v>117</v>
      </c>
      <c r="B1303" t="s">
        <v>119</v>
      </c>
      <c r="C1303">
        <v>0</v>
      </c>
      <c r="D1303">
        <v>0</v>
      </c>
      <c r="E1303">
        <v>6</v>
      </c>
      <c r="F1303">
        <v>54516</v>
      </c>
    </row>
    <row r="1304" spans="1:6" x14ac:dyDescent="0.25">
      <c r="A1304" t="s">
        <v>117</v>
      </c>
      <c r="B1304" t="s">
        <v>119</v>
      </c>
      <c r="C1304">
        <v>0</v>
      </c>
      <c r="D1304">
        <v>1</v>
      </c>
      <c r="E1304">
        <v>1</v>
      </c>
      <c r="F1304">
        <v>1505200</v>
      </c>
    </row>
    <row r="1305" spans="1:6" x14ac:dyDescent="0.25">
      <c r="A1305" t="s">
        <v>117</v>
      </c>
      <c r="B1305" t="s">
        <v>119</v>
      </c>
      <c r="C1305">
        <v>0</v>
      </c>
      <c r="D1305">
        <v>1</v>
      </c>
      <c r="E1305">
        <v>2</v>
      </c>
      <c r="F1305">
        <v>104417</v>
      </c>
    </row>
    <row r="1306" spans="1:6" x14ac:dyDescent="0.25">
      <c r="A1306" t="s">
        <v>117</v>
      </c>
      <c r="B1306" t="s">
        <v>119</v>
      </c>
      <c r="C1306">
        <v>0</v>
      </c>
      <c r="D1306">
        <v>1</v>
      </c>
      <c r="E1306">
        <v>3</v>
      </c>
      <c r="F1306">
        <v>16228</v>
      </c>
    </row>
    <row r="1307" spans="1:6" x14ac:dyDescent="0.25">
      <c r="A1307" t="s">
        <v>117</v>
      </c>
      <c r="B1307" t="s">
        <v>119</v>
      </c>
      <c r="C1307">
        <v>0</v>
      </c>
      <c r="D1307">
        <v>1</v>
      </c>
      <c r="E1307">
        <v>4</v>
      </c>
      <c r="F1307">
        <v>60294</v>
      </c>
    </row>
    <row r="1308" spans="1:6" x14ac:dyDescent="0.25">
      <c r="A1308" t="s">
        <v>117</v>
      </c>
      <c r="B1308" t="s">
        <v>119</v>
      </c>
      <c r="C1308">
        <v>0</v>
      </c>
      <c r="D1308">
        <v>1</v>
      </c>
      <c r="E1308">
        <v>5</v>
      </c>
      <c r="F1308">
        <v>1593</v>
      </c>
    </row>
    <row r="1309" spans="1:6" x14ac:dyDescent="0.25">
      <c r="A1309" t="s">
        <v>117</v>
      </c>
      <c r="B1309" t="s">
        <v>119</v>
      </c>
      <c r="C1309">
        <v>0</v>
      </c>
      <c r="D1309">
        <v>1</v>
      </c>
      <c r="E1309">
        <v>6</v>
      </c>
      <c r="F1309">
        <v>45478</v>
      </c>
    </row>
    <row r="1310" spans="1:6" x14ac:dyDescent="0.25">
      <c r="A1310" t="s">
        <v>117</v>
      </c>
      <c r="B1310" t="s">
        <v>119</v>
      </c>
      <c r="C1310">
        <v>0</v>
      </c>
      <c r="D1310">
        <v>2</v>
      </c>
      <c r="E1310">
        <v>1</v>
      </c>
      <c r="F1310">
        <v>229919</v>
      </c>
    </row>
    <row r="1311" spans="1:6" x14ac:dyDescent="0.25">
      <c r="A1311" t="s">
        <v>117</v>
      </c>
      <c r="B1311" t="s">
        <v>119</v>
      </c>
      <c r="C1311">
        <v>0</v>
      </c>
      <c r="D1311">
        <v>2</v>
      </c>
      <c r="E1311">
        <v>2</v>
      </c>
      <c r="F1311">
        <v>10013</v>
      </c>
    </row>
    <row r="1312" spans="1:6" x14ac:dyDescent="0.25">
      <c r="A1312" t="s">
        <v>117</v>
      </c>
      <c r="B1312" t="s">
        <v>119</v>
      </c>
      <c r="C1312">
        <v>0</v>
      </c>
      <c r="D1312">
        <v>2</v>
      </c>
      <c r="E1312">
        <v>3</v>
      </c>
      <c r="F1312">
        <v>19862</v>
      </c>
    </row>
    <row r="1313" spans="1:6" x14ac:dyDescent="0.25">
      <c r="A1313" t="s">
        <v>117</v>
      </c>
      <c r="B1313" t="s">
        <v>119</v>
      </c>
      <c r="C1313">
        <v>0</v>
      </c>
      <c r="D1313">
        <v>2</v>
      </c>
      <c r="E1313">
        <v>4</v>
      </c>
      <c r="F1313">
        <v>1979</v>
      </c>
    </row>
    <row r="1314" spans="1:6" x14ac:dyDescent="0.25">
      <c r="A1314" t="s">
        <v>117</v>
      </c>
      <c r="B1314" t="s">
        <v>119</v>
      </c>
      <c r="C1314">
        <v>0</v>
      </c>
      <c r="D1314">
        <v>2</v>
      </c>
      <c r="E1314">
        <v>5</v>
      </c>
      <c r="F1314">
        <v>1444</v>
      </c>
    </row>
    <row r="1315" spans="1:6" x14ac:dyDescent="0.25">
      <c r="A1315" t="s">
        <v>117</v>
      </c>
      <c r="B1315" t="s">
        <v>119</v>
      </c>
      <c r="C1315">
        <v>0</v>
      </c>
      <c r="D1315">
        <v>2</v>
      </c>
      <c r="E1315">
        <v>6</v>
      </c>
      <c r="F1315">
        <v>9038</v>
      </c>
    </row>
    <row r="1316" spans="1:6" x14ac:dyDescent="0.25">
      <c r="A1316" t="s">
        <v>117</v>
      </c>
      <c r="B1316" t="s">
        <v>119</v>
      </c>
      <c r="C1316">
        <v>1</v>
      </c>
      <c r="D1316">
        <v>0</v>
      </c>
      <c r="E1316">
        <v>1</v>
      </c>
      <c r="F1316">
        <v>871442</v>
      </c>
    </row>
    <row r="1317" spans="1:6" x14ac:dyDescent="0.25">
      <c r="A1317" t="s">
        <v>117</v>
      </c>
      <c r="B1317" t="s">
        <v>119</v>
      </c>
      <c r="C1317">
        <v>1</v>
      </c>
      <c r="D1317">
        <v>0</v>
      </c>
      <c r="E1317">
        <v>2</v>
      </c>
      <c r="F1317">
        <v>59154</v>
      </c>
    </row>
    <row r="1318" spans="1:6" x14ac:dyDescent="0.25">
      <c r="A1318" t="s">
        <v>117</v>
      </c>
      <c r="B1318" t="s">
        <v>119</v>
      </c>
      <c r="C1318">
        <v>1</v>
      </c>
      <c r="D1318">
        <v>0</v>
      </c>
      <c r="E1318">
        <v>3</v>
      </c>
      <c r="F1318">
        <v>18346</v>
      </c>
    </row>
    <row r="1319" spans="1:6" x14ac:dyDescent="0.25">
      <c r="A1319" t="s">
        <v>117</v>
      </c>
      <c r="B1319" t="s">
        <v>119</v>
      </c>
      <c r="C1319">
        <v>1</v>
      </c>
      <c r="D1319">
        <v>0</v>
      </c>
      <c r="E1319">
        <v>4</v>
      </c>
      <c r="F1319">
        <v>30782</v>
      </c>
    </row>
    <row r="1320" spans="1:6" x14ac:dyDescent="0.25">
      <c r="A1320" t="s">
        <v>117</v>
      </c>
      <c r="B1320" t="s">
        <v>119</v>
      </c>
      <c r="C1320">
        <v>1</v>
      </c>
      <c r="D1320">
        <v>0</v>
      </c>
      <c r="E1320">
        <v>5</v>
      </c>
      <c r="F1320">
        <v>1615</v>
      </c>
    </row>
    <row r="1321" spans="1:6" x14ac:dyDescent="0.25">
      <c r="A1321" t="s">
        <v>117</v>
      </c>
      <c r="B1321" t="s">
        <v>119</v>
      </c>
      <c r="C1321">
        <v>1</v>
      </c>
      <c r="D1321">
        <v>0</v>
      </c>
      <c r="E1321">
        <v>6</v>
      </c>
      <c r="F1321">
        <v>27301</v>
      </c>
    </row>
    <row r="1322" spans="1:6" x14ac:dyDescent="0.25">
      <c r="A1322" t="s">
        <v>117</v>
      </c>
      <c r="B1322" t="s">
        <v>119</v>
      </c>
      <c r="C1322">
        <v>1</v>
      </c>
      <c r="D1322">
        <v>1</v>
      </c>
      <c r="E1322">
        <v>1</v>
      </c>
      <c r="F1322">
        <v>751588</v>
      </c>
    </row>
    <row r="1323" spans="1:6" x14ac:dyDescent="0.25">
      <c r="A1323" t="s">
        <v>117</v>
      </c>
      <c r="B1323" t="s">
        <v>119</v>
      </c>
      <c r="C1323">
        <v>1</v>
      </c>
      <c r="D1323">
        <v>1</v>
      </c>
      <c r="E1323">
        <v>2</v>
      </c>
      <c r="F1323">
        <v>53914</v>
      </c>
    </row>
    <row r="1324" spans="1:6" x14ac:dyDescent="0.25">
      <c r="A1324" t="s">
        <v>117</v>
      </c>
      <c r="B1324" t="s">
        <v>119</v>
      </c>
      <c r="C1324">
        <v>1</v>
      </c>
      <c r="D1324">
        <v>1</v>
      </c>
      <c r="E1324">
        <v>3</v>
      </c>
      <c r="F1324">
        <v>7892</v>
      </c>
    </row>
    <row r="1325" spans="1:6" x14ac:dyDescent="0.25">
      <c r="A1325" t="s">
        <v>117</v>
      </c>
      <c r="B1325" t="s">
        <v>119</v>
      </c>
      <c r="C1325">
        <v>1</v>
      </c>
      <c r="D1325">
        <v>1</v>
      </c>
      <c r="E1325">
        <v>4</v>
      </c>
      <c r="F1325">
        <v>29756</v>
      </c>
    </row>
    <row r="1326" spans="1:6" x14ac:dyDescent="0.25">
      <c r="A1326" t="s">
        <v>117</v>
      </c>
      <c r="B1326" t="s">
        <v>119</v>
      </c>
      <c r="C1326">
        <v>1</v>
      </c>
      <c r="D1326">
        <v>1</v>
      </c>
      <c r="E1326">
        <v>5</v>
      </c>
      <c r="F1326">
        <v>834</v>
      </c>
    </row>
    <row r="1327" spans="1:6" x14ac:dyDescent="0.25">
      <c r="A1327" t="s">
        <v>117</v>
      </c>
      <c r="B1327" t="s">
        <v>119</v>
      </c>
      <c r="C1327">
        <v>1</v>
      </c>
      <c r="D1327">
        <v>1</v>
      </c>
      <c r="E1327">
        <v>6</v>
      </c>
      <c r="F1327">
        <v>22775</v>
      </c>
    </row>
    <row r="1328" spans="1:6" x14ac:dyDescent="0.25">
      <c r="A1328" t="s">
        <v>117</v>
      </c>
      <c r="B1328" t="s">
        <v>119</v>
      </c>
      <c r="C1328">
        <v>1</v>
      </c>
      <c r="D1328">
        <v>2</v>
      </c>
      <c r="E1328">
        <v>1</v>
      </c>
      <c r="F1328">
        <v>119854</v>
      </c>
    </row>
    <row r="1329" spans="1:6" x14ac:dyDescent="0.25">
      <c r="A1329" t="s">
        <v>117</v>
      </c>
      <c r="B1329" t="s">
        <v>119</v>
      </c>
      <c r="C1329">
        <v>1</v>
      </c>
      <c r="D1329">
        <v>2</v>
      </c>
      <c r="E1329">
        <v>2</v>
      </c>
      <c r="F1329">
        <v>5240</v>
      </c>
    </row>
    <row r="1330" spans="1:6" x14ac:dyDescent="0.25">
      <c r="A1330" t="s">
        <v>117</v>
      </c>
      <c r="B1330" t="s">
        <v>119</v>
      </c>
      <c r="C1330">
        <v>1</v>
      </c>
      <c r="D1330">
        <v>2</v>
      </c>
      <c r="E1330">
        <v>3</v>
      </c>
      <c r="F1330">
        <v>10454</v>
      </c>
    </row>
    <row r="1331" spans="1:6" x14ac:dyDescent="0.25">
      <c r="A1331" t="s">
        <v>117</v>
      </c>
      <c r="B1331" t="s">
        <v>119</v>
      </c>
      <c r="C1331">
        <v>1</v>
      </c>
      <c r="D1331">
        <v>2</v>
      </c>
      <c r="E1331">
        <v>4</v>
      </c>
      <c r="F1331">
        <v>1026</v>
      </c>
    </row>
    <row r="1332" spans="1:6" x14ac:dyDescent="0.25">
      <c r="A1332" t="s">
        <v>117</v>
      </c>
      <c r="B1332" t="s">
        <v>119</v>
      </c>
      <c r="C1332">
        <v>1</v>
      </c>
      <c r="D1332">
        <v>2</v>
      </c>
      <c r="E1332">
        <v>5</v>
      </c>
      <c r="F1332">
        <v>781</v>
      </c>
    </row>
    <row r="1333" spans="1:6" x14ac:dyDescent="0.25">
      <c r="A1333" t="s">
        <v>117</v>
      </c>
      <c r="B1333" t="s">
        <v>119</v>
      </c>
      <c r="C1333">
        <v>1</v>
      </c>
      <c r="D1333">
        <v>2</v>
      </c>
      <c r="E1333">
        <v>6</v>
      </c>
      <c r="F1333">
        <v>4526</v>
      </c>
    </row>
    <row r="1334" spans="1:6" x14ac:dyDescent="0.25">
      <c r="A1334" t="s">
        <v>117</v>
      </c>
      <c r="B1334" t="s">
        <v>119</v>
      </c>
      <c r="C1334">
        <v>2</v>
      </c>
      <c r="D1334">
        <v>0</v>
      </c>
      <c r="E1334">
        <v>1</v>
      </c>
      <c r="F1334">
        <v>863677</v>
      </c>
    </row>
    <row r="1335" spans="1:6" x14ac:dyDescent="0.25">
      <c r="A1335" t="s">
        <v>117</v>
      </c>
      <c r="B1335" t="s">
        <v>119</v>
      </c>
      <c r="C1335">
        <v>2</v>
      </c>
      <c r="D1335">
        <v>0</v>
      </c>
      <c r="E1335">
        <v>2</v>
      </c>
      <c r="F1335">
        <v>55276</v>
      </c>
    </row>
    <row r="1336" spans="1:6" x14ac:dyDescent="0.25">
      <c r="A1336" t="s">
        <v>117</v>
      </c>
      <c r="B1336" t="s">
        <v>119</v>
      </c>
      <c r="C1336">
        <v>2</v>
      </c>
      <c r="D1336">
        <v>0</v>
      </c>
      <c r="E1336">
        <v>3</v>
      </c>
      <c r="F1336">
        <v>17744</v>
      </c>
    </row>
    <row r="1337" spans="1:6" x14ac:dyDescent="0.25">
      <c r="A1337" t="s">
        <v>117</v>
      </c>
      <c r="B1337" t="s">
        <v>119</v>
      </c>
      <c r="C1337">
        <v>2</v>
      </c>
      <c r="D1337">
        <v>0</v>
      </c>
      <c r="E1337">
        <v>4</v>
      </c>
      <c r="F1337">
        <v>31491</v>
      </c>
    </row>
    <row r="1338" spans="1:6" x14ac:dyDescent="0.25">
      <c r="A1338" t="s">
        <v>117</v>
      </c>
      <c r="B1338" t="s">
        <v>119</v>
      </c>
      <c r="C1338">
        <v>2</v>
      </c>
      <c r="D1338">
        <v>0</v>
      </c>
      <c r="E1338">
        <v>5</v>
      </c>
      <c r="F1338">
        <v>1422</v>
      </c>
    </row>
    <row r="1339" spans="1:6" x14ac:dyDescent="0.25">
      <c r="A1339" t="s">
        <v>117</v>
      </c>
      <c r="B1339" t="s">
        <v>119</v>
      </c>
      <c r="C1339">
        <v>2</v>
      </c>
      <c r="D1339">
        <v>0</v>
      </c>
      <c r="E1339">
        <v>6</v>
      </c>
      <c r="F1339">
        <v>27215</v>
      </c>
    </row>
    <row r="1340" spans="1:6" x14ac:dyDescent="0.25">
      <c r="A1340" t="s">
        <v>117</v>
      </c>
      <c r="B1340" t="s">
        <v>119</v>
      </c>
      <c r="C1340">
        <v>2</v>
      </c>
      <c r="D1340">
        <v>1</v>
      </c>
      <c r="E1340">
        <v>1</v>
      </c>
      <c r="F1340">
        <v>753612</v>
      </c>
    </row>
    <row r="1341" spans="1:6" x14ac:dyDescent="0.25">
      <c r="A1341" t="s">
        <v>117</v>
      </c>
      <c r="B1341" t="s">
        <v>119</v>
      </c>
      <c r="C1341">
        <v>2</v>
      </c>
      <c r="D1341">
        <v>1</v>
      </c>
      <c r="E1341">
        <v>2</v>
      </c>
      <c r="F1341">
        <v>50503</v>
      </c>
    </row>
    <row r="1342" spans="1:6" x14ac:dyDescent="0.25">
      <c r="A1342" t="s">
        <v>117</v>
      </c>
      <c r="B1342" t="s">
        <v>119</v>
      </c>
      <c r="C1342">
        <v>2</v>
      </c>
      <c r="D1342">
        <v>1</v>
      </c>
      <c r="E1342">
        <v>3</v>
      </c>
      <c r="F1342">
        <v>8336</v>
      </c>
    </row>
    <row r="1343" spans="1:6" x14ac:dyDescent="0.25">
      <c r="A1343" t="s">
        <v>117</v>
      </c>
      <c r="B1343" t="s">
        <v>119</v>
      </c>
      <c r="C1343">
        <v>2</v>
      </c>
      <c r="D1343">
        <v>1</v>
      </c>
      <c r="E1343">
        <v>4</v>
      </c>
      <c r="F1343">
        <v>30538</v>
      </c>
    </row>
    <row r="1344" spans="1:6" x14ac:dyDescent="0.25">
      <c r="A1344" t="s">
        <v>117</v>
      </c>
      <c r="B1344" t="s">
        <v>119</v>
      </c>
      <c r="C1344">
        <v>2</v>
      </c>
      <c r="D1344">
        <v>1</v>
      </c>
      <c r="E1344">
        <v>5</v>
      </c>
      <c r="F1344">
        <v>759</v>
      </c>
    </row>
    <row r="1345" spans="1:6" x14ac:dyDescent="0.25">
      <c r="A1345" t="s">
        <v>117</v>
      </c>
      <c r="B1345" t="s">
        <v>119</v>
      </c>
      <c r="C1345">
        <v>2</v>
      </c>
      <c r="D1345">
        <v>1</v>
      </c>
      <c r="E1345">
        <v>6</v>
      </c>
      <c r="F1345">
        <v>22703</v>
      </c>
    </row>
    <row r="1346" spans="1:6" x14ac:dyDescent="0.25">
      <c r="A1346" t="s">
        <v>117</v>
      </c>
      <c r="B1346" t="s">
        <v>119</v>
      </c>
      <c r="C1346">
        <v>2</v>
      </c>
      <c r="D1346">
        <v>2</v>
      </c>
      <c r="E1346">
        <v>1</v>
      </c>
      <c r="F1346">
        <v>110065</v>
      </c>
    </row>
    <row r="1347" spans="1:6" x14ac:dyDescent="0.25">
      <c r="A1347" t="s">
        <v>117</v>
      </c>
      <c r="B1347" t="s">
        <v>119</v>
      </c>
      <c r="C1347">
        <v>2</v>
      </c>
      <c r="D1347">
        <v>2</v>
      </c>
      <c r="E1347">
        <v>2</v>
      </c>
      <c r="F1347">
        <v>4773</v>
      </c>
    </row>
    <row r="1348" spans="1:6" x14ac:dyDescent="0.25">
      <c r="A1348" t="s">
        <v>117</v>
      </c>
      <c r="B1348" t="s">
        <v>119</v>
      </c>
      <c r="C1348">
        <v>2</v>
      </c>
      <c r="D1348">
        <v>2</v>
      </c>
      <c r="E1348">
        <v>3</v>
      </c>
      <c r="F1348">
        <v>9408</v>
      </c>
    </row>
    <row r="1349" spans="1:6" x14ac:dyDescent="0.25">
      <c r="A1349" t="s">
        <v>117</v>
      </c>
      <c r="B1349" t="s">
        <v>119</v>
      </c>
      <c r="C1349">
        <v>2</v>
      </c>
      <c r="D1349">
        <v>2</v>
      </c>
      <c r="E1349">
        <v>4</v>
      </c>
      <c r="F1349">
        <v>953</v>
      </c>
    </row>
    <row r="1350" spans="1:6" x14ac:dyDescent="0.25">
      <c r="A1350" t="s">
        <v>117</v>
      </c>
      <c r="B1350" t="s">
        <v>119</v>
      </c>
      <c r="C1350">
        <v>2</v>
      </c>
      <c r="D1350">
        <v>2</v>
      </c>
      <c r="E1350">
        <v>5</v>
      </c>
      <c r="F1350">
        <v>663</v>
      </c>
    </row>
    <row r="1351" spans="1:6" x14ac:dyDescent="0.25">
      <c r="A1351" t="s">
        <v>117</v>
      </c>
      <c r="B1351" t="s">
        <v>119</v>
      </c>
      <c r="C1351">
        <v>2</v>
      </c>
      <c r="D1351">
        <v>2</v>
      </c>
      <c r="E1351">
        <v>6</v>
      </c>
      <c r="F1351">
        <v>4512</v>
      </c>
    </row>
    <row r="1352" spans="1:6" x14ac:dyDescent="0.25">
      <c r="A1352" t="s">
        <v>120</v>
      </c>
      <c r="B1352" t="s">
        <v>122</v>
      </c>
      <c r="C1352">
        <v>0</v>
      </c>
      <c r="D1352">
        <v>0</v>
      </c>
      <c r="E1352">
        <v>1</v>
      </c>
      <c r="F1352">
        <v>2311790</v>
      </c>
    </row>
    <row r="1353" spans="1:6" x14ac:dyDescent="0.25">
      <c r="A1353" t="s">
        <v>120</v>
      </c>
      <c r="B1353" t="s">
        <v>122</v>
      </c>
      <c r="C1353">
        <v>0</v>
      </c>
      <c r="D1353">
        <v>0</v>
      </c>
      <c r="E1353">
        <v>2</v>
      </c>
      <c r="F1353">
        <v>360756</v>
      </c>
    </row>
    <row r="1354" spans="1:6" x14ac:dyDescent="0.25">
      <c r="A1354" t="s">
        <v>120</v>
      </c>
      <c r="B1354" t="s">
        <v>122</v>
      </c>
      <c r="C1354">
        <v>0</v>
      </c>
      <c r="D1354">
        <v>0</v>
      </c>
      <c r="E1354">
        <v>3</v>
      </c>
      <c r="F1354">
        <v>57272</v>
      </c>
    </row>
    <row r="1355" spans="1:6" x14ac:dyDescent="0.25">
      <c r="A1355" t="s">
        <v>120</v>
      </c>
      <c r="B1355" t="s">
        <v>122</v>
      </c>
      <c r="C1355">
        <v>0</v>
      </c>
      <c r="D1355">
        <v>0</v>
      </c>
      <c r="E1355">
        <v>4</v>
      </c>
      <c r="F1355">
        <v>336253</v>
      </c>
    </row>
    <row r="1356" spans="1:6" x14ac:dyDescent="0.25">
      <c r="A1356" t="s">
        <v>120</v>
      </c>
      <c r="B1356" t="s">
        <v>122</v>
      </c>
      <c r="C1356">
        <v>0</v>
      </c>
      <c r="D1356">
        <v>0</v>
      </c>
      <c r="E1356">
        <v>5</v>
      </c>
      <c r="F1356">
        <v>29756</v>
      </c>
    </row>
    <row r="1357" spans="1:6" x14ac:dyDescent="0.25">
      <c r="A1357" t="s">
        <v>120</v>
      </c>
      <c r="B1357" t="s">
        <v>122</v>
      </c>
      <c r="C1357">
        <v>0</v>
      </c>
      <c r="D1357">
        <v>0</v>
      </c>
      <c r="E1357">
        <v>6</v>
      </c>
      <c r="F1357">
        <v>171640</v>
      </c>
    </row>
    <row r="1358" spans="1:6" x14ac:dyDescent="0.25">
      <c r="A1358" t="s">
        <v>120</v>
      </c>
      <c r="B1358" t="s">
        <v>122</v>
      </c>
      <c r="C1358">
        <v>0</v>
      </c>
      <c r="D1358">
        <v>1</v>
      </c>
      <c r="E1358">
        <v>1</v>
      </c>
      <c r="F1358">
        <v>1445647</v>
      </c>
    </row>
    <row r="1359" spans="1:6" x14ac:dyDescent="0.25">
      <c r="A1359" t="s">
        <v>120</v>
      </c>
      <c r="B1359" t="s">
        <v>122</v>
      </c>
      <c r="C1359">
        <v>0</v>
      </c>
      <c r="D1359">
        <v>1</v>
      </c>
      <c r="E1359">
        <v>2</v>
      </c>
      <c r="F1359">
        <v>322485</v>
      </c>
    </row>
    <row r="1360" spans="1:6" x14ac:dyDescent="0.25">
      <c r="A1360" t="s">
        <v>120</v>
      </c>
      <c r="B1360" t="s">
        <v>122</v>
      </c>
      <c r="C1360">
        <v>0</v>
      </c>
      <c r="D1360">
        <v>1</v>
      </c>
      <c r="E1360">
        <v>3</v>
      </c>
      <c r="F1360">
        <v>26340</v>
      </c>
    </row>
    <row r="1361" spans="1:6" x14ac:dyDescent="0.25">
      <c r="A1361" t="s">
        <v>120</v>
      </c>
      <c r="B1361" t="s">
        <v>122</v>
      </c>
      <c r="C1361">
        <v>0</v>
      </c>
      <c r="D1361">
        <v>1</v>
      </c>
      <c r="E1361">
        <v>4</v>
      </c>
      <c r="F1361">
        <v>318729</v>
      </c>
    </row>
    <row r="1362" spans="1:6" x14ac:dyDescent="0.25">
      <c r="A1362" t="s">
        <v>120</v>
      </c>
      <c r="B1362" t="s">
        <v>122</v>
      </c>
      <c r="C1362">
        <v>0</v>
      </c>
      <c r="D1362">
        <v>1</v>
      </c>
      <c r="E1362">
        <v>5</v>
      </c>
      <c r="F1362">
        <v>23935</v>
      </c>
    </row>
    <row r="1363" spans="1:6" x14ac:dyDescent="0.25">
      <c r="A1363" t="s">
        <v>120</v>
      </c>
      <c r="B1363" t="s">
        <v>122</v>
      </c>
      <c r="C1363">
        <v>0</v>
      </c>
      <c r="D1363">
        <v>1</v>
      </c>
      <c r="E1363">
        <v>6</v>
      </c>
      <c r="F1363">
        <v>130904</v>
      </c>
    </row>
    <row r="1364" spans="1:6" x14ac:dyDescent="0.25">
      <c r="A1364" t="s">
        <v>120</v>
      </c>
      <c r="B1364" t="s">
        <v>122</v>
      </c>
      <c r="C1364">
        <v>0</v>
      </c>
      <c r="D1364">
        <v>2</v>
      </c>
      <c r="E1364">
        <v>1</v>
      </c>
      <c r="F1364">
        <v>866143</v>
      </c>
    </row>
    <row r="1365" spans="1:6" x14ac:dyDescent="0.25">
      <c r="A1365" t="s">
        <v>120</v>
      </c>
      <c r="B1365" t="s">
        <v>122</v>
      </c>
      <c r="C1365">
        <v>0</v>
      </c>
      <c r="D1365">
        <v>2</v>
      </c>
      <c r="E1365">
        <v>2</v>
      </c>
      <c r="F1365">
        <v>38271</v>
      </c>
    </row>
    <row r="1366" spans="1:6" x14ac:dyDescent="0.25">
      <c r="A1366" t="s">
        <v>120</v>
      </c>
      <c r="B1366" t="s">
        <v>122</v>
      </c>
      <c r="C1366">
        <v>0</v>
      </c>
      <c r="D1366">
        <v>2</v>
      </c>
      <c r="E1366">
        <v>3</v>
      </c>
      <c r="F1366">
        <v>30932</v>
      </c>
    </row>
    <row r="1367" spans="1:6" x14ac:dyDescent="0.25">
      <c r="A1367" t="s">
        <v>120</v>
      </c>
      <c r="B1367" t="s">
        <v>122</v>
      </c>
      <c r="C1367">
        <v>0</v>
      </c>
      <c r="D1367">
        <v>2</v>
      </c>
      <c r="E1367">
        <v>4</v>
      </c>
      <c r="F1367">
        <v>17524</v>
      </c>
    </row>
    <row r="1368" spans="1:6" x14ac:dyDescent="0.25">
      <c r="A1368" t="s">
        <v>120</v>
      </c>
      <c r="B1368" t="s">
        <v>122</v>
      </c>
      <c r="C1368">
        <v>0</v>
      </c>
      <c r="D1368">
        <v>2</v>
      </c>
      <c r="E1368">
        <v>5</v>
      </c>
      <c r="F1368">
        <v>5821</v>
      </c>
    </row>
    <row r="1369" spans="1:6" x14ac:dyDescent="0.25">
      <c r="A1369" t="s">
        <v>120</v>
      </c>
      <c r="B1369" t="s">
        <v>122</v>
      </c>
      <c r="C1369">
        <v>0</v>
      </c>
      <c r="D1369">
        <v>2</v>
      </c>
      <c r="E1369">
        <v>6</v>
      </c>
      <c r="F1369">
        <v>40736</v>
      </c>
    </row>
    <row r="1370" spans="1:6" x14ac:dyDescent="0.25">
      <c r="A1370" t="s">
        <v>120</v>
      </c>
      <c r="B1370" t="s">
        <v>122</v>
      </c>
      <c r="C1370">
        <v>1</v>
      </c>
      <c r="D1370">
        <v>0</v>
      </c>
      <c r="E1370">
        <v>1</v>
      </c>
      <c r="F1370">
        <v>1182118</v>
      </c>
    </row>
    <row r="1371" spans="1:6" x14ac:dyDescent="0.25">
      <c r="A1371" t="s">
        <v>120</v>
      </c>
      <c r="B1371" t="s">
        <v>122</v>
      </c>
      <c r="C1371">
        <v>1</v>
      </c>
      <c r="D1371">
        <v>0</v>
      </c>
      <c r="E1371">
        <v>2</v>
      </c>
      <c r="F1371">
        <v>179789</v>
      </c>
    </row>
    <row r="1372" spans="1:6" x14ac:dyDescent="0.25">
      <c r="A1372" t="s">
        <v>120</v>
      </c>
      <c r="B1372" t="s">
        <v>122</v>
      </c>
      <c r="C1372">
        <v>1</v>
      </c>
      <c r="D1372">
        <v>0</v>
      </c>
      <c r="E1372">
        <v>3</v>
      </c>
      <c r="F1372">
        <v>28785</v>
      </c>
    </row>
    <row r="1373" spans="1:6" x14ac:dyDescent="0.25">
      <c r="A1373" t="s">
        <v>120</v>
      </c>
      <c r="B1373" t="s">
        <v>122</v>
      </c>
      <c r="C1373">
        <v>1</v>
      </c>
      <c r="D1373">
        <v>0</v>
      </c>
      <c r="E1373">
        <v>4</v>
      </c>
      <c r="F1373">
        <v>153188</v>
      </c>
    </row>
    <row r="1374" spans="1:6" x14ac:dyDescent="0.25">
      <c r="A1374" t="s">
        <v>120</v>
      </c>
      <c r="B1374" t="s">
        <v>122</v>
      </c>
      <c r="C1374">
        <v>1</v>
      </c>
      <c r="D1374">
        <v>0</v>
      </c>
      <c r="E1374">
        <v>5</v>
      </c>
      <c r="F1374">
        <v>14702</v>
      </c>
    </row>
    <row r="1375" spans="1:6" x14ac:dyDescent="0.25">
      <c r="A1375" t="s">
        <v>120</v>
      </c>
      <c r="B1375" t="s">
        <v>122</v>
      </c>
      <c r="C1375">
        <v>1</v>
      </c>
      <c r="D1375">
        <v>0</v>
      </c>
      <c r="E1375">
        <v>6</v>
      </c>
      <c r="F1375">
        <v>85557</v>
      </c>
    </row>
    <row r="1376" spans="1:6" x14ac:dyDescent="0.25">
      <c r="A1376" t="s">
        <v>120</v>
      </c>
      <c r="B1376" t="s">
        <v>122</v>
      </c>
      <c r="C1376">
        <v>1</v>
      </c>
      <c r="D1376">
        <v>1</v>
      </c>
      <c r="E1376">
        <v>1</v>
      </c>
      <c r="F1376">
        <v>741595</v>
      </c>
    </row>
    <row r="1377" spans="1:6" x14ac:dyDescent="0.25">
      <c r="A1377" t="s">
        <v>120</v>
      </c>
      <c r="B1377" t="s">
        <v>122</v>
      </c>
      <c r="C1377">
        <v>1</v>
      </c>
      <c r="D1377">
        <v>1</v>
      </c>
      <c r="E1377">
        <v>2</v>
      </c>
      <c r="F1377">
        <v>160255</v>
      </c>
    </row>
    <row r="1378" spans="1:6" x14ac:dyDescent="0.25">
      <c r="A1378" t="s">
        <v>120</v>
      </c>
      <c r="B1378" t="s">
        <v>122</v>
      </c>
      <c r="C1378">
        <v>1</v>
      </c>
      <c r="D1378">
        <v>1</v>
      </c>
      <c r="E1378">
        <v>3</v>
      </c>
      <c r="F1378">
        <v>12756</v>
      </c>
    </row>
    <row r="1379" spans="1:6" x14ac:dyDescent="0.25">
      <c r="A1379" t="s">
        <v>120</v>
      </c>
      <c r="B1379" t="s">
        <v>122</v>
      </c>
      <c r="C1379">
        <v>1</v>
      </c>
      <c r="D1379">
        <v>1</v>
      </c>
      <c r="E1379">
        <v>4</v>
      </c>
      <c r="F1379">
        <v>144492</v>
      </c>
    </row>
    <row r="1380" spans="1:6" x14ac:dyDescent="0.25">
      <c r="A1380" t="s">
        <v>120</v>
      </c>
      <c r="B1380" t="s">
        <v>122</v>
      </c>
      <c r="C1380">
        <v>1</v>
      </c>
      <c r="D1380">
        <v>1</v>
      </c>
      <c r="E1380">
        <v>5</v>
      </c>
      <c r="F1380">
        <v>11710</v>
      </c>
    </row>
    <row r="1381" spans="1:6" x14ac:dyDescent="0.25">
      <c r="A1381" t="s">
        <v>120</v>
      </c>
      <c r="B1381" t="s">
        <v>122</v>
      </c>
      <c r="C1381">
        <v>1</v>
      </c>
      <c r="D1381">
        <v>1</v>
      </c>
      <c r="E1381">
        <v>6</v>
      </c>
      <c r="F1381">
        <v>65107</v>
      </c>
    </row>
    <row r="1382" spans="1:6" x14ac:dyDescent="0.25">
      <c r="A1382" t="s">
        <v>120</v>
      </c>
      <c r="B1382" t="s">
        <v>122</v>
      </c>
      <c r="C1382">
        <v>1</v>
      </c>
      <c r="D1382">
        <v>2</v>
      </c>
      <c r="E1382">
        <v>1</v>
      </c>
      <c r="F1382">
        <v>440523</v>
      </c>
    </row>
    <row r="1383" spans="1:6" x14ac:dyDescent="0.25">
      <c r="A1383" t="s">
        <v>120</v>
      </c>
      <c r="B1383" t="s">
        <v>122</v>
      </c>
      <c r="C1383">
        <v>1</v>
      </c>
      <c r="D1383">
        <v>2</v>
      </c>
      <c r="E1383">
        <v>2</v>
      </c>
      <c r="F1383">
        <v>19534</v>
      </c>
    </row>
    <row r="1384" spans="1:6" x14ac:dyDescent="0.25">
      <c r="A1384" t="s">
        <v>120</v>
      </c>
      <c r="B1384" t="s">
        <v>122</v>
      </c>
      <c r="C1384">
        <v>1</v>
      </c>
      <c r="D1384">
        <v>2</v>
      </c>
      <c r="E1384">
        <v>3</v>
      </c>
      <c r="F1384">
        <v>16029</v>
      </c>
    </row>
    <row r="1385" spans="1:6" x14ac:dyDescent="0.25">
      <c r="A1385" t="s">
        <v>120</v>
      </c>
      <c r="B1385" t="s">
        <v>122</v>
      </c>
      <c r="C1385">
        <v>1</v>
      </c>
      <c r="D1385">
        <v>2</v>
      </c>
      <c r="E1385">
        <v>4</v>
      </c>
      <c r="F1385">
        <v>8696</v>
      </c>
    </row>
    <row r="1386" spans="1:6" x14ac:dyDescent="0.25">
      <c r="A1386" t="s">
        <v>120</v>
      </c>
      <c r="B1386" t="s">
        <v>122</v>
      </c>
      <c r="C1386">
        <v>1</v>
      </c>
      <c r="D1386">
        <v>2</v>
      </c>
      <c r="E1386">
        <v>5</v>
      </c>
      <c r="F1386">
        <v>2992</v>
      </c>
    </row>
    <row r="1387" spans="1:6" x14ac:dyDescent="0.25">
      <c r="A1387" t="s">
        <v>120</v>
      </c>
      <c r="B1387" t="s">
        <v>122</v>
      </c>
      <c r="C1387">
        <v>1</v>
      </c>
      <c r="D1387">
        <v>2</v>
      </c>
      <c r="E1387">
        <v>6</v>
      </c>
      <c r="F1387">
        <v>20450</v>
      </c>
    </row>
    <row r="1388" spans="1:6" x14ac:dyDescent="0.25">
      <c r="A1388" t="s">
        <v>120</v>
      </c>
      <c r="B1388" t="s">
        <v>122</v>
      </c>
      <c r="C1388">
        <v>2</v>
      </c>
      <c r="D1388">
        <v>0</v>
      </c>
      <c r="E1388">
        <v>1</v>
      </c>
      <c r="F1388">
        <v>1129672</v>
      </c>
    </row>
    <row r="1389" spans="1:6" x14ac:dyDescent="0.25">
      <c r="A1389" t="s">
        <v>120</v>
      </c>
      <c r="B1389" t="s">
        <v>122</v>
      </c>
      <c r="C1389">
        <v>2</v>
      </c>
      <c r="D1389">
        <v>0</v>
      </c>
      <c r="E1389">
        <v>2</v>
      </c>
      <c r="F1389">
        <v>180967</v>
      </c>
    </row>
    <row r="1390" spans="1:6" x14ac:dyDescent="0.25">
      <c r="A1390" t="s">
        <v>120</v>
      </c>
      <c r="B1390" t="s">
        <v>122</v>
      </c>
      <c r="C1390">
        <v>2</v>
      </c>
      <c r="D1390">
        <v>0</v>
      </c>
      <c r="E1390">
        <v>3</v>
      </c>
      <c r="F1390">
        <v>28487</v>
      </c>
    </row>
    <row r="1391" spans="1:6" x14ac:dyDescent="0.25">
      <c r="A1391" t="s">
        <v>120</v>
      </c>
      <c r="B1391" t="s">
        <v>122</v>
      </c>
      <c r="C1391">
        <v>2</v>
      </c>
      <c r="D1391">
        <v>0</v>
      </c>
      <c r="E1391">
        <v>4</v>
      </c>
      <c r="F1391">
        <v>183065</v>
      </c>
    </row>
    <row r="1392" spans="1:6" x14ac:dyDescent="0.25">
      <c r="A1392" t="s">
        <v>120</v>
      </c>
      <c r="B1392" t="s">
        <v>122</v>
      </c>
      <c r="C1392">
        <v>2</v>
      </c>
      <c r="D1392">
        <v>0</v>
      </c>
      <c r="E1392">
        <v>5</v>
      </c>
      <c r="F1392">
        <v>15054</v>
      </c>
    </row>
    <row r="1393" spans="1:6" x14ac:dyDescent="0.25">
      <c r="A1393" t="s">
        <v>120</v>
      </c>
      <c r="B1393" t="s">
        <v>122</v>
      </c>
      <c r="C1393">
        <v>2</v>
      </c>
      <c r="D1393">
        <v>0</v>
      </c>
      <c r="E1393">
        <v>6</v>
      </c>
      <c r="F1393">
        <v>86083</v>
      </c>
    </row>
    <row r="1394" spans="1:6" x14ac:dyDescent="0.25">
      <c r="A1394" t="s">
        <v>120</v>
      </c>
      <c r="B1394" t="s">
        <v>122</v>
      </c>
      <c r="C1394">
        <v>2</v>
      </c>
      <c r="D1394">
        <v>1</v>
      </c>
      <c r="E1394">
        <v>1</v>
      </c>
      <c r="F1394">
        <v>704052</v>
      </c>
    </row>
    <row r="1395" spans="1:6" x14ac:dyDescent="0.25">
      <c r="A1395" t="s">
        <v>120</v>
      </c>
      <c r="B1395" t="s">
        <v>122</v>
      </c>
      <c r="C1395">
        <v>2</v>
      </c>
      <c r="D1395">
        <v>1</v>
      </c>
      <c r="E1395">
        <v>2</v>
      </c>
      <c r="F1395">
        <v>162230</v>
      </c>
    </row>
    <row r="1396" spans="1:6" x14ac:dyDescent="0.25">
      <c r="A1396" t="s">
        <v>120</v>
      </c>
      <c r="B1396" t="s">
        <v>122</v>
      </c>
      <c r="C1396">
        <v>2</v>
      </c>
      <c r="D1396">
        <v>1</v>
      </c>
      <c r="E1396">
        <v>3</v>
      </c>
      <c r="F1396">
        <v>13584</v>
      </c>
    </row>
    <row r="1397" spans="1:6" x14ac:dyDescent="0.25">
      <c r="A1397" t="s">
        <v>120</v>
      </c>
      <c r="B1397" t="s">
        <v>122</v>
      </c>
      <c r="C1397">
        <v>2</v>
      </c>
      <c r="D1397">
        <v>1</v>
      </c>
      <c r="E1397">
        <v>4</v>
      </c>
      <c r="F1397">
        <v>174237</v>
      </c>
    </row>
    <row r="1398" spans="1:6" x14ac:dyDescent="0.25">
      <c r="A1398" t="s">
        <v>120</v>
      </c>
      <c r="B1398" t="s">
        <v>122</v>
      </c>
      <c r="C1398">
        <v>2</v>
      </c>
      <c r="D1398">
        <v>1</v>
      </c>
      <c r="E1398">
        <v>5</v>
      </c>
      <c r="F1398">
        <v>12225</v>
      </c>
    </row>
    <row r="1399" spans="1:6" x14ac:dyDescent="0.25">
      <c r="A1399" t="s">
        <v>120</v>
      </c>
      <c r="B1399" t="s">
        <v>122</v>
      </c>
      <c r="C1399">
        <v>2</v>
      </c>
      <c r="D1399">
        <v>1</v>
      </c>
      <c r="E1399">
        <v>6</v>
      </c>
      <c r="F1399">
        <v>65797</v>
      </c>
    </row>
    <row r="1400" spans="1:6" x14ac:dyDescent="0.25">
      <c r="A1400" t="s">
        <v>120</v>
      </c>
      <c r="B1400" t="s">
        <v>122</v>
      </c>
      <c r="C1400">
        <v>2</v>
      </c>
      <c r="D1400">
        <v>2</v>
      </c>
      <c r="E1400">
        <v>1</v>
      </c>
      <c r="F1400">
        <v>425620</v>
      </c>
    </row>
    <row r="1401" spans="1:6" x14ac:dyDescent="0.25">
      <c r="A1401" t="s">
        <v>120</v>
      </c>
      <c r="B1401" t="s">
        <v>122</v>
      </c>
      <c r="C1401">
        <v>2</v>
      </c>
      <c r="D1401">
        <v>2</v>
      </c>
      <c r="E1401">
        <v>2</v>
      </c>
      <c r="F1401">
        <v>18737</v>
      </c>
    </row>
    <row r="1402" spans="1:6" x14ac:dyDescent="0.25">
      <c r="A1402" t="s">
        <v>120</v>
      </c>
      <c r="B1402" t="s">
        <v>122</v>
      </c>
      <c r="C1402">
        <v>2</v>
      </c>
      <c r="D1402">
        <v>2</v>
      </c>
      <c r="E1402">
        <v>3</v>
      </c>
      <c r="F1402">
        <v>14903</v>
      </c>
    </row>
    <row r="1403" spans="1:6" x14ac:dyDescent="0.25">
      <c r="A1403" t="s">
        <v>120</v>
      </c>
      <c r="B1403" t="s">
        <v>122</v>
      </c>
      <c r="C1403">
        <v>2</v>
      </c>
      <c r="D1403">
        <v>2</v>
      </c>
      <c r="E1403">
        <v>4</v>
      </c>
      <c r="F1403">
        <v>8828</v>
      </c>
    </row>
    <row r="1404" spans="1:6" x14ac:dyDescent="0.25">
      <c r="A1404" t="s">
        <v>120</v>
      </c>
      <c r="B1404" t="s">
        <v>122</v>
      </c>
      <c r="C1404">
        <v>2</v>
      </c>
      <c r="D1404">
        <v>2</v>
      </c>
      <c r="E1404">
        <v>5</v>
      </c>
      <c r="F1404">
        <v>2829</v>
      </c>
    </row>
    <row r="1405" spans="1:6" x14ac:dyDescent="0.25">
      <c r="A1405" t="s">
        <v>120</v>
      </c>
      <c r="B1405" t="s">
        <v>122</v>
      </c>
      <c r="C1405">
        <v>2</v>
      </c>
      <c r="D1405">
        <v>2</v>
      </c>
      <c r="E1405">
        <v>6</v>
      </c>
      <c r="F1405">
        <v>20286</v>
      </c>
    </row>
    <row r="1406" spans="1:6" x14ac:dyDescent="0.25">
      <c r="A1406" t="s">
        <v>123</v>
      </c>
      <c r="B1406" t="s">
        <v>125</v>
      </c>
      <c r="C1406">
        <v>0</v>
      </c>
      <c r="D1406">
        <v>0</v>
      </c>
      <c r="E1406">
        <v>1</v>
      </c>
      <c r="F1406">
        <v>1300268</v>
      </c>
    </row>
    <row r="1407" spans="1:6" x14ac:dyDescent="0.25">
      <c r="A1407" t="s">
        <v>123</v>
      </c>
      <c r="B1407" t="s">
        <v>125</v>
      </c>
      <c r="C1407">
        <v>0</v>
      </c>
      <c r="D1407">
        <v>0</v>
      </c>
      <c r="E1407">
        <v>2</v>
      </c>
      <c r="F1407">
        <v>30287</v>
      </c>
    </row>
    <row r="1408" spans="1:6" x14ac:dyDescent="0.25">
      <c r="A1408" t="s">
        <v>123</v>
      </c>
      <c r="B1408" t="s">
        <v>125</v>
      </c>
      <c r="C1408">
        <v>0</v>
      </c>
      <c r="D1408">
        <v>0</v>
      </c>
      <c r="E1408">
        <v>3</v>
      </c>
      <c r="F1408">
        <v>4660</v>
      </c>
    </row>
    <row r="1409" spans="1:6" x14ac:dyDescent="0.25">
      <c r="A1409" t="s">
        <v>123</v>
      </c>
      <c r="B1409" t="s">
        <v>125</v>
      </c>
      <c r="C1409">
        <v>0</v>
      </c>
      <c r="D1409">
        <v>0</v>
      </c>
      <c r="E1409">
        <v>4</v>
      </c>
      <c r="F1409">
        <v>45291</v>
      </c>
    </row>
    <row r="1410" spans="1:6" x14ac:dyDescent="0.25">
      <c r="A1410" t="s">
        <v>123</v>
      </c>
      <c r="B1410" t="s">
        <v>125</v>
      </c>
      <c r="C1410">
        <v>0</v>
      </c>
      <c r="D1410">
        <v>0</v>
      </c>
      <c r="E1410">
        <v>5</v>
      </c>
      <c r="F1410">
        <v>876</v>
      </c>
    </row>
    <row r="1411" spans="1:6" x14ac:dyDescent="0.25">
      <c r="A1411" t="s">
        <v>123</v>
      </c>
      <c r="B1411" t="s">
        <v>125</v>
      </c>
      <c r="C1411">
        <v>0</v>
      </c>
      <c r="D1411">
        <v>0</v>
      </c>
      <c r="E1411">
        <v>6</v>
      </c>
      <c r="F1411">
        <v>27650</v>
      </c>
    </row>
    <row r="1412" spans="1:6" x14ac:dyDescent="0.25">
      <c r="A1412" t="s">
        <v>123</v>
      </c>
      <c r="B1412" t="s">
        <v>125</v>
      </c>
      <c r="C1412">
        <v>0</v>
      </c>
      <c r="D1412">
        <v>1</v>
      </c>
      <c r="E1412">
        <v>1</v>
      </c>
      <c r="F1412">
        <v>1241723</v>
      </c>
    </row>
    <row r="1413" spans="1:6" x14ac:dyDescent="0.25">
      <c r="A1413" t="s">
        <v>123</v>
      </c>
      <c r="B1413" t="s">
        <v>125</v>
      </c>
      <c r="C1413">
        <v>0</v>
      </c>
      <c r="D1413">
        <v>1</v>
      </c>
      <c r="E1413">
        <v>2</v>
      </c>
      <c r="F1413">
        <v>24037</v>
      </c>
    </row>
    <row r="1414" spans="1:6" x14ac:dyDescent="0.25">
      <c r="A1414" t="s">
        <v>123</v>
      </c>
      <c r="B1414" t="s">
        <v>125</v>
      </c>
      <c r="C1414">
        <v>0</v>
      </c>
      <c r="D1414">
        <v>1</v>
      </c>
      <c r="E1414">
        <v>3</v>
      </c>
      <c r="F1414">
        <v>3037</v>
      </c>
    </row>
    <row r="1415" spans="1:6" x14ac:dyDescent="0.25">
      <c r="A1415" t="s">
        <v>123</v>
      </c>
      <c r="B1415" t="s">
        <v>125</v>
      </c>
      <c r="C1415">
        <v>0</v>
      </c>
      <c r="D1415">
        <v>1</v>
      </c>
      <c r="E1415">
        <v>4</v>
      </c>
      <c r="F1415">
        <v>44644</v>
      </c>
    </row>
    <row r="1416" spans="1:6" x14ac:dyDescent="0.25">
      <c r="A1416" t="s">
        <v>123</v>
      </c>
      <c r="B1416" t="s">
        <v>125</v>
      </c>
      <c r="C1416">
        <v>0</v>
      </c>
      <c r="D1416">
        <v>1</v>
      </c>
      <c r="E1416">
        <v>5</v>
      </c>
      <c r="F1416">
        <v>436</v>
      </c>
    </row>
    <row r="1417" spans="1:6" x14ac:dyDescent="0.25">
      <c r="A1417" t="s">
        <v>123</v>
      </c>
      <c r="B1417" t="s">
        <v>125</v>
      </c>
      <c r="C1417">
        <v>0</v>
      </c>
      <c r="D1417">
        <v>1</v>
      </c>
      <c r="E1417">
        <v>6</v>
      </c>
      <c r="F1417">
        <v>24243</v>
      </c>
    </row>
    <row r="1418" spans="1:6" x14ac:dyDescent="0.25">
      <c r="A1418" t="s">
        <v>123</v>
      </c>
      <c r="B1418" t="s">
        <v>125</v>
      </c>
      <c r="C1418">
        <v>0</v>
      </c>
      <c r="D1418">
        <v>2</v>
      </c>
      <c r="E1418">
        <v>1</v>
      </c>
      <c r="F1418">
        <v>58545</v>
      </c>
    </row>
    <row r="1419" spans="1:6" x14ac:dyDescent="0.25">
      <c r="A1419" t="s">
        <v>123</v>
      </c>
      <c r="B1419" t="s">
        <v>125</v>
      </c>
      <c r="C1419">
        <v>0</v>
      </c>
      <c r="D1419">
        <v>2</v>
      </c>
      <c r="E1419">
        <v>2</v>
      </c>
      <c r="F1419">
        <v>6250</v>
      </c>
    </row>
    <row r="1420" spans="1:6" x14ac:dyDescent="0.25">
      <c r="A1420" t="s">
        <v>123</v>
      </c>
      <c r="B1420" t="s">
        <v>125</v>
      </c>
      <c r="C1420">
        <v>0</v>
      </c>
      <c r="D1420">
        <v>2</v>
      </c>
      <c r="E1420">
        <v>3</v>
      </c>
      <c r="F1420">
        <v>1623</v>
      </c>
    </row>
    <row r="1421" spans="1:6" x14ac:dyDescent="0.25">
      <c r="A1421" t="s">
        <v>123</v>
      </c>
      <c r="B1421" t="s">
        <v>125</v>
      </c>
      <c r="C1421">
        <v>0</v>
      </c>
      <c r="D1421">
        <v>2</v>
      </c>
      <c r="E1421">
        <v>4</v>
      </c>
      <c r="F1421">
        <v>647</v>
      </c>
    </row>
    <row r="1422" spans="1:6" x14ac:dyDescent="0.25">
      <c r="A1422" t="s">
        <v>123</v>
      </c>
      <c r="B1422" t="s">
        <v>125</v>
      </c>
      <c r="C1422">
        <v>0</v>
      </c>
      <c r="D1422">
        <v>2</v>
      </c>
      <c r="E1422">
        <v>5</v>
      </c>
      <c r="F1422">
        <v>440</v>
      </c>
    </row>
    <row r="1423" spans="1:6" x14ac:dyDescent="0.25">
      <c r="A1423" t="s">
        <v>123</v>
      </c>
      <c r="B1423" t="s">
        <v>125</v>
      </c>
      <c r="C1423">
        <v>0</v>
      </c>
      <c r="D1423">
        <v>2</v>
      </c>
      <c r="E1423">
        <v>6</v>
      </c>
      <c r="F1423">
        <v>3407</v>
      </c>
    </row>
    <row r="1424" spans="1:6" x14ac:dyDescent="0.25">
      <c r="A1424" t="s">
        <v>123</v>
      </c>
      <c r="B1424" t="s">
        <v>125</v>
      </c>
      <c r="C1424">
        <v>1</v>
      </c>
      <c r="D1424">
        <v>0</v>
      </c>
      <c r="E1424">
        <v>1</v>
      </c>
      <c r="F1424">
        <v>647340</v>
      </c>
    </row>
    <row r="1425" spans="1:6" x14ac:dyDescent="0.25">
      <c r="A1425" t="s">
        <v>123</v>
      </c>
      <c r="B1425" t="s">
        <v>125</v>
      </c>
      <c r="C1425">
        <v>1</v>
      </c>
      <c r="D1425">
        <v>0</v>
      </c>
      <c r="E1425">
        <v>2</v>
      </c>
      <c r="F1425">
        <v>17086</v>
      </c>
    </row>
    <row r="1426" spans="1:6" x14ac:dyDescent="0.25">
      <c r="A1426" t="s">
        <v>123</v>
      </c>
      <c r="B1426" t="s">
        <v>125</v>
      </c>
      <c r="C1426">
        <v>1</v>
      </c>
      <c r="D1426">
        <v>0</v>
      </c>
      <c r="E1426">
        <v>3</v>
      </c>
      <c r="F1426">
        <v>2491</v>
      </c>
    </row>
    <row r="1427" spans="1:6" x14ac:dyDescent="0.25">
      <c r="A1427" t="s">
        <v>123</v>
      </c>
      <c r="B1427" t="s">
        <v>125</v>
      </c>
      <c r="C1427">
        <v>1</v>
      </c>
      <c r="D1427">
        <v>0</v>
      </c>
      <c r="E1427">
        <v>4</v>
      </c>
      <c r="F1427">
        <v>21831</v>
      </c>
    </row>
    <row r="1428" spans="1:6" x14ac:dyDescent="0.25">
      <c r="A1428" t="s">
        <v>123</v>
      </c>
      <c r="B1428" t="s">
        <v>125</v>
      </c>
      <c r="C1428">
        <v>1</v>
      </c>
      <c r="D1428">
        <v>0</v>
      </c>
      <c r="E1428">
        <v>5</v>
      </c>
      <c r="F1428">
        <v>444</v>
      </c>
    </row>
    <row r="1429" spans="1:6" x14ac:dyDescent="0.25">
      <c r="A1429" t="s">
        <v>123</v>
      </c>
      <c r="B1429" t="s">
        <v>125</v>
      </c>
      <c r="C1429">
        <v>1</v>
      </c>
      <c r="D1429">
        <v>0</v>
      </c>
      <c r="E1429">
        <v>6</v>
      </c>
      <c r="F1429">
        <v>14175</v>
      </c>
    </row>
    <row r="1430" spans="1:6" x14ac:dyDescent="0.25">
      <c r="A1430" t="s">
        <v>123</v>
      </c>
      <c r="B1430" t="s">
        <v>125</v>
      </c>
      <c r="C1430">
        <v>1</v>
      </c>
      <c r="D1430">
        <v>1</v>
      </c>
      <c r="E1430">
        <v>1</v>
      </c>
      <c r="F1430">
        <v>617152</v>
      </c>
    </row>
    <row r="1431" spans="1:6" x14ac:dyDescent="0.25">
      <c r="A1431" t="s">
        <v>123</v>
      </c>
      <c r="B1431" t="s">
        <v>125</v>
      </c>
      <c r="C1431">
        <v>1</v>
      </c>
      <c r="D1431">
        <v>1</v>
      </c>
      <c r="E1431">
        <v>2</v>
      </c>
      <c r="F1431">
        <v>13563</v>
      </c>
    </row>
    <row r="1432" spans="1:6" x14ac:dyDescent="0.25">
      <c r="A1432" t="s">
        <v>123</v>
      </c>
      <c r="B1432" t="s">
        <v>125</v>
      </c>
      <c r="C1432">
        <v>1</v>
      </c>
      <c r="D1432">
        <v>1</v>
      </c>
      <c r="E1432">
        <v>3</v>
      </c>
      <c r="F1432">
        <v>1604</v>
      </c>
    </row>
    <row r="1433" spans="1:6" x14ac:dyDescent="0.25">
      <c r="A1433" t="s">
        <v>123</v>
      </c>
      <c r="B1433" t="s">
        <v>125</v>
      </c>
      <c r="C1433">
        <v>1</v>
      </c>
      <c r="D1433">
        <v>1</v>
      </c>
      <c r="E1433">
        <v>4</v>
      </c>
      <c r="F1433">
        <v>21524</v>
      </c>
    </row>
    <row r="1434" spans="1:6" x14ac:dyDescent="0.25">
      <c r="A1434" t="s">
        <v>123</v>
      </c>
      <c r="B1434" t="s">
        <v>125</v>
      </c>
      <c r="C1434">
        <v>1</v>
      </c>
      <c r="D1434">
        <v>1</v>
      </c>
      <c r="E1434">
        <v>5</v>
      </c>
      <c r="F1434">
        <v>215</v>
      </c>
    </row>
    <row r="1435" spans="1:6" x14ac:dyDescent="0.25">
      <c r="A1435" t="s">
        <v>123</v>
      </c>
      <c r="B1435" t="s">
        <v>125</v>
      </c>
      <c r="C1435">
        <v>1</v>
      </c>
      <c r="D1435">
        <v>1</v>
      </c>
      <c r="E1435">
        <v>6</v>
      </c>
      <c r="F1435">
        <v>12368</v>
      </c>
    </row>
    <row r="1436" spans="1:6" x14ac:dyDescent="0.25">
      <c r="A1436" t="s">
        <v>123</v>
      </c>
      <c r="B1436" t="s">
        <v>125</v>
      </c>
      <c r="C1436">
        <v>1</v>
      </c>
      <c r="D1436">
        <v>2</v>
      </c>
      <c r="E1436">
        <v>1</v>
      </c>
      <c r="F1436">
        <v>30188</v>
      </c>
    </row>
    <row r="1437" spans="1:6" x14ac:dyDescent="0.25">
      <c r="A1437" t="s">
        <v>123</v>
      </c>
      <c r="B1437" t="s">
        <v>125</v>
      </c>
      <c r="C1437">
        <v>1</v>
      </c>
      <c r="D1437">
        <v>2</v>
      </c>
      <c r="E1437">
        <v>2</v>
      </c>
      <c r="F1437">
        <v>3523</v>
      </c>
    </row>
    <row r="1438" spans="1:6" x14ac:dyDescent="0.25">
      <c r="A1438" t="s">
        <v>123</v>
      </c>
      <c r="B1438" t="s">
        <v>125</v>
      </c>
      <c r="C1438">
        <v>1</v>
      </c>
      <c r="D1438">
        <v>2</v>
      </c>
      <c r="E1438">
        <v>3</v>
      </c>
      <c r="F1438">
        <v>887</v>
      </c>
    </row>
    <row r="1439" spans="1:6" x14ac:dyDescent="0.25">
      <c r="A1439" t="s">
        <v>123</v>
      </c>
      <c r="B1439" t="s">
        <v>125</v>
      </c>
      <c r="C1439">
        <v>1</v>
      </c>
      <c r="D1439">
        <v>2</v>
      </c>
      <c r="E1439">
        <v>4</v>
      </c>
      <c r="F1439">
        <v>307</v>
      </c>
    </row>
    <row r="1440" spans="1:6" x14ac:dyDescent="0.25">
      <c r="A1440" t="s">
        <v>123</v>
      </c>
      <c r="B1440" t="s">
        <v>125</v>
      </c>
      <c r="C1440">
        <v>1</v>
      </c>
      <c r="D1440">
        <v>2</v>
      </c>
      <c r="E1440">
        <v>5</v>
      </c>
      <c r="F1440">
        <v>229</v>
      </c>
    </row>
    <row r="1441" spans="1:6" x14ac:dyDescent="0.25">
      <c r="A1441" t="s">
        <v>123</v>
      </c>
      <c r="B1441" t="s">
        <v>125</v>
      </c>
      <c r="C1441">
        <v>1</v>
      </c>
      <c r="D1441">
        <v>2</v>
      </c>
      <c r="E1441">
        <v>6</v>
      </c>
      <c r="F1441">
        <v>1807</v>
      </c>
    </row>
    <row r="1442" spans="1:6" x14ac:dyDescent="0.25">
      <c r="A1442" t="s">
        <v>123</v>
      </c>
      <c r="B1442" t="s">
        <v>125</v>
      </c>
      <c r="C1442">
        <v>2</v>
      </c>
      <c r="D1442">
        <v>0</v>
      </c>
      <c r="E1442">
        <v>1</v>
      </c>
      <c r="F1442">
        <v>652928</v>
      </c>
    </row>
    <row r="1443" spans="1:6" x14ac:dyDescent="0.25">
      <c r="A1443" t="s">
        <v>123</v>
      </c>
      <c r="B1443" t="s">
        <v>125</v>
      </c>
      <c r="C1443">
        <v>2</v>
      </c>
      <c r="D1443">
        <v>0</v>
      </c>
      <c r="E1443">
        <v>2</v>
      </c>
      <c r="F1443">
        <v>13201</v>
      </c>
    </row>
    <row r="1444" spans="1:6" x14ac:dyDescent="0.25">
      <c r="A1444" t="s">
        <v>123</v>
      </c>
      <c r="B1444" t="s">
        <v>125</v>
      </c>
      <c r="C1444">
        <v>2</v>
      </c>
      <c r="D1444">
        <v>0</v>
      </c>
      <c r="E1444">
        <v>3</v>
      </c>
      <c r="F1444">
        <v>2169</v>
      </c>
    </row>
    <row r="1445" spans="1:6" x14ac:dyDescent="0.25">
      <c r="A1445" t="s">
        <v>123</v>
      </c>
      <c r="B1445" t="s">
        <v>125</v>
      </c>
      <c r="C1445">
        <v>2</v>
      </c>
      <c r="D1445">
        <v>0</v>
      </c>
      <c r="E1445">
        <v>4</v>
      </c>
      <c r="F1445">
        <v>23460</v>
      </c>
    </row>
    <row r="1446" spans="1:6" x14ac:dyDescent="0.25">
      <c r="A1446" t="s">
        <v>123</v>
      </c>
      <c r="B1446" t="s">
        <v>125</v>
      </c>
      <c r="C1446">
        <v>2</v>
      </c>
      <c r="D1446">
        <v>0</v>
      </c>
      <c r="E1446">
        <v>5</v>
      </c>
      <c r="F1446">
        <v>432</v>
      </c>
    </row>
    <row r="1447" spans="1:6" x14ac:dyDescent="0.25">
      <c r="A1447" t="s">
        <v>123</v>
      </c>
      <c r="B1447" t="s">
        <v>125</v>
      </c>
      <c r="C1447">
        <v>2</v>
      </c>
      <c r="D1447">
        <v>0</v>
      </c>
      <c r="E1447">
        <v>6</v>
      </c>
      <c r="F1447">
        <v>13475</v>
      </c>
    </row>
    <row r="1448" spans="1:6" x14ac:dyDescent="0.25">
      <c r="A1448" t="s">
        <v>123</v>
      </c>
      <c r="B1448" t="s">
        <v>125</v>
      </c>
      <c r="C1448">
        <v>2</v>
      </c>
      <c r="D1448">
        <v>1</v>
      </c>
      <c r="E1448">
        <v>1</v>
      </c>
      <c r="F1448">
        <v>624571</v>
      </c>
    </row>
    <row r="1449" spans="1:6" x14ac:dyDescent="0.25">
      <c r="A1449" t="s">
        <v>123</v>
      </c>
      <c r="B1449" t="s">
        <v>125</v>
      </c>
      <c r="C1449">
        <v>2</v>
      </c>
      <c r="D1449">
        <v>1</v>
      </c>
      <c r="E1449">
        <v>2</v>
      </c>
      <c r="F1449">
        <v>10474</v>
      </c>
    </row>
    <row r="1450" spans="1:6" x14ac:dyDescent="0.25">
      <c r="A1450" t="s">
        <v>123</v>
      </c>
      <c r="B1450" t="s">
        <v>125</v>
      </c>
      <c r="C1450">
        <v>2</v>
      </c>
      <c r="D1450">
        <v>1</v>
      </c>
      <c r="E1450">
        <v>3</v>
      </c>
      <c r="F1450">
        <v>1433</v>
      </c>
    </row>
    <row r="1451" spans="1:6" x14ac:dyDescent="0.25">
      <c r="A1451" t="s">
        <v>123</v>
      </c>
      <c r="B1451" t="s">
        <v>125</v>
      </c>
      <c r="C1451">
        <v>2</v>
      </c>
      <c r="D1451">
        <v>1</v>
      </c>
      <c r="E1451">
        <v>4</v>
      </c>
      <c r="F1451">
        <v>23120</v>
      </c>
    </row>
    <row r="1452" spans="1:6" x14ac:dyDescent="0.25">
      <c r="A1452" t="s">
        <v>123</v>
      </c>
      <c r="B1452" t="s">
        <v>125</v>
      </c>
      <c r="C1452">
        <v>2</v>
      </c>
      <c r="D1452">
        <v>1</v>
      </c>
      <c r="E1452">
        <v>5</v>
      </c>
      <c r="F1452">
        <v>221</v>
      </c>
    </row>
    <row r="1453" spans="1:6" x14ac:dyDescent="0.25">
      <c r="A1453" t="s">
        <v>123</v>
      </c>
      <c r="B1453" t="s">
        <v>125</v>
      </c>
      <c r="C1453">
        <v>2</v>
      </c>
      <c r="D1453">
        <v>1</v>
      </c>
      <c r="E1453">
        <v>6</v>
      </c>
      <c r="F1453">
        <v>11875</v>
      </c>
    </row>
    <row r="1454" spans="1:6" x14ac:dyDescent="0.25">
      <c r="A1454" t="s">
        <v>123</v>
      </c>
      <c r="B1454" t="s">
        <v>125</v>
      </c>
      <c r="C1454">
        <v>2</v>
      </c>
      <c r="D1454">
        <v>2</v>
      </c>
      <c r="E1454">
        <v>1</v>
      </c>
      <c r="F1454">
        <v>28357</v>
      </c>
    </row>
    <row r="1455" spans="1:6" x14ac:dyDescent="0.25">
      <c r="A1455" t="s">
        <v>123</v>
      </c>
      <c r="B1455" t="s">
        <v>125</v>
      </c>
      <c r="C1455">
        <v>2</v>
      </c>
      <c r="D1455">
        <v>2</v>
      </c>
      <c r="E1455">
        <v>2</v>
      </c>
      <c r="F1455">
        <v>2727</v>
      </c>
    </row>
    <row r="1456" spans="1:6" x14ac:dyDescent="0.25">
      <c r="A1456" t="s">
        <v>123</v>
      </c>
      <c r="B1456" t="s">
        <v>125</v>
      </c>
      <c r="C1456">
        <v>2</v>
      </c>
      <c r="D1456">
        <v>2</v>
      </c>
      <c r="E1456">
        <v>3</v>
      </c>
      <c r="F1456">
        <v>736</v>
      </c>
    </row>
    <row r="1457" spans="1:6" x14ac:dyDescent="0.25">
      <c r="A1457" t="s">
        <v>123</v>
      </c>
      <c r="B1457" t="s">
        <v>125</v>
      </c>
      <c r="C1457">
        <v>2</v>
      </c>
      <c r="D1457">
        <v>2</v>
      </c>
      <c r="E1457">
        <v>4</v>
      </c>
      <c r="F1457">
        <v>340</v>
      </c>
    </row>
    <row r="1458" spans="1:6" x14ac:dyDescent="0.25">
      <c r="A1458" t="s">
        <v>123</v>
      </c>
      <c r="B1458" t="s">
        <v>125</v>
      </c>
      <c r="C1458">
        <v>2</v>
      </c>
      <c r="D1458">
        <v>2</v>
      </c>
      <c r="E1458">
        <v>5</v>
      </c>
      <c r="F1458">
        <v>211</v>
      </c>
    </row>
    <row r="1459" spans="1:6" x14ac:dyDescent="0.25">
      <c r="A1459" t="s">
        <v>123</v>
      </c>
      <c r="B1459" t="s">
        <v>125</v>
      </c>
      <c r="C1459">
        <v>2</v>
      </c>
      <c r="D1459">
        <v>2</v>
      </c>
      <c r="E1459">
        <v>6</v>
      </c>
      <c r="F1459">
        <v>1600</v>
      </c>
    </row>
    <row r="1460" spans="1:6" x14ac:dyDescent="0.25">
      <c r="A1460" t="s">
        <v>126</v>
      </c>
      <c r="B1460" t="s">
        <v>128</v>
      </c>
      <c r="C1460">
        <v>0</v>
      </c>
      <c r="D1460">
        <v>0</v>
      </c>
      <c r="E1460">
        <v>1</v>
      </c>
      <c r="F1460">
        <v>6612719</v>
      </c>
    </row>
    <row r="1461" spans="1:6" x14ac:dyDescent="0.25">
      <c r="A1461" t="s">
        <v>126</v>
      </c>
      <c r="B1461" t="s">
        <v>128</v>
      </c>
      <c r="C1461">
        <v>0</v>
      </c>
      <c r="D1461">
        <v>0</v>
      </c>
      <c r="E1461">
        <v>2</v>
      </c>
      <c r="F1461">
        <v>1481943</v>
      </c>
    </row>
    <row r="1462" spans="1:6" x14ac:dyDescent="0.25">
      <c r="A1462" t="s">
        <v>126</v>
      </c>
      <c r="B1462" t="s">
        <v>128</v>
      </c>
      <c r="C1462">
        <v>0</v>
      </c>
      <c r="D1462">
        <v>0</v>
      </c>
      <c r="E1462">
        <v>3</v>
      </c>
      <c r="F1462">
        <v>87822</v>
      </c>
    </row>
    <row r="1463" spans="1:6" x14ac:dyDescent="0.25">
      <c r="A1463" t="s">
        <v>126</v>
      </c>
      <c r="B1463" t="s">
        <v>128</v>
      </c>
      <c r="C1463">
        <v>0</v>
      </c>
      <c r="D1463">
        <v>0</v>
      </c>
      <c r="E1463">
        <v>4</v>
      </c>
      <c r="F1463">
        <v>1056776</v>
      </c>
    </row>
    <row r="1464" spans="1:6" x14ac:dyDescent="0.25">
      <c r="A1464" t="s">
        <v>126</v>
      </c>
      <c r="B1464" t="s">
        <v>128</v>
      </c>
      <c r="C1464">
        <v>0</v>
      </c>
      <c r="D1464">
        <v>0</v>
      </c>
      <c r="E1464">
        <v>5</v>
      </c>
      <c r="F1464">
        <v>14952</v>
      </c>
    </row>
    <row r="1465" spans="1:6" x14ac:dyDescent="0.25">
      <c r="A1465" t="s">
        <v>126</v>
      </c>
      <c r="B1465" t="s">
        <v>128</v>
      </c>
      <c r="C1465">
        <v>0</v>
      </c>
      <c r="D1465">
        <v>0</v>
      </c>
      <c r="E1465">
        <v>6</v>
      </c>
      <c r="F1465">
        <v>246639</v>
      </c>
    </row>
    <row r="1466" spans="1:6" x14ac:dyDescent="0.25">
      <c r="A1466" t="s">
        <v>126</v>
      </c>
      <c r="B1466" t="s">
        <v>128</v>
      </c>
      <c r="C1466">
        <v>0</v>
      </c>
      <c r="D1466">
        <v>1</v>
      </c>
      <c r="E1466">
        <v>1</v>
      </c>
      <c r="F1466">
        <v>4826932</v>
      </c>
    </row>
    <row r="1467" spans="1:6" x14ac:dyDescent="0.25">
      <c r="A1467" t="s">
        <v>126</v>
      </c>
      <c r="B1467" t="s">
        <v>128</v>
      </c>
      <c r="C1467">
        <v>0</v>
      </c>
      <c r="D1467">
        <v>1</v>
      </c>
      <c r="E1467">
        <v>2</v>
      </c>
      <c r="F1467">
        <v>1228238</v>
      </c>
    </row>
    <row r="1468" spans="1:6" x14ac:dyDescent="0.25">
      <c r="A1468" t="s">
        <v>126</v>
      </c>
      <c r="B1468" t="s">
        <v>128</v>
      </c>
      <c r="C1468">
        <v>0</v>
      </c>
      <c r="D1468">
        <v>1</v>
      </c>
      <c r="E1468">
        <v>3</v>
      </c>
      <c r="F1468">
        <v>14370</v>
      </c>
    </row>
    <row r="1469" spans="1:6" x14ac:dyDescent="0.25">
      <c r="A1469" t="s">
        <v>126</v>
      </c>
      <c r="B1469" t="s">
        <v>128</v>
      </c>
      <c r="C1469">
        <v>0</v>
      </c>
      <c r="D1469">
        <v>1</v>
      </c>
      <c r="E1469">
        <v>4</v>
      </c>
      <c r="F1469">
        <v>1035002</v>
      </c>
    </row>
    <row r="1470" spans="1:6" x14ac:dyDescent="0.25">
      <c r="A1470" t="s">
        <v>126</v>
      </c>
      <c r="B1470" t="s">
        <v>128</v>
      </c>
      <c r="C1470">
        <v>0</v>
      </c>
      <c r="D1470">
        <v>1</v>
      </c>
      <c r="E1470">
        <v>5</v>
      </c>
      <c r="F1470">
        <v>3777</v>
      </c>
    </row>
    <row r="1471" spans="1:6" x14ac:dyDescent="0.25">
      <c r="A1471" t="s">
        <v>126</v>
      </c>
      <c r="B1471" t="s">
        <v>128</v>
      </c>
      <c r="C1471">
        <v>0</v>
      </c>
      <c r="D1471">
        <v>1</v>
      </c>
      <c r="E1471">
        <v>6</v>
      </c>
      <c r="F1471">
        <v>163071</v>
      </c>
    </row>
    <row r="1472" spans="1:6" x14ac:dyDescent="0.25">
      <c r="A1472" t="s">
        <v>126</v>
      </c>
      <c r="B1472" t="s">
        <v>128</v>
      </c>
      <c r="C1472">
        <v>0</v>
      </c>
      <c r="D1472">
        <v>2</v>
      </c>
      <c r="E1472">
        <v>1</v>
      </c>
      <c r="F1472">
        <v>1785787</v>
      </c>
    </row>
    <row r="1473" spans="1:6" x14ac:dyDescent="0.25">
      <c r="A1473" t="s">
        <v>126</v>
      </c>
      <c r="B1473" t="s">
        <v>128</v>
      </c>
      <c r="C1473">
        <v>0</v>
      </c>
      <c r="D1473">
        <v>2</v>
      </c>
      <c r="E1473">
        <v>2</v>
      </c>
      <c r="F1473">
        <v>253705</v>
      </c>
    </row>
    <row r="1474" spans="1:6" x14ac:dyDescent="0.25">
      <c r="A1474" t="s">
        <v>126</v>
      </c>
      <c r="B1474" t="s">
        <v>128</v>
      </c>
      <c r="C1474">
        <v>0</v>
      </c>
      <c r="D1474">
        <v>2</v>
      </c>
      <c r="E1474">
        <v>3</v>
      </c>
      <c r="F1474">
        <v>73452</v>
      </c>
    </row>
    <row r="1475" spans="1:6" x14ac:dyDescent="0.25">
      <c r="A1475" t="s">
        <v>126</v>
      </c>
      <c r="B1475" t="s">
        <v>128</v>
      </c>
      <c r="C1475">
        <v>0</v>
      </c>
      <c r="D1475">
        <v>2</v>
      </c>
      <c r="E1475">
        <v>4</v>
      </c>
      <c r="F1475">
        <v>21774</v>
      </c>
    </row>
    <row r="1476" spans="1:6" x14ac:dyDescent="0.25">
      <c r="A1476" t="s">
        <v>126</v>
      </c>
      <c r="B1476" t="s">
        <v>128</v>
      </c>
      <c r="C1476">
        <v>0</v>
      </c>
      <c r="D1476">
        <v>2</v>
      </c>
      <c r="E1476">
        <v>5</v>
      </c>
      <c r="F1476">
        <v>11175</v>
      </c>
    </row>
    <row r="1477" spans="1:6" x14ac:dyDescent="0.25">
      <c r="A1477" t="s">
        <v>126</v>
      </c>
      <c r="B1477" t="s">
        <v>128</v>
      </c>
      <c r="C1477">
        <v>0</v>
      </c>
      <c r="D1477">
        <v>2</v>
      </c>
      <c r="E1477">
        <v>6</v>
      </c>
      <c r="F1477">
        <v>83568</v>
      </c>
    </row>
    <row r="1478" spans="1:6" x14ac:dyDescent="0.25">
      <c r="A1478" t="s">
        <v>126</v>
      </c>
      <c r="B1478" t="s">
        <v>128</v>
      </c>
      <c r="C1478">
        <v>1</v>
      </c>
      <c r="D1478">
        <v>0</v>
      </c>
      <c r="E1478">
        <v>1</v>
      </c>
      <c r="F1478">
        <v>3274764</v>
      </c>
    </row>
    <row r="1479" spans="1:6" x14ac:dyDescent="0.25">
      <c r="A1479" t="s">
        <v>126</v>
      </c>
      <c r="B1479" t="s">
        <v>128</v>
      </c>
      <c r="C1479">
        <v>1</v>
      </c>
      <c r="D1479">
        <v>0</v>
      </c>
      <c r="E1479">
        <v>2</v>
      </c>
      <c r="F1479">
        <v>710289</v>
      </c>
    </row>
    <row r="1480" spans="1:6" x14ac:dyDescent="0.25">
      <c r="A1480" t="s">
        <v>126</v>
      </c>
      <c r="B1480" t="s">
        <v>128</v>
      </c>
      <c r="C1480">
        <v>1</v>
      </c>
      <c r="D1480">
        <v>0</v>
      </c>
      <c r="E1480">
        <v>3</v>
      </c>
      <c r="F1480">
        <v>45180</v>
      </c>
    </row>
    <row r="1481" spans="1:6" x14ac:dyDescent="0.25">
      <c r="A1481" t="s">
        <v>126</v>
      </c>
      <c r="B1481" t="s">
        <v>128</v>
      </c>
      <c r="C1481">
        <v>1</v>
      </c>
      <c r="D1481">
        <v>0</v>
      </c>
      <c r="E1481">
        <v>4</v>
      </c>
      <c r="F1481">
        <v>517484</v>
      </c>
    </row>
    <row r="1482" spans="1:6" x14ac:dyDescent="0.25">
      <c r="A1482" t="s">
        <v>126</v>
      </c>
      <c r="B1482" t="s">
        <v>128</v>
      </c>
      <c r="C1482">
        <v>1</v>
      </c>
      <c r="D1482">
        <v>0</v>
      </c>
      <c r="E1482">
        <v>5</v>
      </c>
      <c r="F1482">
        <v>7546</v>
      </c>
    </row>
    <row r="1483" spans="1:6" x14ac:dyDescent="0.25">
      <c r="A1483" t="s">
        <v>126</v>
      </c>
      <c r="B1483" t="s">
        <v>128</v>
      </c>
      <c r="C1483">
        <v>1</v>
      </c>
      <c r="D1483">
        <v>0</v>
      </c>
      <c r="E1483">
        <v>6</v>
      </c>
      <c r="F1483">
        <v>122674</v>
      </c>
    </row>
    <row r="1484" spans="1:6" x14ac:dyDescent="0.25">
      <c r="A1484" t="s">
        <v>126</v>
      </c>
      <c r="B1484" t="s">
        <v>128</v>
      </c>
      <c r="C1484">
        <v>1</v>
      </c>
      <c r="D1484">
        <v>1</v>
      </c>
      <c r="E1484">
        <v>1</v>
      </c>
      <c r="F1484">
        <v>2379001</v>
      </c>
    </row>
    <row r="1485" spans="1:6" x14ac:dyDescent="0.25">
      <c r="A1485" t="s">
        <v>126</v>
      </c>
      <c r="B1485" t="s">
        <v>128</v>
      </c>
      <c r="C1485">
        <v>1</v>
      </c>
      <c r="D1485">
        <v>1</v>
      </c>
      <c r="E1485">
        <v>2</v>
      </c>
      <c r="F1485">
        <v>584413</v>
      </c>
    </row>
    <row r="1486" spans="1:6" x14ac:dyDescent="0.25">
      <c r="A1486" t="s">
        <v>126</v>
      </c>
      <c r="B1486" t="s">
        <v>128</v>
      </c>
      <c r="C1486">
        <v>1</v>
      </c>
      <c r="D1486">
        <v>1</v>
      </c>
      <c r="E1486">
        <v>3</v>
      </c>
      <c r="F1486">
        <v>6994</v>
      </c>
    </row>
    <row r="1487" spans="1:6" x14ac:dyDescent="0.25">
      <c r="A1487" t="s">
        <v>126</v>
      </c>
      <c r="B1487" t="s">
        <v>128</v>
      </c>
      <c r="C1487">
        <v>1</v>
      </c>
      <c r="D1487">
        <v>1</v>
      </c>
      <c r="E1487">
        <v>4</v>
      </c>
      <c r="F1487">
        <v>506723</v>
      </c>
    </row>
    <row r="1488" spans="1:6" x14ac:dyDescent="0.25">
      <c r="A1488" t="s">
        <v>126</v>
      </c>
      <c r="B1488" t="s">
        <v>128</v>
      </c>
      <c r="C1488">
        <v>1</v>
      </c>
      <c r="D1488">
        <v>1</v>
      </c>
      <c r="E1488">
        <v>5</v>
      </c>
      <c r="F1488">
        <v>1838</v>
      </c>
    </row>
    <row r="1489" spans="1:6" x14ac:dyDescent="0.25">
      <c r="A1489" t="s">
        <v>126</v>
      </c>
      <c r="B1489" t="s">
        <v>128</v>
      </c>
      <c r="C1489">
        <v>1</v>
      </c>
      <c r="D1489">
        <v>1</v>
      </c>
      <c r="E1489">
        <v>6</v>
      </c>
      <c r="F1489">
        <v>81025</v>
      </c>
    </row>
    <row r="1490" spans="1:6" x14ac:dyDescent="0.25">
      <c r="A1490" t="s">
        <v>126</v>
      </c>
      <c r="B1490" t="s">
        <v>128</v>
      </c>
      <c r="C1490">
        <v>1</v>
      </c>
      <c r="D1490">
        <v>2</v>
      </c>
      <c r="E1490">
        <v>1</v>
      </c>
      <c r="F1490">
        <v>895763</v>
      </c>
    </row>
    <row r="1491" spans="1:6" x14ac:dyDescent="0.25">
      <c r="A1491" t="s">
        <v>126</v>
      </c>
      <c r="B1491" t="s">
        <v>128</v>
      </c>
      <c r="C1491">
        <v>1</v>
      </c>
      <c r="D1491">
        <v>2</v>
      </c>
      <c r="E1491">
        <v>2</v>
      </c>
      <c r="F1491">
        <v>125876</v>
      </c>
    </row>
    <row r="1492" spans="1:6" x14ac:dyDescent="0.25">
      <c r="A1492" t="s">
        <v>126</v>
      </c>
      <c r="B1492" t="s">
        <v>128</v>
      </c>
      <c r="C1492">
        <v>1</v>
      </c>
      <c r="D1492">
        <v>2</v>
      </c>
      <c r="E1492">
        <v>3</v>
      </c>
      <c r="F1492">
        <v>38186</v>
      </c>
    </row>
    <row r="1493" spans="1:6" x14ac:dyDescent="0.25">
      <c r="A1493" t="s">
        <v>126</v>
      </c>
      <c r="B1493" t="s">
        <v>128</v>
      </c>
      <c r="C1493">
        <v>1</v>
      </c>
      <c r="D1493">
        <v>2</v>
      </c>
      <c r="E1493">
        <v>4</v>
      </c>
      <c r="F1493">
        <v>10761</v>
      </c>
    </row>
    <row r="1494" spans="1:6" x14ac:dyDescent="0.25">
      <c r="A1494" t="s">
        <v>126</v>
      </c>
      <c r="B1494" t="s">
        <v>128</v>
      </c>
      <c r="C1494">
        <v>1</v>
      </c>
      <c r="D1494">
        <v>2</v>
      </c>
      <c r="E1494">
        <v>5</v>
      </c>
      <c r="F1494">
        <v>5708</v>
      </c>
    </row>
    <row r="1495" spans="1:6" x14ac:dyDescent="0.25">
      <c r="A1495" t="s">
        <v>126</v>
      </c>
      <c r="B1495" t="s">
        <v>128</v>
      </c>
      <c r="C1495">
        <v>1</v>
      </c>
      <c r="D1495">
        <v>2</v>
      </c>
      <c r="E1495">
        <v>6</v>
      </c>
      <c r="F1495">
        <v>41649</v>
      </c>
    </row>
    <row r="1496" spans="1:6" x14ac:dyDescent="0.25">
      <c r="A1496" t="s">
        <v>126</v>
      </c>
      <c r="B1496" t="s">
        <v>128</v>
      </c>
      <c r="C1496">
        <v>2</v>
      </c>
      <c r="D1496">
        <v>0</v>
      </c>
      <c r="E1496">
        <v>1</v>
      </c>
      <c r="F1496">
        <v>3337955</v>
      </c>
    </row>
    <row r="1497" spans="1:6" x14ac:dyDescent="0.25">
      <c r="A1497" t="s">
        <v>126</v>
      </c>
      <c r="B1497" t="s">
        <v>128</v>
      </c>
      <c r="C1497">
        <v>2</v>
      </c>
      <c r="D1497">
        <v>0</v>
      </c>
      <c r="E1497">
        <v>2</v>
      </c>
      <c r="F1497">
        <v>771654</v>
      </c>
    </row>
    <row r="1498" spans="1:6" x14ac:dyDescent="0.25">
      <c r="A1498" t="s">
        <v>126</v>
      </c>
      <c r="B1498" t="s">
        <v>128</v>
      </c>
      <c r="C1498">
        <v>2</v>
      </c>
      <c r="D1498">
        <v>0</v>
      </c>
      <c r="E1498">
        <v>3</v>
      </c>
      <c r="F1498">
        <v>42642</v>
      </c>
    </row>
    <row r="1499" spans="1:6" x14ac:dyDescent="0.25">
      <c r="A1499" t="s">
        <v>126</v>
      </c>
      <c r="B1499" t="s">
        <v>128</v>
      </c>
      <c r="C1499">
        <v>2</v>
      </c>
      <c r="D1499">
        <v>0</v>
      </c>
      <c r="E1499">
        <v>4</v>
      </c>
      <c r="F1499">
        <v>539292</v>
      </c>
    </row>
    <row r="1500" spans="1:6" x14ac:dyDescent="0.25">
      <c r="A1500" t="s">
        <v>126</v>
      </c>
      <c r="B1500" t="s">
        <v>128</v>
      </c>
      <c r="C1500">
        <v>2</v>
      </c>
      <c r="D1500">
        <v>0</v>
      </c>
      <c r="E1500">
        <v>5</v>
      </c>
      <c r="F1500">
        <v>7406</v>
      </c>
    </row>
    <row r="1501" spans="1:6" x14ac:dyDescent="0.25">
      <c r="A1501" t="s">
        <v>126</v>
      </c>
      <c r="B1501" t="s">
        <v>128</v>
      </c>
      <c r="C1501">
        <v>2</v>
      </c>
      <c r="D1501">
        <v>0</v>
      </c>
      <c r="E1501">
        <v>6</v>
      </c>
      <c r="F1501">
        <v>123965</v>
      </c>
    </row>
    <row r="1502" spans="1:6" x14ac:dyDescent="0.25">
      <c r="A1502" t="s">
        <v>126</v>
      </c>
      <c r="B1502" t="s">
        <v>128</v>
      </c>
      <c r="C1502">
        <v>2</v>
      </c>
      <c r="D1502">
        <v>1</v>
      </c>
      <c r="E1502">
        <v>1</v>
      </c>
      <c r="F1502">
        <v>2447931</v>
      </c>
    </row>
    <row r="1503" spans="1:6" x14ac:dyDescent="0.25">
      <c r="A1503" t="s">
        <v>126</v>
      </c>
      <c r="B1503" t="s">
        <v>128</v>
      </c>
      <c r="C1503">
        <v>2</v>
      </c>
      <c r="D1503">
        <v>1</v>
      </c>
      <c r="E1503">
        <v>2</v>
      </c>
      <c r="F1503">
        <v>643825</v>
      </c>
    </row>
    <row r="1504" spans="1:6" x14ac:dyDescent="0.25">
      <c r="A1504" t="s">
        <v>126</v>
      </c>
      <c r="B1504" t="s">
        <v>128</v>
      </c>
      <c r="C1504">
        <v>2</v>
      </c>
      <c r="D1504">
        <v>1</v>
      </c>
      <c r="E1504">
        <v>3</v>
      </c>
      <c r="F1504">
        <v>7376</v>
      </c>
    </row>
    <row r="1505" spans="1:6" x14ac:dyDescent="0.25">
      <c r="A1505" t="s">
        <v>126</v>
      </c>
      <c r="B1505" t="s">
        <v>128</v>
      </c>
      <c r="C1505">
        <v>2</v>
      </c>
      <c r="D1505">
        <v>1</v>
      </c>
      <c r="E1505">
        <v>4</v>
      </c>
      <c r="F1505">
        <v>528279</v>
      </c>
    </row>
    <row r="1506" spans="1:6" x14ac:dyDescent="0.25">
      <c r="A1506" t="s">
        <v>126</v>
      </c>
      <c r="B1506" t="s">
        <v>128</v>
      </c>
      <c r="C1506">
        <v>2</v>
      </c>
      <c r="D1506">
        <v>1</v>
      </c>
      <c r="E1506">
        <v>5</v>
      </c>
      <c r="F1506">
        <v>1939</v>
      </c>
    </row>
    <row r="1507" spans="1:6" x14ac:dyDescent="0.25">
      <c r="A1507" t="s">
        <v>126</v>
      </c>
      <c r="B1507" t="s">
        <v>128</v>
      </c>
      <c r="C1507">
        <v>2</v>
      </c>
      <c r="D1507">
        <v>1</v>
      </c>
      <c r="E1507">
        <v>6</v>
      </c>
      <c r="F1507">
        <v>82046</v>
      </c>
    </row>
    <row r="1508" spans="1:6" x14ac:dyDescent="0.25">
      <c r="A1508" t="s">
        <v>126</v>
      </c>
      <c r="B1508" t="s">
        <v>128</v>
      </c>
      <c r="C1508">
        <v>2</v>
      </c>
      <c r="D1508">
        <v>2</v>
      </c>
      <c r="E1508">
        <v>1</v>
      </c>
      <c r="F1508">
        <v>890024</v>
      </c>
    </row>
    <row r="1509" spans="1:6" x14ac:dyDescent="0.25">
      <c r="A1509" t="s">
        <v>126</v>
      </c>
      <c r="B1509" t="s">
        <v>128</v>
      </c>
      <c r="C1509">
        <v>2</v>
      </c>
      <c r="D1509">
        <v>2</v>
      </c>
      <c r="E1509">
        <v>2</v>
      </c>
      <c r="F1509">
        <v>127829</v>
      </c>
    </row>
    <row r="1510" spans="1:6" x14ac:dyDescent="0.25">
      <c r="A1510" t="s">
        <v>126</v>
      </c>
      <c r="B1510" t="s">
        <v>128</v>
      </c>
      <c r="C1510">
        <v>2</v>
      </c>
      <c r="D1510">
        <v>2</v>
      </c>
      <c r="E1510">
        <v>3</v>
      </c>
      <c r="F1510">
        <v>35266</v>
      </c>
    </row>
    <row r="1511" spans="1:6" x14ac:dyDescent="0.25">
      <c r="A1511" t="s">
        <v>126</v>
      </c>
      <c r="B1511" t="s">
        <v>128</v>
      </c>
      <c r="C1511">
        <v>2</v>
      </c>
      <c r="D1511">
        <v>2</v>
      </c>
      <c r="E1511">
        <v>4</v>
      </c>
      <c r="F1511">
        <v>11013</v>
      </c>
    </row>
    <row r="1512" spans="1:6" x14ac:dyDescent="0.25">
      <c r="A1512" t="s">
        <v>126</v>
      </c>
      <c r="B1512" t="s">
        <v>128</v>
      </c>
      <c r="C1512">
        <v>2</v>
      </c>
      <c r="D1512">
        <v>2</v>
      </c>
      <c r="E1512">
        <v>5</v>
      </c>
      <c r="F1512">
        <v>5467</v>
      </c>
    </row>
    <row r="1513" spans="1:6" x14ac:dyDescent="0.25">
      <c r="A1513" t="s">
        <v>126</v>
      </c>
      <c r="B1513" t="s">
        <v>128</v>
      </c>
      <c r="C1513">
        <v>2</v>
      </c>
      <c r="D1513">
        <v>2</v>
      </c>
      <c r="E1513">
        <v>6</v>
      </c>
      <c r="F1513">
        <v>41919</v>
      </c>
    </row>
    <row r="1514" spans="1:6" x14ac:dyDescent="0.25">
      <c r="A1514" t="s">
        <v>130</v>
      </c>
      <c r="B1514" t="s">
        <v>132</v>
      </c>
      <c r="C1514">
        <v>0</v>
      </c>
      <c r="D1514">
        <v>0</v>
      </c>
      <c r="E1514">
        <v>1</v>
      </c>
      <c r="F1514">
        <v>1715139</v>
      </c>
    </row>
    <row r="1515" spans="1:6" x14ac:dyDescent="0.25">
      <c r="A1515" t="s">
        <v>130</v>
      </c>
      <c r="B1515" t="s">
        <v>132</v>
      </c>
      <c r="C1515">
        <v>0</v>
      </c>
      <c r="D1515">
        <v>0</v>
      </c>
      <c r="E1515">
        <v>2</v>
      </c>
      <c r="F1515">
        <v>61889</v>
      </c>
    </row>
    <row r="1516" spans="1:6" x14ac:dyDescent="0.25">
      <c r="A1516" t="s">
        <v>130</v>
      </c>
      <c r="B1516" t="s">
        <v>132</v>
      </c>
      <c r="C1516">
        <v>0</v>
      </c>
      <c r="D1516">
        <v>0</v>
      </c>
      <c r="E1516">
        <v>3</v>
      </c>
      <c r="F1516">
        <v>242732</v>
      </c>
    </row>
    <row r="1517" spans="1:6" x14ac:dyDescent="0.25">
      <c r="A1517" t="s">
        <v>130</v>
      </c>
      <c r="B1517" t="s">
        <v>132</v>
      </c>
      <c r="C1517">
        <v>0</v>
      </c>
      <c r="D1517">
        <v>0</v>
      </c>
      <c r="E1517">
        <v>4</v>
      </c>
      <c r="F1517">
        <v>45430</v>
      </c>
    </row>
    <row r="1518" spans="1:6" x14ac:dyDescent="0.25">
      <c r="A1518" t="s">
        <v>130</v>
      </c>
      <c r="B1518" t="s">
        <v>132</v>
      </c>
      <c r="C1518">
        <v>0</v>
      </c>
      <c r="D1518">
        <v>0</v>
      </c>
      <c r="E1518">
        <v>5</v>
      </c>
      <c r="F1518">
        <v>3743</v>
      </c>
    </row>
    <row r="1519" spans="1:6" x14ac:dyDescent="0.25">
      <c r="A1519" t="s">
        <v>130</v>
      </c>
      <c r="B1519" t="s">
        <v>132</v>
      </c>
      <c r="C1519">
        <v>0</v>
      </c>
      <c r="D1519">
        <v>0</v>
      </c>
      <c r="E1519">
        <v>6</v>
      </c>
      <c r="F1519">
        <v>61323</v>
      </c>
    </row>
    <row r="1520" spans="1:6" x14ac:dyDescent="0.25">
      <c r="A1520" t="s">
        <v>130</v>
      </c>
      <c r="B1520" t="s">
        <v>132</v>
      </c>
      <c r="C1520">
        <v>0</v>
      </c>
      <c r="D1520">
        <v>1</v>
      </c>
      <c r="E1520">
        <v>1</v>
      </c>
      <c r="F1520">
        <v>769343</v>
      </c>
    </row>
    <row r="1521" spans="1:6" x14ac:dyDescent="0.25">
      <c r="A1521" t="s">
        <v>130</v>
      </c>
      <c r="B1521" t="s">
        <v>132</v>
      </c>
      <c r="C1521">
        <v>0</v>
      </c>
      <c r="D1521">
        <v>1</v>
      </c>
      <c r="E1521">
        <v>2</v>
      </c>
      <c r="F1521">
        <v>45443</v>
      </c>
    </row>
    <row r="1522" spans="1:6" x14ac:dyDescent="0.25">
      <c r="A1522" t="s">
        <v>130</v>
      </c>
      <c r="B1522" t="s">
        <v>132</v>
      </c>
      <c r="C1522">
        <v>0</v>
      </c>
      <c r="D1522">
        <v>1</v>
      </c>
      <c r="E1522">
        <v>3</v>
      </c>
      <c r="F1522">
        <v>191297</v>
      </c>
    </row>
    <row r="1523" spans="1:6" x14ac:dyDescent="0.25">
      <c r="A1523" t="s">
        <v>130</v>
      </c>
      <c r="B1523" t="s">
        <v>132</v>
      </c>
      <c r="C1523">
        <v>0</v>
      </c>
      <c r="D1523">
        <v>1</v>
      </c>
      <c r="E1523">
        <v>4</v>
      </c>
      <c r="F1523">
        <v>39858</v>
      </c>
    </row>
    <row r="1524" spans="1:6" x14ac:dyDescent="0.25">
      <c r="A1524" t="s">
        <v>130</v>
      </c>
      <c r="B1524" t="s">
        <v>132</v>
      </c>
      <c r="C1524">
        <v>0</v>
      </c>
      <c r="D1524">
        <v>1</v>
      </c>
      <c r="E1524">
        <v>5</v>
      </c>
      <c r="F1524">
        <v>1581</v>
      </c>
    </row>
    <row r="1525" spans="1:6" x14ac:dyDescent="0.25">
      <c r="A1525" t="s">
        <v>130</v>
      </c>
      <c r="B1525" t="s">
        <v>132</v>
      </c>
      <c r="C1525">
        <v>0</v>
      </c>
      <c r="D1525">
        <v>1</v>
      </c>
      <c r="E1525">
        <v>6</v>
      </c>
      <c r="F1525">
        <v>36480</v>
      </c>
    </row>
    <row r="1526" spans="1:6" x14ac:dyDescent="0.25">
      <c r="A1526" t="s">
        <v>130</v>
      </c>
      <c r="B1526" t="s">
        <v>132</v>
      </c>
      <c r="C1526">
        <v>0</v>
      </c>
      <c r="D1526">
        <v>2</v>
      </c>
      <c r="E1526">
        <v>1</v>
      </c>
      <c r="F1526">
        <v>945796</v>
      </c>
    </row>
    <row r="1527" spans="1:6" x14ac:dyDescent="0.25">
      <c r="A1527" t="s">
        <v>130</v>
      </c>
      <c r="B1527" t="s">
        <v>132</v>
      </c>
      <c r="C1527">
        <v>0</v>
      </c>
      <c r="D1527">
        <v>2</v>
      </c>
      <c r="E1527">
        <v>2</v>
      </c>
      <c r="F1527">
        <v>16446</v>
      </c>
    </row>
    <row r="1528" spans="1:6" x14ac:dyDescent="0.25">
      <c r="A1528" t="s">
        <v>130</v>
      </c>
      <c r="B1528" t="s">
        <v>132</v>
      </c>
      <c r="C1528">
        <v>0</v>
      </c>
      <c r="D1528">
        <v>2</v>
      </c>
      <c r="E1528">
        <v>3</v>
      </c>
      <c r="F1528">
        <v>51435</v>
      </c>
    </row>
    <row r="1529" spans="1:6" x14ac:dyDescent="0.25">
      <c r="A1529" t="s">
        <v>130</v>
      </c>
      <c r="B1529" t="s">
        <v>132</v>
      </c>
      <c r="C1529">
        <v>0</v>
      </c>
      <c r="D1529">
        <v>2</v>
      </c>
      <c r="E1529">
        <v>4</v>
      </c>
      <c r="F1529">
        <v>5572</v>
      </c>
    </row>
    <row r="1530" spans="1:6" x14ac:dyDescent="0.25">
      <c r="A1530" t="s">
        <v>130</v>
      </c>
      <c r="B1530" t="s">
        <v>132</v>
      </c>
      <c r="C1530">
        <v>0</v>
      </c>
      <c r="D1530">
        <v>2</v>
      </c>
      <c r="E1530">
        <v>5</v>
      </c>
      <c r="F1530">
        <v>2162</v>
      </c>
    </row>
    <row r="1531" spans="1:6" x14ac:dyDescent="0.25">
      <c r="A1531" t="s">
        <v>130</v>
      </c>
      <c r="B1531" t="s">
        <v>132</v>
      </c>
      <c r="C1531">
        <v>0</v>
      </c>
      <c r="D1531">
        <v>2</v>
      </c>
      <c r="E1531">
        <v>6</v>
      </c>
      <c r="F1531">
        <v>24843</v>
      </c>
    </row>
    <row r="1532" spans="1:6" x14ac:dyDescent="0.25">
      <c r="A1532" t="s">
        <v>130</v>
      </c>
      <c r="B1532" t="s">
        <v>132</v>
      </c>
      <c r="C1532">
        <v>1</v>
      </c>
      <c r="D1532">
        <v>0</v>
      </c>
      <c r="E1532">
        <v>1</v>
      </c>
      <c r="F1532">
        <v>855034</v>
      </c>
    </row>
    <row r="1533" spans="1:6" x14ac:dyDescent="0.25">
      <c r="A1533" t="s">
        <v>130</v>
      </c>
      <c r="B1533" t="s">
        <v>132</v>
      </c>
      <c r="C1533">
        <v>1</v>
      </c>
      <c r="D1533">
        <v>0</v>
      </c>
      <c r="E1533">
        <v>2</v>
      </c>
      <c r="F1533">
        <v>33669</v>
      </c>
    </row>
    <row r="1534" spans="1:6" x14ac:dyDescent="0.25">
      <c r="A1534" t="s">
        <v>130</v>
      </c>
      <c r="B1534" t="s">
        <v>132</v>
      </c>
      <c r="C1534">
        <v>1</v>
      </c>
      <c r="D1534">
        <v>0</v>
      </c>
      <c r="E1534">
        <v>3</v>
      </c>
      <c r="F1534">
        <v>117835</v>
      </c>
    </row>
    <row r="1535" spans="1:6" x14ac:dyDescent="0.25">
      <c r="A1535" t="s">
        <v>130</v>
      </c>
      <c r="B1535" t="s">
        <v>132</v>
      </c>
      <c r="C1535">
        <v>1</v>
      </c>
      <c r="D1535">
        <v>0</v>
      </c>
      <c r="E1535">
        <v>4</v>
      </c>
      <c r="F1535">
        <v>20924</v>
      </c>
    </row>
    <row r="1536" spans="1:6" x14ac:dyDescent="0.25">
      <c r="A1536" t="s">
        <v>130</v>
      </c>
      <c r="B1536" t="s">
        <v>132</v>
      </c>
      <c r="C1536">
        <v>1</v>
      </c>
      <c r="D1536">
        <v>0</v>
      </c>
      <c r="E1536">
        <v>5</v>
      </c>
      <c r="F1536">
        <v>1885</v>
      </c>
    </row>
    <row r="1537" spans="1:6" x14ac:dyDescent="0.25">
      <c r="A1537" t="s">
        <v>130</v>
      </c>
      <c r="B1537" t="s">
        <v>132</v>
      </c>
      <c r="C1537">
        <v>1</v>
      </c>
      <c r="D1537">
        <v>0</v>
      </c>
      <c r="E1537">
        <v>6</v>
      </c>
      <c r="F1537">
        <v>30830</v>
      </c>
    </row>
    <row r="1538" spans="1:6" x14ac:dyDescent="0.25">
      <c r="A1538" t="s">
        <v>130</v>
      </c>
      <c r="B1538" t="s">
        <v>132</v>
      </c>
      <c r="C1538">
        <v>1</v>
      </c>
      <c r="D1538">
        <v>1</v>
      </c>
      <c r="E1538">
        <v>1</v>
      </c>
      <c r="F1538">
        <v>383562</v>
      </c>
    </row>
    <row r="1539" spans="1:6" x14ac:dyDescent="0.25">
      <c r="A1539" t="s">
        <v>130</v>
      </c>
      <c r="B1539" t="s">
        <v>132</v>
      </c>
      <c r="C1539">
        <v>1</v>
      </c>
      <c r="D1539">
        <v>1</v>
      </c>
      <c r="E1539">
        <v>2</v>
      </c>
      <c r="F1539">
        <v>25468</v>
      </c>
    </row>
    <row r="1540" spans="1:6" x14ac:dyDescent="0.25">
      <c r="A1540" t="s">
        <v>130</v>
      </c>
      <c r="B1540" t="s">
        <v>132</v>
      </c>
      <c r="C1540">
        <v>1</v>
      </c>
      <c r="D1540">
        <v>1</v>
      </c>
      <c r="E1540">
        <v>3</v>
      </c>
      <c r="F1540">
        <v>91302</v>
      </c>
    </row>
    <row r="1541" spans="1:6" x14ac:dyDescent="0.25">
      <c r="A1541" t="s">
        <v>130</v>
      </c>
      <c r="B1541" t="s">
        <v>132</v>
      </c>
      <c r="C1541">
        <v>1</v>
      </c>
      <c r="D1541">
        <v>1</v>
      </c>
      <c r="E1541">
        <v>4</v>
      </c>
      <c r="F1541">
        <v>18123</v>
      </c>
    </row>
    <row r="1542" spans="1:6" x14ac:dyDescent="0.25">
      <c r="A1542" t="s">
        <v>130</v>
      </c>
      <c r="B1542" t="s">
        <v>132</v>
      </c>
      <c r="C1542">
        <v>1</v>
      </c>
      <c r="D1542">
        <v>1</v>
      </c>
      <c r="E1542">
        <v>5</v>
      </c>
      <c r="F1542">
        <v>792</v>
      </c>
    </row>
    <row r="1543" spans="1:6" x14ac:dyDescent="0.25">
      <c r="A1543" t="s">
        <v>130</v>
      </c>
      <c r="B1543" t="s">
        <v>132</v>
      </c>
      <c r="C1543">
        <v>1</v>
      </c>
      <c r="D1543">
        <v>1</v>
      </c>
      <c r="E1543">
        <v>6</v>
      </c>
      <c r="F1543">
        <v>18378</v>
      </c>
    </row>
    <row r="1544" spans="1:6" x14ac:dyDescent="0.25">
      <c r="A1544" t="s">
        <v>130</v>
      </c>
      <c r="B1544" t="s">
        <v>132</v>
      </c>
      <c r="C1544">
        <v>1</v>
      </c>
      <c r="D1544">
        <v>2</v>
      </c>
      <c r="E1544">
        <v>1</v>
      </c>
      <c r="F1544">
        <v>471472</v>
      </c>
    </row>
    <row r="1545" spans="1:6" x14ac:dyDescent="0.25">
      <c r="A1545" t="s">
        <v>130</v>
      </c>
      <c r="B1545" t="s">
        <v>132</v>
      </c>
      <c r="C1545">
        <v>1</v>
      </c>
      <c r="D1545">
        <v>2</v>
      </c>
      <c r="E1545">
        <v>2</v>
      </c>
      <c r="F1545">
        <v>8201</v>
      </c>
    </row>
    <row r="1546" spans="1:6" x14ac:dyDescent="0.25">
      <c r="A1546" t="s">
        <v>130</v>
      </c>
      <c r="B1546" t="s">
        <v>132</v>
      </c>
      <c r="C1546">
        <v>1</v>
      </c>
      <c r="D1546">
        <v>2</v>
      </c>
      <c r="E1546">
        <v>3</v>
      </c>
      <c r="F1546">
        <v>26533</v>
      </c>
    </row>
    <row r="1547" spans="1:6" x14ac:dyDescent="0.25">
      <c r="A1547" t="s">
        <v>130</v>
      </c>
      <c r="B1547" t="s">
        <v>132</v>
      </c>
      <c r="C1547">
        <v>1</v>
      </c>
      <c r="D1547">
        <v>2</v>
      </c>
      <c r="E1547">
        <v>4</v>
      </c>
      <c r="F1547">
        <v>2801</v>
      </c>
    </row>
    <row r="1548" spans="1:6" x14ac:dyDescent="0.25">
      <c r="A1548" t="s">
        <v>130</v>
      </c>
      <c r="B1548" t="s">
        <v>132</v>
      </c>
      <c r="C1548">
        <v>1</v>
      </c>
      <c r="D1548">
        <v>2</v>
      </c>
      <c r="E1548">
        <v>5</v>
      </c>
      <c r="F1548">
        <v>1093</v>
      </c>
    </row>
    <row r="1549" spans="1:6" x14ac:dyDescent="0.25">
      <c r="A1549" t="s">
        <v>130</v>
      </c>
      <c r="B1549" t="s">
        <v>132</v>
      </c>
      <c r="C1549">
        <v>1</v>
      </c>
      <c r="D1549">
        <v>2</v>
      </c>
      <c r="E1549">
        <v>6</v>
      </c>
      <c r="F1549">
        <v>12452</v>
      </c>
    </row>
    <row r="1550" spans="1:6" x14ac:dyDescent="0.25">
      <c r="A1550" t="s">
        <v>130</v>
      </c>
      <c r="B1550" t="s">
        <v>132</v>
      </c>
      <c r="C1550">
        <v>2</v>
      </c>
      <c r="D1550">
        <v>0</v>
      </c>
      <c r="E1550">
        <v>1</v>
      </c>
      <c r="F1550">
        <v>860105</v>
      </c>
    </row>
    <row r="1551" spans="1:6" x14ac:dyDescent="0.25">
      <c r="A1551" t="s">
        <v>130</v>
      </c>
      <c r="B1551" t="s">
        <v>132</v>
      </c>
      <c r="C1551">
        <v>2</v>
      </c>
      <c r="D1551">
        <v>0</v>
      </c>
      <c r="E1551">
        <v>2</v>
      </c>
      <c r="F1551">
        <v>28220</v>
      </c>
    </row>
    <row r="1552" spans="1:6" x14ac:dyDescent="0.25">
      <c r="A1552" t="s">
        <v>130</v>
      </c>
      <c r="B1552" t="s">
        <v>132</v>
      </c>
      <c r="C1552">
        <v>2</v>
      </c>
      <c r="D1552">
        <v>0</v>
      </c>
      <c r="E1552">
        <v>3</v>
      </c>
      <c r="F1552">
        <v>124897</v>
      </c>
    </row>
    <row r="1553" spans="1:6" x14ac:dyDescent="0.25">
      <c r="A1553" t="s">
        <v>130</v>
      </c>
      <c r="B1553" t="s">
        <v>132</v>
      </c>
      <c r="C1553">
        <v>2</v>
      </c>
      <c r="D1553">
        <v>0</v>
      </c>
      <c r="E1553">
        <v>4</v>
      </c>
      <c r="F1553">
        <v>24506</v>
      </c>
    </row>
    <row r="1554" spans="1:6" x14ac:dyDescent="0.25">
      <c r="A1554" t="s">
        <v>130</v>
      </c>
      <c r="B1554" t="s">
        <v>132</v>
      </c>
      <c r="C1554">
        <v>2</v>
      </c>
      <c r="D1554">
        <v>0</v>
      </c>
      <c r="E1554">
        <v>5</v>
      </c>
      <c r="F1554">
        <v>1858</v>
      </c>
    </row>
    <row r="1555" spans="1:6" x14ac:dyDescent="0.25">
      <c r="A1555" t="s">
        <v>130</v>
      </c>
      <c r="B1555" t="s">
        <v>132</v>
      </c>
      <c r="C1555">
        <v>2</v>
      </c>
      <c r="D1555">
        <v>0</v>
      </c>
      <c r="E1555">
        <v>6</v>
      </c>
      <c r="F1555">
        <v>30493</v>
      </c>
    </row>
    <row r="1556" spans="1:6" x14ac:dyDescent="0.25">
      <c r="A1556" t="s">
        <v>130</v>
      </c>
      <c r="B1556" t="s">
        <v>132</v>
      </c>
      <c r="C1556">
        <v>2</v>
      </c>
      <c r="D1556">
        <v>1</v>
      </c>
      <c r="E1556">
        <v>1</v>
      </c>
      <c r="F1556">
        <v>385781</v>
      </c>
    </row>
    <row r="1557" spans="1:6" x14ac:dyDescent="0.25">
      <c r="A1557" t="s">
        <v>130</v>
      </c>
      <c r="B1557" t="s">
        <v>132</v>
      </c>
      <c r="C1557">
        <v>2</v>
      </c>
      <c r="D1557">
        <v>1</v>
      </c>
      <c r="E1557">
        <v>2</v>
      </c>
      <c r="F1557">
        <v>19975</v>
      </c>
    </row>
    <row r="1558" spans="1:6" x14ac:dyDescent="0.25">
      <c r="A1558" t="s">
        <v>130</v>
      </c>
      <c r="B1558" t="s">
        <v>132</v>
      </c>
      <c r="C1558">
        <v>2</v>
      </c>
      <c r="D1558">
        <v>1</v>
      </c>
      <c r="E1558">
        <v>3</v>
      </c>
      <c r="F1558">
        <v>99995</v>
      </c>
    </row>
    <row r="1559" spans="1:6" x14ac:dyDescent="0.25">
      <c r="A1559" t="s">
        <v>130</v>
      </c>
      <c r="B1559" t="s">
        <v>132</v>
      </c>
      <c r="C1559">
        <v>2</v>
      </c>
      <c r="D1559">
        <v>1</v>
      </c>
      <c r="E1559">
        <v>4</v>
      </c>
      <c r="F1559">
        <v>21735</v>
      </c>
    </row>
    <row r="1560" spans="1:6" x14ac:dyDescent="0.25">
      <c r="A1560" t="s">
        <v>130</v>
      </c>
      <c r="B1560" t="s">
        <v>132</v>
      </c>
      <c r="C1560">
        <v>2</v>
      </c>
      <c r="D1560">
        <v>1</v>
      </c>
      <c r="E1560">
        <v>5</v>
      </c>
      <c r="F1560">
        <v>789</v>
      </c>
    </row>
    <row r="1561" spans="1:6" x14ac:dyDescent="0.25">
      <c r="A1561" t="s">
        <v>130</v>
      </c>
      <c r="B1561" t="s">
        <v>132</v>
      </c>
      <c r="C1561">
        <v>2</v>
      </c>
      <c r="D1561">
        <v>1</v>
      </c>
      <c r="E1561">
        <v>6</v>
      </c>
      <c r="F1561">
        <v>18102</v>
      </c>
    </row>
    <row r="1562" spans="1:6" x14ac:dyDescent="0.25">
      <c r="A1562" t="s">
        <v>130</v>
      </c>
      <c r="B1562" t="s">
        <v>132</v>
      </c>
      <c r="C1562">
        <v>2</v>
      </c>
      <c r="D1562">
        <v>2</v>
      </c>
      <c r="E1562">
        <v>1</v>
      </c>
      <c r="F1562">
        <v>474324</v>
      </c>
    </row>
    <row r="1563" spans="1:6" x14ac:dyDescent="0.25">
      <c r="A1563" t="s">
        <v>130</v>
      </c>
      <c r="B1563" t="s">
        <v>132</v>
      </c>
      <c r="C1563">
        <v>2</v>
      </c>
      <c r="D1563">
        <v>2</v>
      </c>
      <c r="E1563">
        <v>2</v>
      </c>
      <c r="F1563">
        <v>8245</v>
      </c>
    </row>
    <row r="1564" spans="1:6" x14ac:dyDescent="0.25">
      <c r="A1564" t="s">
        <v>130</v>
      </c>
      <c r="B1564" t="s">
        <v>132</v>
      </c>
      <c r="C1564">
        <v>2</v>
      </c>
      <c r="D1564">
        <v>2</v>
      </c>
      <c r="E1564">
        <v>3</v>
      </c>
      <c r="F1564">
        <v>24902</v>
      </c>
    </row>
    <row r="1565" spans="1:6" x14ac:dyDescent="0.25">
      <c r="A1565" t="s">
        <v>130</v>
      </c>
      <c r="B1565" t="s">
        <v>132</v>
      </c>
      <c r="C1565">
        <v>2</v>
      </c>
      <c r="D1565">
        <v>2</v>
      </c>
      <c r="E1565">
        <v>4</v>
      </c>
      <c r="F1565">
        <v>2771</v>
      </c>
    </row>
    <row r="1566" spans="1:6" x14ac:dyDescent="0.25">
      <c r="A1566" t="s">
        <v>130</v>
      </c>
      <c r="B1566" t="s">
        <v>132</v>
      </c>
      <c r="C1566">
        <v>2</v>
      </c>
      <c r="D1566">
        <v>2</v>
      </c>
      <c r="E1566">
        <v>5</v>
      </c>
      <c r="F1566">
        <v>1069</v>
      </c>
    </row>
    <row r="1567" spans="1:6" x14ac:dyDescent="0.25">
      <c r="A1567" t="s">
        <v>130</v>
      </c>
      <c r="B1567" t="s">
        <v>132</v>
      </c>
      <c r="C1567">
        <v>2</v>
      </c>
      <c r="D1567">
        <v>2</v>
      </c>
      <c r="E1567">
        <v>6</v>
      </c>
      <c r="F1567">
        <v>12391</v>
      </c>
    </row>
    <row r="1568" spans="1:6" x14ac:dyDescent="0.25">
      <c r="A1568" t="s">
        <v>133</v>
      </c>
      <c r="B1568" t="s">
        <v>135</v>
      </c>
      <c r="C1568">
        <v>0</v>
      </c>
      <c r="D1568">
        <v>0</v>
      </c>
      <c r="E1568">
        <v>1</v>
      </c>
      <c r="F1568">
        <v>13484281</v>
      </c>
    </row>
    <row r="1569" spans="1:6" x14ac:dyDescent="0.25">
      <c r="A1569" t="s">
        <v>133</v>
      </c>
      <c r="B1569" t="s">
        <v>135</v>
      </c>
      <c r="C1569">
        <v>0</v>
      </c>
      <c r="D1569">
        <v>0</v>
      </c>
      <c r="E1569">
        <v>2</v>
      </c>
      <c r="F1569">
        <v>3534129</v>
      </c>
    </row>
    <row r="1570" spans="1:6" x14ac:dyDescent="0.25">
      <c r="A1570" t="s">
        <v>133</v>
      </c>
      <c r="B1570" t="s">
        <v>135</v>
      </c>
      <c r="C1570">
        <v>0</v>
      </c>
      <c r="D1570">
        <v>0</v>
      </c>
      <c r="E1570">
        <v>3</v>
      </c>
      <c r="F1570">
        <v>230696</v>
      </c>
    </row>
    <row r="1571" spans="1:6" x14ac:dyDescent="0.25">
      <c r="A1571" t="s">
        <v>133</v>
      </c>
      <c r="B1571" t="s">
        <v>135</v>
      </c>
      <c r="C1571">
        <v>0</v>
      </c>
      <c r="D1571">
        <v>0</v>
      </c>
      <c r="E1571">
        <v>4</v>
      </c>
      <c r="F1571">
        <v>2004140</v>
      </c>
    </row>
    <row r="1572" spans="1:6" x14ac:dyDescent="0.25">
      <c r="A1572" t="s">
        <v>133</v>
      </c>
      <c r="B1572" t="s">
        <v>135</v>
      </c>
      <c r="C1572">
        <v>0</v>
      </c>
      <c r="D1572">
        <v>0</v>
      </c>
      <c r="E1572">
        <v>5</v>
      </c>
      <c r="F1572">
        <v>30014</v>
      </c>
    </row>
    <row r="1573" spans="1:6" x14ac:dyDescent="0.25">
      <c r="A1573" t="s">
        <v>133</v>
      </c>
      <c r="B1573" t="s">
        <v>135</v>
      </c>
      <c r="C1573">
        <v>0</v>
      </c>
      <c r="D1573">
        <v>0</v>
      </c>
      <c r="E1573">
        <v>6</v>
      </c>
      <c r="F1573">
        <v>583988</v>
      </c>
    </row>
    <row r="1574" spans="1:6" x14ac:dyDescent="0.25">
      <c r="A1574" t="s">
        <v>133</v>
      </c>
      <c r="B1574" t="s">
        <v>135</v>
      </c>
      <c r="C1574">
        <v>0</v>
      </c>
      <c r="D1574">
        <v>1</v>
      </c>
      <c r="E1574">
        <v>1</v>
      </c>
      <c r="F1574">
        <v>10573595</v>
      </c>
    </row>
    <row r="1575" spans="1:6" x14ac:dyDescent="0.25">
      <c r="A1575" t="s">
        <v>133</v>
      </c>
      <c r="B1575" t="s">
        <v>135</v>
      </c>
      <c r="C1575">
        <v>0</v>
      </c>
      <c r="D1575">
        <v>1</v>
      </c>
      <c r="E1575">
        <v>2</v>
      </c>
      <c r="F1575">
        <v>2843222</v>
      </c>
    </row>
    <row r="1576" spans="1:6" x14ac:dyDescent="0.25">
      <c r="A1576" t="s">
        <v>133</v>
      </c>
      <c r="B1576" t="s">
        <v>135</v>
      </c>
      <c r="C1576">
        <v>0</v>
      </c>
      <c r="D1576">
        <v>1</v>
      </c>
      <c r="E1576">
        <v>3</v>
      </c>
      <c r="F1576">
        <v>59802</v>
      </c>
    </row>
    <row r="1577" spans="1:6" x14ac:dyDescent="0.25">
      <c r="A1577" t="s">
        <v>133</v>
      </c>
      <c r="B1577" t="s">
        <v>135</v>
      </c>
      <c r="C1577">
        <v>0</v>
      </c>
      <c r="D1577">
        <v>1</v>
      </c>
      <c r="E1577">
        <v>4</v>
      </c>
      <c r="F1577">
        <v>1957967</v>
      </c>
    </row>
    <row r="1578" spans="1:6" x14ac:dyDescent="0.25">
      <c r="A1578" t="s">
        <v>133</v>
      </c>
      <c r="B1578" t="s">
        <v>135</v>
      </c>
      <c r="C1578">
        <v>0</v>
      </c>
      <c r="D1578">
        <v>1</v>
      </c>
      <c r="E1578">
        <v>5</v>
      </c>
      <c r="F1578">
        <v>10261</v>
      </c>
    </row>
    <row r="1579" spans="1:6" x14ac:dyDescent="0.25">
      <c r="A1579" t="s">
        <v>133</v>
      </c>
      <c r="B1579" t="s">
        <v>135</v>
      </c>
      <c r="C1579">
        <v>0</v>
      </c>
      <c r="D1579">
        <v>1</v>
      </c>
      <c r="E1579">
        <v>6</v>
      </c>
      <c r="F1579">
        <v>402563</v>
      </c>
    </row>
    <row r="1580" spans="1:6" x14ac:dyDescent="0.25">
      <c r="A1580" t="s">
        <v>133</v>
      </c>
      <c r="B1580" t="s">
        <v>135</v>
      </c>
      <c r="C1580">
        <v>0</v>
      </c>
      <c r="D1580">
        <v>2</v>
      </c>
      <c r="E1580">
        <v>1</v>
      </c>
      <c r="F1580">
        <v>2910686</v>
      </c>
    </row>
    <row r="1581" spans="1:6" x14ac:dyDescent="0.25">
      <c r="A1581" t="s">
        <v>133</v>
      </c>
      <c r="B1581" t="s">
        <v>135</v>
      </c>
      <c r="C1581">
        <v>0</v>
      </c>
      <c r="D1581">
        <v>2</v>
      </c>
      <c r="E1581">
        <v>2</v>
      </c>
      <c r="F1581">
        <v>690907</v>
      </c>
    </row>
    <row r="1582" spans="1:6" x14ac:dyDescent="0.25">
      <c r="A1582" t="s">
        <v>133</v>
      </c>
      <c r="B1582" t="s">
        <v>135</v>
      </c>
      <c r="C1582">
        <v>0</v>
      </c>
      <c r="D1582">
        <v>2</v>
      </c>
      <c r="E1582">
        <v>3</v>
      </c>
      <c r="F1582">
        <v>170894</v>
      </c>
    </row>
    <row r="1583" spans="1:6" x14ac:dyDescent="0.25">
      <c r="A1583" t="s">
        <v>133</v>
      </c>
      <c r="B1583" t="s">
        <v>135</v>
      </c>
      <c r="C1583">
        <v>0</v>
      </c>
      <c r="D1583">
        <v>2</v>
      </c>
      <c r="E1583">
        <v>4</v>
      </c>
      <c r="F1583">
        <v>46173</v>
      </c>
    </row>
    <row r="1584" spans="1:6" x14ac:dyDescent="0.25">
      <c r="A1584" t="s">
        <v>133</v>
      </c>
      <c r="B1584" t="s">
        <v>135</v>
      </c>
      <c r="C1584">
        <v>0</v>
      </c>
      <c r="D1584">
        <v>2</v>
      </c>
      <c r="E1584">
        <v>5</v>
      </c>
      <c r="F1584">
        <v>19753</v>
      </c>
    </row>
    <row r="1585" spans="1:6" x14ac:dyDescent="0.25">
      <c r="A1585" t="s">
        <v>133</v>
      </c>
      <c r="B1585" t="s">
        <v>135</v>
      </c>
      <c r="C1585">
        <v>0</v>
      </c>
      <c r="D1585">
        <v>2</v>
      </c>
      <c r="E1585">
        <v>6</v>
      </c>
      <c r="F1585">
        <v>181425</v>
      </c>
    </row>
    <row r="1586" spans="1:6" x14ac:dyDescent="0.25">
      <c r="A1586" t="s">
        <v>133</v>
      </c>
      <c r="B1586" t="s">
        <v>135</v>
      </c>
      <c r="C1586">
        <v>1</v>
      </c>
      <c r="D1586">
        <v>0</v>
      </c>
      <c r="E1586">
        <v>1</v>
      </c>
      <c r="F1586">
        <v>6661889</v>
      </c>
    </row>
    <row r="1587" spans="1:6" x14ac:dyDescent="0.25">
      <c r="A1587" t="s">
        <v>133</v>
      </c>
      <c r="B1587" t="s">
        <v>135</v>
      </c>
      <c r="C1587">
        <v>1</v>
      </c>
      <c r="D1587">
        <v>0</v>
      </c>
      <c r="E1587">
        <v>2</v>
      </c>
      <c r="F1587">
        <v>1669075</v>
      </c>
    </row>
    <row r="1588" spans="1:6" x14ac:dyDescent="0.25">
      <c r="A1588" t="s">
        <v>133</v>
      </c>
      <c r="B1588" t="s">
        <v>135</v>
      </c>
      <c r="C1588">
        <v>1</v>
      </c>
      <c r="D1588">
        <v>0</v>
      </c>
      <c r="E1588">
        <v>3</v>
      </c>
      <c r="F1588">
        <v>116592</v>
      </c>
    </row>
    <row r="1589" spans="1:6" x14ac:dyDescent="0.25">
      <c r="A1589" t="s">
        <v>133</v>
      </c>
      <c r="B1589" t="s">
        <v>135</v>
      </c>
      <c r="C1589">
        <v>1</v>
      </c>
      <c r="D1589">
        <v>0</v>
      </c>
      <c r="E1589">
        <v>4</v>
      </c>
      <c r="F1589">
        <v>957386</v>
      </c>
    </row>
    <row r="1590" spans="1:6" x14ac:dyDescent="0.25">
      <c r="A1590" t="s">
        <v>133</v>
      </c>
      <c r="B1590" t="s">
        <v>135</v>
      </c>
      <c r="C1590">
        <v>1</v>
      </c>
      <c r="D1590">
        <v>0</v>
      </c>
      <c r="E1590">
        <v>5</v>
      </c>
      <c r="F1590">
        <v>14783</v>
      </c>
    </row>
    <row r="1591" spans="1:6" x14ac:dyDescent="0.25">
      <c r="A1591" t="s">
        <v>133</v>
      </c>
      <c r="B1591" t="s">
        <v>135</v>
      </c>
      <c r="C1591">
        <v>1</v>
      </c>
      <c r="D1591">
        <v>0</v>
      </c>
      <c r="E1591">
        <v>6</v>
      </c>
      <c r="F1591">
        <v>285567</v>
      </c>
    </row>
    <row r="1592" spans="1:6" x14ac:dyDescent="0.25">
      <c r="A1592" t="s">
        <v>133</v>
      </c>
      <c r="B1592" t="s">
        <v>135</v>
      </c>
      <c r="C1592">
        <v>1</v>
      </c>
      <c r="D1592">
        <v>1</v>
      </c>
      <c r="E1592">
        <v>1</v>
      </c>
      <c r="F1592">
        <v>5211619</v>
      </c>
    </row>
    <row r="1593" spans="1:6" x14ac:dyDescent="0.25">
      <c r="A1593" t="s">
        <v>133</v>
      </c>
      <c r="B1593" t="s">
        <v>135</v>
      </c>
      <c r="C1593">
        <v>1</v>
      </c>
      <c r="D1593">
        <v>1</v>
      </c>
      <c r="E1593">
        <v>2</v>
      </c>
      <c r="F1593">
        <v>1338639</v>
      </c>
    </row>
    <row r="1594" spans="1:6" x14ac:dyDescent="0.25">
      <c r="A1594" t="s">
        <v>133</v>
      </c>
      <c r="B1594" t="s">
        <v>135</v>
      </c>
      <c r="C1594">
        <v>1</v>
      </c>
      <c r="D1594">
        <v>1</v>
      </c>
      <c r="E1594">
        <v>3</v>
      </c>
      <c r="F1594">
        <v>29138</v>
      </c>
    </row>
    <row r="1595" spans="1:6" x14ac:dyDescent="0.25">
      <c r="A1595" t="s">
        <v>133</v>
      </c>
      <c r="B1595" t="s">
        <v>135</v>
      </c>
      <c r="C1595">
        <v>1</v>
      </c>
      <c r="D1595">
        <v>1</v>
      </c>
      <c r="E1595">
        <v>4</v>
      </c>
      <c r="F1595">
        <v>934957</v>
      </c>
    </row>
    <row r="1596" spans="1:6" x14ac:dyDescent="0.25">
      <c r="A1596" t="s">
        <v>133</v>
      </c>
      <c r="B1596" t="s">
        <v>135</v>
      </c>
      <c r="C1596">
        <v>1</v>
      </c>
      <c r="D1596">
        <v>1</v>
      </c>
      <c r="E1596">
        <v>5</v>
      </c>
      <c r="F1596">
        <v>4992</v>
      </c>
    </row>
    <row r="1597" spans="1:6" x14ac:dyDescent="0.25">
      <c r="A1597" t="s">
        <v>133</v>
      </c>
      <c r="B1597" t="s">
        <v>135</v>
      </c>
      <c r="C1597">
        <v>1</v>
      </c>
      <c r="D1597">
        <v>1</v>
      </c>
      <c r="E1597">
        <v>6</v>
      </c>
      <c r="F1597">
        <v>197052</v>
      </c>
    </row>
    <row r="1598" spans="1:6" x14ac:dyDescent="0.25">
      <c r="A1598" t="s">
        <v>133</v>
      </c>
      <c r="B1598" t="s">
        <v>135</v>
      </c>
      <c r="C1598">
        <v>1</v>
      </c>
      <c r="D1598">
        <v>2</v>
      </c>
      <c r="E1598">
        <v>1</v>
      </c>
      <c r="F1598">
        <v>1450270</v>
      </c>
    </row>
    <row r="1599" spans="1:6" x14ac:dyDescent="0.25">
      <c r="A1599" t="s">
        <v>133</v>
      </c>
      <c r="B1599" t="s">
        <v>135</v>
      </c>
      <c r="C1599">
        <v>1</v>
      </c>
      <c r="D1599">
        <v>2</v>
      </c>
      <c r="E1599">
        <v>2</v>
      </c>
      <c r="F1599">
        <v>330436</v>
      </c>
    </row>
    <row r="1600" spans="1:6" x14ac:dyDescent="0.25">
      <c r="A1600" t="s">
        <v>133</v>
      </c>
      <c r="B1600" t="s">
        <v>135</v>
      </c>
      <c r="C1600">
        <v>1</v>
      </c>
      <c r="D1600">
        <v>2</v>
      </c>
      <c r="E1600">
        <v>3</v>
      </c>
      <c r="F1600">
        <v>87454</v>
      </c>
    </row>
    <row r="1601" spans="1:6" x14ac:dyDescent="0.25">
      <c r="A1601" t="s">
        <v>133</v>
      </c>
      <c r="B1601" t="s">
        <v>135</v>
      </c>
      <c r="C1601">
        <v>1</v>
      </c>
      <c r="D1601">
        <v>2</v>
      </c>
      <c r="E1601">
        <v>4</v>
      </c>
      <c r="F1601">
        <v>22429</v>
      </c>
    </row>
    <row r="1602" spans="1:6" x14ac:dyDescent="0.25">
      <c r="A1602" t="s">
        <v>133</v>
      </c>
      <c r="B1602" t="s">
        <v>135</v>
      </c>
      <c r="C1602">
        <v>1</v>
      </c>
      <c r="D1602">
        <v>2</v>
      </c>
      <c r="E1602">
        <v>5</v>
      </c>
      <c r="F1602">
        <v>9791</v>
      </c>
    </row>
    <row r="1603" spans="1:6" x14ac:dyDescent="0.25">
      <c r="A1603" t="s">
        <v>133</v>
      </c>
      <c r="B1603" t="s">
        <v>135</v>
      </c>
      <c r="C1603">
        <v>1</v>
      </c>
      <c r="D1603">
        <v>2</v>
      </c>
      <c r="E1603">
        <v>6</v>
      </c>
      <c r="F1603">
        <v>88515</v>
      </c>
    </row>
    <row r="1604" spans="1:6" x14ac:dyDescent="0.25">
      <c r="A1604" t="s">
        <v>133</v>
      </c>
      <c r="B1604" t="s">
        <v>135</v>
      </c>
      <c r="C1604">
        <v>2</v>
      </c>
      <c r="D1604">
        <v>0</v>
      </c>
      <c r="E1604">
        <v>1</v>
      </c>
      <c r="F1604">
        <v>6822392</v>
      </c>
    </row>
    <row r="1605" spans="1:6" x14ac:dyDescent="0.25">
      <c r="A1605" t="s">
        <v>133</v>
      </c>
      <c r="B1605" t="s">
        <v>135</v>
      </c>
      <c r="C1605">
        <v>2</v>
      </c>
      <c r="D1605">
        <v>0</v>
      </c>
      <c r="E1605">
        <v>2</v>
      </c>
      <c r="F1605">
        <v>1865054</v>
      </c>
    </row>
    <row r="1606" spans="1:6" x14ac:dyDescent="0.25">
      <c r="A1606" t="s">
        <v>133</v>
      </c>
      <c r="B1606" t="s">
        <v>135</v>
      </c>
      <c r="C1606">
        <v>2</v>
      </c>
      <c r="D1606">
        <v>0</v>
      </c>
      <c r="E1606">
        <v>3</v>
      </c>
      <c r="F1606">
        <v>114104</v>
      </c>
    </row>
    <row r="1607" spans="1:6" x14ac:dyDescent="0.25">
      <c r="A1607" t="s">
        <v>133</v>
      </c>
      <c r="B1607" t="s">
        <v>135</v>
      </c>
      <c r="C1607">
        <v>2</v>
      </c>
      <c r="D1607">
        <v>0</v>
      </c>
      <c r="E1607">
        <v>4</v>
      </c>
      <c r="F1607">
        <v>1046754</v>
      </c>
    </row>
    <row r="1608" spans="1:6" x14ac:dyDescent="0.25">
      <c r="A1608" t="s">
        <v>133</v>
      </c>
      <c r="B1608" t="s">
        <v>135</v>
      </c>
      <c r="C1608">
        <v>2</v>
      </c>
      <c r="D1608">
        <v>0</v>
      </c>
      <c r="E1608">
        <v>5</v>
      </c>
      <c r="F1608">
        <v>15231</v>
      </c>
    </row>
    <row r="1609" spans="1:6" x14ac:dyDescent="0.25">
      <c r="A1609" t="s">
        <v>133</v>
      </c>
      <c r="B1609" t="s">
        <v>135</v>
      </c>
      <c r="C1609">
        <v>2</v>
      </c>
      <c r="D1609">
        <v>0</v>
      </c>
      <c r="E1609">
        <v>6</v>
      </c>
      <c r="F1609">
        <v>298421</v>
      </c>
    </row>
    <row r="1610" spans="1:6" x14ac:dyDescent="0.25">
      <c r="A1610" t="s">
        <v>133</v>
      </c>
      <c r="B1610" t="s">
        <v>135</v>
      </c>
      <c r="C1610">
        <v>2</v>
      </c>
      <c r="D1610">
        <v>1</v>
      </c>
      <c r="E1610">
        <v>1</v>
      </c>
      <c r="F1610">
        <v>5361976</v>
      </c>
    </row>
    <row r="1611" spans="1:6" x14ac:dyDescent="0.25">
      <c r="A1611" t="s">
        <v>133</v>
      </c>
      <c r="B1611" t="s">
        <v>135</v>
      </c>
      <c r="C1611">
        <v>2</v>
      </c>
      <c r="D1611">
        <v>1</v>
      </c>
      <c r="E1611">
        <v>2</v>
      </c>
      <c r="F1611">
        <v>1504583</v>
      </c>
    </row>
    <row r="1612" spans="1:6" x14ac:dyDescent="0.25">
      <c r="A1612" t="s">
        <v>133</v>
      </c>
      <c r="B1612" t="s">
        <v>135</v>
      </c>
      <c r="C1612">
        <v>2</v>
      </c>
      <c r="D1612">
        <v>1</v>
      </c>
      <c r="E1612">
        <v>3</v>
      </c>
      <c r="F1612">
        <v>30664</v>
      </c>
    </row>
    <row r="1613" spans="1:6" x14ac:dyDescent="0.25">
      <c r="A1613" t="s">
        <v>133</v>
      </c>
      <c r="B1613" t="s">
        <v>135</v>
      </c>
      <c r="C1613">
        <v>2</v>
      </c>
      <c r="D1613">
        <v>1</v>
      </c>
      <c r="E1613">
        <v>4</v>
      </c>
      <c r="F1613">
        <v>1023010</v>
      </c>
    </row>
    <row r="1614" spans="1:6" x14ac:dyDescent="0.25">
      <c r="A1614" t="s">
        <v>133</v>
      </c>
      <c r="B1614" t="s">
        <v>135</v>
      </c>
      <c r="C1614">
        <v>2</v>
      </c>
      <c r="D1614">
        <v>1</v>
      </c>
      <c r="E1614">
        <v>5</v>
      </c>
      <c r="F1614">
        <v>5269</v>
      </c>
    </row>
    <row r="1615" spans="1:6" x14ac:dyDescent="0.25">
      <c r="A1615" t="s">
        <v>133</v>
      </c>
      <c r="B1615" t="s">
        <v>135</v>
      </c>
      <c r="C1615">
        <v>2</v>
      </c>
      <c r="D1615">
        <v>1</v>
      </c>
      <c r="E1615">
        <v>6</v>
      </c>
      <c r="F1615">
        <v>205511</v>
      </c>
    </row>
    <row r="1616" spans="1:6" x14ac:dyDescent="0.25">
      <c r="A1616" t="s">
        <v>133</v>
      </c>
      <c r="B1616" t="s">
        <v>135</v>
      </c>
      <c r="C1616">
        <v>2</v>
      </c>
      <c r="D1616">
        <v>2</v>
      </c>
      <c r="E1616">
        <v>1</v>
      </c>
      <c r="F1616">
        <v>1460416</v>
      </c>
    </row>
    <row r="1617" spans="1:6" x14ac:dyDescent="0.25">
      <c r="A1617" t="s">
        <v>133</v>
      </c>
      <c r="B1617" t="s">
        <v>135</v>
      </c>
      <c r="C1617">
        <v>2</v>
      </c>
      <c r="D1617">
        <v>2</v>
      </c>
      <c r="E1617">
        <v>2</v>
      </c>
      <c r="F1617">
        <v>360471</v>
      </c>
    </row>
    <row r="1618" spans="1:6" x14ac:dyDescent="0.25">
      <c r="A1618" t="s">
        <v>133</v>
      </c>
      <c r="B1618" t="s">
        <v>135</v>
      </c>
      <c r="C1618">
        <v>2</v>
      </c>
      <c r="D1618">
        <v>2</v>
      </c>
      <c r="E1618">
        <v>3</v>
      </c>
      <c r="F1618">
        <v>83440</v>
      </c>
    </row>
    <row r="1619" spans="1:6" x14ac:dyDescent="0.25">
      <c r="A1619" t="s">
        <v>133</v>
      </c>
      <c r="B1619" t="s">
        <v>135</v>
      </c>
      <c r="C1619">
        <v>2</v>
      </c>
      <c r="D1619">
        <v>2</v>
      </c>
      <c r="E1619">
        <v>4</v>
      </c>
      <c r="F1619">
        <v>23744</v>
      </c>
    </row>
    <row r="1620" spans="1:6" x14ac:dyDescent="0.25">
      <c r="A1620" t="s">
        <v>133</v>
      </c>
      <c r="B1620" t="s">
        <v>135</v>
      </c>
      <c r="C1620">
        <v>2</v>
      </c>
      <c r="D1620">
        <v>2</v>
      </c>
      <c r="E1620">
        <v>5</v>
      </c>
      <c r="F1620">
        <v>9962</v>
      </c>
    </row>
    <row r="1621" spans="1:6" x14ac:dyDescent="0.25">
      <c r="A1621" t="s">
        <v>133</v>
      </c>
      <c r="B1621" t="s">
        <v>135</v>
      </c>
      <c r="C1621">
        <v>2</v>
      </c>
      <c r="D1621">
        <v>2</v>
      </c>
      <c r="E1621">
        <v>6</v>
      </c>
      <c r="F1621">
        <v>92910</v>
      </c>
    </row>
    <row r="1622" spans="1:6" x14ac:dyDescent="0.25">
      <c r="A1622" t="s">
        <v>136</v>
      </c>
      <c r="B1622" t="s">
        <v>138</v>
      </c>
      <c r="C1622">
        <v>0</v>
      </c>
      <c r="D1622">
        <v>0</v>
      </c>
      <c r="E1622">
        <v>1</v>
      </c>
      <c r="F1622">
        <v>7677270</v>
      </c>
    </row>
    <row r="1623" spans="1:6" x14ac:dyDescent="0.25">
      <c r="A1623" t="s">
        <v>136</v>
      </c>
      <c r="B1623" t="s">
        <v>138</v>
      </c>
      <c r="C1623">
        <v>0</v>
      </c>
      <c r="D1623">
        <v>0</v>
      </c>
      <c r="E1623">
        <v>2</v>
      </c>
      <c r="F1623">
        <v>2425031</v>
      </c>
    </row>
    <row r="1624" spans="1:6" x14ac:dyDescent="0.25">
      <c r="A1624" t="s">
        <v>136</v>
      </c>
      <c r="B1624" t="s">
        <v>138</v>
      </c>
      <c r="C1624">
        <v>0</v>
      </c>
      <c r="D1624">
        <v>0</v>
      </c>
      <c r="E1624">
        <v>3</v>
      </c>
      <c r="F1624">
        <v>180842</v>
      </c>
    </row>
    <row r="1625" spans="1:6" x14ac:dyDescent="0.25">
      <c r="A1625" t="s">
        <v>136</v>
      </c>
      <c r="B1625" t="s">
        <v>138</v>
      </c>
      <c r="C1625">
        <v>0</v>
      </c>
      <c r="D1625">
        <v>0</v>
      </c>
      <c r="E1625">
        <v>4</v>
      </c>
      <c r="F1625">
        <v>441856</v>
      </c>
    </row>
    <row r="1626" spans="1:6" x14ac:dyDescent="0.25">
      <c r="A1626" t="s">
        <v>136</v>
      </c>
      <c r="B1626" t="s">
        <v>138</v>
      </c>
      <c r="C1626">
        <v>0</v>
      </c>
      <c r="D1626">
        <v>0</v>
      </c>
      <c r="E1626">
        <v>5</v>
      </c>
      <c r="F1626">
        <v>17232</v>
      </c>
    </row>
    <row r="1627" spans="1:6" x14ac:dyDescent="0.25">
      <c r="A1627" t="s">
        <v>136</v>
      </c>
      <c r="B1627" t="s">
        <v>138</v>
      </c>
      <c r="C1627">
        <v>0</v>
      </c>
      <c r="D1627">
        <v>0</v>
      </c>
      <c r="E1627">
        <v>6</v>
      </c>
      <c r="F1627">
        <v>303793</v>
      </c>
    </row>
    <row r="1628" spans="1:6" x14ac:dyDescent="0.25">
      <c r="A1628" t="s">
        <v>136</v>
      </c>
      <c r="B1628" t="s">
        <v>138</v>
      </c>
      <c r="C1628">
        <v>0</v>
      </c>
      <c r="D1628">
        <v>1</v>
      </c>
      <c r="E1628">
        <v>1</v>
      </c>
      <c r="F1628">
        <v>6619651</v>
      </c>
    </row>
    <row r="1629" spans="1:6" x14ac:dyDescent="0.25">
      <c r="A1629" t="s">
        <v>136</v>
      </c>
      <c r="B1629" t="s">
        <v>138</v>
      </c>
      <c r="C1629">
        <v>0</v>
      </c>
      <c r="D1629">
        <v>1</v>
      </c>
      <c r="E1629">
        <v>2</v>
      </c>
      <c r="F1629">
        <v>2298898</v>
      </c>
    </row>
    <row r="1630" spans="1:6" x14ac:dyDescent="0.25">
      <c r="A1630" t="s">
        <v>136</v>
      </c>
      <c r="B1630" t="s">
        <v>138</v>
      </c>
      <c r="C1630">
        <v>0</v>
      </c>
      <c r="D1630">
        <v>1</v>
      </c>
      <c r="E1630">
        <v>3</v>
      </c>
      <c r="F1630">
        <v>112236</v>
      </c>
    </row>
    <row r="1631" spans="1:6" x14ac:dyDescent="0.25">
      <c r="A1631" t="s">
        <v>136</v>
      </c>
      <c r="B1631" t="s">
        <v>138</v>
      </c>
      <c r="C1631">
        <v>0</v>
      </c>
      <c r="D1631">
        <v>1</v>
      </c>
      <c r="E1631">
        <v>4</v>
      </c>
      <c r="F1631">
        <v>426383</v>
      </c>
    </row>
    <row r="1632" spans="1:6" x14ac:dyDescent="0.25">
      <c r="A1632" t="s">
        <v>136</v>
      </c>
      <c r="B1632" t="s">
        <v>138</v>
      </c>
      <c r="C1632">
        <v>0</v>
      </c>
      <c r="D1632">
        <v>1</v>
      </c>
      <c r="E1632">
        <v>5</v>
      </c>
      <c r="F1632">
        <v>7956</v>
      </c>
    </row>
    <row r="1633" spans="1:6" x14ac:dyDescent="0.25">
      <c r="A1633" t="s">
        <v>136</v>
      </c>
      <c r="B1633" t="s">
        <v>138</v>
      </c>
      <c r="C1633">
        <v>0</v>
      </c>
      <c r="D1633">
        <v>1</v>
      </c>
      <c r="E1633">
        <v>6</v>
      </c>
      <c r="F1633">
        <v>253632</v>
      </c>
    </row>
    <row r="1634" spans="1:6" x14ac:dyDescent="0.25">
      <c r="A1634" t="s">
        <v>136</v>
      </c>
      <c r="B1634" t="s">
        <v>138</v>
      </c>
      <c r="C1634">
        <v>0</v>
      </c>
      <c r="D1634">
        <v>2</v>
      </c>
      <c r="E1634">
        <v>1</v>
      </c>
      <c r="F1634">
        <v>1057619</v>
      </c>
    </row>
    <row r="1635" spans="1:6" x14ac:dyDescent="0.25">
      <c r="A1635" t="s">
        <v>136</v>
      </c>
      <c r="B1635" t="s">
        <v>138</v>
      </c>
      <c r="C1635">
        <v>0</v>
      </c>
      <c r="D1635">
        <v>2</v>
      </c>
      <c r="E1635">
        <v>2</v>
      </c>
      <c r="F1635">
        <v>126133</v>
      </c>
    </row>
    <row r="1636" spans="1:6" x14ac:dyDescent="0.25">
      <c r="A1636" t="s">
        <v>136</v>
      </c>
      <c r="B1636" t="s">
        <v>138</v>
      </c>
      <c r="C1636">
        <v>0</v>
      </c>
      <c r="D1636">
        <v>2</v>
      </c>
      <c r="E1636">
        <v>3</v>
      </c>
      <c r="F1636">
        <v>68606</v>
      </c>
    </row>
    <row r="1637" spans="1:6" x14ac:dyDescent="0.25">
      <c r="A1637" t="s">
        <v>136</v>
      </c>
      <c r="B1637" t="s">
        <v>138</v>
      </c>
      <c r="C1637">
        <v>0</v>
      </c>
      <c r="D1637">
        <v>2</v>
      </c>
      <c r="E1637">
        <v>4</v>
      </c>
      <c r="F1637">
        <v>15473</v>
      </c>
    </row>
    <row r="1638" spans="1:6" x14ac:dyDescent="0.25">
      <c r="A1638" t="s">
        <v>136</v>
      </c>
      <c r="B1638" t="s">
        <v>138</v>
      </c>
      <c r="C1638">
        <v>0</v>
      </c>
      <c r="D1638">
        <v>2</v>
      </c>
      <c r="E1638">
        <v>5</v>
      </c>
      <c r="F1638">
        <v>9276</v>
      </c>
    </row>
    <row r="1639" spans="1:6" x14ac:dyDescent="0.25">
      <c r="A1639" t="s">
        <v>136</v>
      </c>
      <c r="B1639" t="s">
        <v>138</v>
      </c>
      <c r="C1639">
        <v>0</v>
      </c>
      <c r="D1639">
        <v>2</v>
      </c>
      <c r="E1639">
        <v>6</v>
      </c>
      <c r="F1639">
        <v>50161</v>
      </c>
    </row>
    <row r="1640" spans="1:6" x14ac:dyDescent="0.25">
      <c r="A1640" t="s">
        <v>136</v>
      </c>
      <c r="B1640" t="s">
        <v>138</v>
      </c>
      <c r="C1640">
        <v>1</v>
      </c>
      <c r="D1640">
        <v>0</v>
      </c>
      <c r="E1640">
        <v>1</v>
      </c>
      <c r="F1640">
        <v>3791318</v>
      </c>
    </row>
    <row r="1641" spans="1:6" x14ac:dyDescent="0.25">
      <c r="A1641" t="s">
        <v>136</v>
      </c>
      <c r="B1641" t="s">
        <v>138</v>
      </c>
      <c r="C1641">
        <v>1</v>
      </c>
      <c r="D1641">
        <v>0</v>
      </c>
      <c r="E1641">
        <v>2</v>
      </c>
      <c r="F1641">
        <v>1140192</v>
      </c>
    </row>
    <row r="1642" spans="1:6" x14ac:dyDescent="0.25">
      <c r="A1642" t="s">
        <v>136</v>
      </c>
      <c r="B1642" t="s">
        <v>138</v>
      </c>
      <c r="C1642">
        <v>1</v>
      </c>
      <c r="D1642">
        <v>0</v>
      </c>
      <c r="E1642">
        <v>3</v>
      </c>
      <c r="F1642">
        <v>89020</v>
      </c>
    </row>
    <row r="1643" spans="1:6" x14ac:dyDescent="0.25">
      <c r="A1643" t="s">
        <v>136</v>
      </c>
      <c r="B1643" t="s">
        <v>138</v>
      </c>
      <c r="C1643">
        <v>1</v>
      </c>
      <c r="D1643">
        <v>0</v>
      </c>
      <c r="E1643">
        <v>4</v>
      </c>
      <c r="F1643">
        <v>216712</v>
      </c>
    </row>
    <row r="1644" spans="1:6" x14ac:dyDescent="0.25">
      <c r="A1644" t="s">
        <v>136</v>
      </c>
      <c r="B1644" t="s">
        <v>138</v>
      </c>
      <c r="C1644">
        <v>1</v>
      </c>
      <c r="D1644">
        <v>0</v>
      </c>
      <c r="E1644">
        <v>5</v>
      </c>
      <c r="F1644">
        <v>8898</v>
      </c>
    </row>
    <row r="1645" spans="1:6" x14ac:dyDescent="0.25">
      <c r="A1645" t="s">
        <v>136</v>
      </c>
      <c r="B1645" t="s">
        <v>138</v>
      </c>
      <c r="C1645">
        <v>1</v>
      </c>
      <c r="D1645">
        <v>0</v>
      </c>
      <c r="E1645">
        <v>6</v>
      </c>
      <c r="F1645">
        <v>147778</v>
      </c>
    </row>
    <row r="1646" spans="1:6" x14ac:dyDescent="0.25">
      <c r="A1646" t="s">
        <v>136</v>
      </c>
      <c r="B1646" t="s">
        <v>138</v>
      </c>
      <c r="C1646">
        <v>1</v>
      </c>
      <c r="D1646">
        <v>1</v>
      </c>
      <c r="E1646">
        <v>1</v>
      </c>
      <c r="F1646">
        <v>3248232</v>
      </c>
    </row>
    <row r="1647" spans="1:6" x14ac:dyDescent="0.25">
      <c r="A1647" t="s">
        <v>136</v>
      </c>
      <c r="B1647" t="s">
        <v>138</v>
      </c>
      <c r="C1647">
        <v>1</v>
      </c>
      <c r="D1647">
        <v>1</v>
      </c>
      <c r="E1647">
        <v>2</v>
      </c>
      <c r="F1647">
        <v>1077272</v>
      </c>
    </row>
    <row r="1648" spans="1:6" x14ac:dyDescent="0.25">
      <c r="A1648" t="s">
        <v>136</v>
      </c>
      <c r="B1648" t="s">
        <v>138</v>
      </c>
      <c r="C1648">
        <v>1</v>
      </c>
      <c r="D1648">
        <v>1</v>
      </c>
      <c r="E1648">
        <v>3</v>
      </c>
      <c r="F1648">
        <v>53894</v>
      </c>
    </row>
    <row r="1649" spans="1:6" x14ac:dyDescent="0.25">
      <c r="A1649" t="s">
        <v>136</v>
      </c>
      <c r="B1649" t="s">
        <v>138</v>
      </c>
      <c r="C1649">
        <v>1</v>
      </c>
      <c r="D1649">
        <v>1</v>
      </c>
      <c r="E1649">
        <v>4</v>
      </c>
      <c r="F1649">
        <v>208727</v>
      </c>
    </row>
    <row r="1650" spans="1:6" x14ac:dyDescent="0.25">
      <c r="A1650" t="s">
        <v>136</v>
      </c>
      <c r="B1650" t="s">
        <v>138</v>
      </c>
      <c r="C1650">
        <v>1</v>
      </c>
      <c r="D1650">
        <v>1</v>
      </c>
      <c r="E1650">
        <v>5</v>
      </c>
      <c r="F1650">
        <v>4019</v>
      </c>
    </row>
    <row r="1651" spans="1:6" x14ac:dyDescent="0.25">
      <c r="A1651" t="s">
        <v>136</v>
      </c>
      <c r="B1651" t="s">
        <v>138</v>
      </c>
      <c r="C1651">
        <v>1</v>
      </c>
      <c r="D1651">
        <v>1</v>
      </c>
      <c r="E1651">
        <v>6</v>
      </c>
      <c r="F1651">
        <v>123101</v>
      </c>
    </row>
    <row r="1652" spans="1:6" x14ac:dyDescent="0.25">
      <c r="A1652" t="s">
        <v>136</v>
      </c>
      <c r="B1652" t="s">
        <v>138</v>
      </c>
      <c r="C1652">
        <v>1</v>
      </c>
      <c r="D1652">
        <v>2</v>
      </c>
      <c r="E1652">
        <v>1</v>
      </c>
      <c r="F1652">
        <v>543086</v>
      </c>
    </row>
    <row r="1653" spans="1:6" x14ac:dyDescent="0.25">
      <c r="A1653" t="s">
        <v>136</v>
      </c>
      <c r="B1653" t="s">
        <v>138</v>
      </c>
      <c r="C1653">
        <v>1</v>
      </c>
      <c r="D1653">
        <v>2</v>
      </c>
      <c r="E1653">
        <v>2</v>
      </c>
      <c r="F1653">
        <v>62920</v>
      </c>
    </row>
    <row r="1654" spans="1:6" x14ac:dyDescent="0.25">
      <c r="A1654" t="s">
        <v>136</v>
      </c>
      <c r="B1654" t="s">
        <v>138</v>
      </c>
      <c r="C1654">
        <v>1</v>
      </c>
      <c r="D1654">
        <v>2</v>
      </c>
      <c r="E1654">
        <v>3</v>
      </c>
      <c r="F1654">
        <v>35126</v>
      </c>
    </row>
    <row r="1655" spans="1:6" x14ac:dyDescent="0.25">
      <c r="A1655" t="s">
        <v>136</v>
      </c>
      <c r="B1655" t="s">
        <v>138</v>
      </c>
      <c r="C1655">
        <v>1</v>
      </c>
      <c r="D1655">
        <v>2</v>
      </c>
      <c r="E1655">
        <v>4</v>
      </c>
      <c r="F1655">
        <v>7985</v>
      </c>
    </row>
    <row r="1656" spans="1:6" x14ac:dyDescent="0.25">
      <c r="A1656" t="s">
        <v>136</v>
      </c>
      <c r="B1656" t="s">
        <v>138</v>
      </c>
      <c r="C1656">
        <v>1</v>
      </c>
      <c r="D1656">
        <v>2</v>
      </c>
      <c r="E1656">
        <v>5</v>
      </c>
      <c r="F1656">
        <v>4879</v>
      </c>
    </row>
    <row r="1657" spans="1:6" x14ac:dyDescent="0.25">
      <c r="A1657" t="s">
        <v>136</v>
      </c>
      <c r="B1657" t="s">
        <v>138</v>
      </c>
      <c r="C1657">
        <v>1</v>
      </c>
      <c r="D1657">
        <v>2</v>
      </c>
      <c r="E1657">
        <v>6</v>
      </c>
      <c r="F1657">
        <v>24677</v>
      </c>
    </row>
    <row r="1658" spans="1:6" x14ac:dyDescent="0.25">
      <c r="A1658" t="s">
        <v>136</v>
      </c>
      <c r="B1658" t="s">
        <v>138</v>
      </c>
      <c r="C1658">
        <v>2</v>
      </c>
      <c r="D1658">
        <v>0</v>
      </c>
      <c r="E1658">
        <v>1</v>
      </c>
      <c r="F1658">
        <v>3885952</v>
      </c>
    </row>
    <row r="1659" spans="1:6" x14ac:dyDescent="0.25">
      <c r="A1659" t="s">
        <v>136</v>
      </c>
      <c r="B1659" t="s">
        <v>138</v>
      </c>
      <c r="C1659">
        <v>2</v>
      </c>
      <c r="D1659">
        <v>0</v>
      </c>
      <c r="E1659">
        <v>2</v>
      </c>
      <c r="F1659">
        <v>1284839</v>
      </c>
    </row>
    <row r="1660" spans="1:6" x14ac:dyDescent="0.25">
      <c r="A1660" t="s">
        <v>136</v>
      </c>
      <c r="B1660" t="s">
        <v>138</v>
      </c>
      <c r="C1660">
        <v>2</v>
      </c>
      <c r="D1660">
        <v>0</v>
      </c>
      <c r="E1660">
        <v>3</v>
      </c>
      <c r="F1660">
        <v>91822</v>
      </c>
    </row>
    <row r="1661" spans="1:6" x14ac:dyDescent="0.25">
      <c r="A1661" t="s">
        <v>136</v>
      </c>
      <c r="B1661" t="s">
        <v>138</v>
      </c>
      <c r="C1661">
        <v>2</v>
      </c>
      <c r="D1661">
        <v>0</v>
      </c>
      <c r="E1661">
        <v>4</v>
      </c>
      <c r="F1661">
        <v>225144</v>
      </c>
    </row>
    <row r="1662" spans="1:6" x14ac:dyDescent="0.25">
      <c r="A1662" t="s">
        <v>136</v>
      </c>
      <c r="B1662" t="s">
        <v>138</v>
      </c>
      <c r="C1662">
        <v>2</v>
      </c>
      <c r="D1662">
        <v>0</v>
      </c>
      <c r="E1662">
        <v>5</v>
      </c>
      <c r="F1662">
        <v>8334</v>
      </c>
    </row>
    <row r="1663" spans="1:6" x14ac:dyDescent="0.25">
      <c r="A1663" t="s">
        <v>136</v>
      </c>
      <c r="B1663" t="s">
        <v>138</v>
      </c>
      <c r="C1663">
        <v>2</v>
      </c>
      <c r="D1663">
        <v>0</v>
      </c>
      <c r="E1663">
        <v>6</v>
      </c>
      <c r="F1663">
        <v>156015</v>
      </c>
    </row>
    <row r="1664" spans="1:6" x14ac:dyDescent="0.25">
      <c r="A1664" t="s">
        <v>136</v>
      </c>
      <c r="B1664" t="s">
        <v>138</v>
      </c>
      <c r="C1664">
        <v>2</v>
      </c>
      <c r="D1664">
        <v>1</v>
      </c>
      <c r="E1664">
        <v>1</v>
      </c>
      <c r="F1664">
        <v>3371419</v>
      </c>
    </row>
    <row r="1665" spans="1:6" x14ac:dyDescent="0.25">
      <c r="A1665" t="s">
        <v>136</v>
      </c>
      <c r="B1665" t="s">
        <v>138</v>
      </c>
      <c r="C1665">
        <v>2</v>
      </c>
      <c r="D1665">
        <v>1</v>
      </c>
      <c r="E1665">
        <v>2</v>
      </c>
      <c r="F1665">
        <v>1221626</v>
      </c>
    </row>
    <row r="1666" spans="1:6" x14ac:dyDescent="0.25">
      <c r="A1666" t="s">
        <v>136</v>
      </c>
      <c r="B1666" t="s">
        <v>138</v>
      </c>
      <c r="C1666">
        <v>2</v>
      </c>
      <c r="D1666">
        <v>1</v>
      </c>
      <c r="E1666">
        <v>3</v>
      </c>
      <c r="F1666">
        <v>58342</v>
      </c>
    </row>
    <row r="1667" spans="1:6" x14ac:dyDescent="0.25">
      <c r="A1667" t="s">
        <v>136</v>
      </c>
      <c r="B1667" t="s">
        <v>138</v>
      </c>
      <c r="C1667">
        <v>2</v>
      </c>
      <c r="D1667">
        <v>1</v>
      </c>
      <c r="E1667">
        <v>4</v>
      </c>
      <c r="F1667">
        <v>217656</v>
      </c>
    </row>
    <row r="1668" spans="1:6" x14ac:dyDescent="0.25">
      <c r="A1668" t="s">
        <v>136</v>
      </c>
      <c r="B1668" t="s">
        <v>138</v>
      </c>
      <c r="C1668">
        <v>2</v>
      </c>
      <c r="D1668">
        <v>1</v>
      </c>
      <c r="E1668">
        <v>5</v>
      </c>
      <c r="F1668">
        <v>3937</v>
      </c>
    </row>
    <row r="1669" spans="1:6" x14ac:dyDescent="0.25">
      <c r="A1669" t="s">
        <v>136</v>
      </c>
      <c r="B1669" t="s">
        <v>138</v>
      </c>
      <c r="C1669">
        <v>2</v>
      </c>
      <c r="D1669">
        <v>1</v>
      </c>
      <c r="E1669">
        <v>6</v>
      </c>
      <c r="F1669">
        <v>130531</v>
      </c>
    </row>
    <row r="1670" spans="1:6" x14ac:dyDescent="0.25">
      <c r="A1670" t="s">
        <v>136</v>
      </c>
      <c r="B1670" t="s">
        <v>138</v>
      </c>
      <c r="C1670">
        <v>2</v>
      </c>
      <c r="D1670">
        <v>2</v>
      </c>
      <c r="E1670">
        <v>1</v>
      </c>
      <c r="F1670">
        <v>514533</v>
      </c>
    </row>
    <row r="1671" spans="1:6" x14ac:dyDescent="0.25">
      <c r="A1671" t="s">
        <v>136</v>
      </c>
      <c r="B1671" t="s">
        <v>138</v>
      </c>
      <c r="C1671">
        <v>2</v>
      </c>
      <c r="D1671">
        <v>2</v>
      </c>
      <c r="E1671">
        <v>2</v>
      </c>
      <c r="F1671">
        <v>63213</v>
      </c>
    </row>
    <row r="1672" spans="1:6" x14ac:dyDescent="0.25">
      <c r="A1672" t="s">
        <v>136</v>
      </c>
      <c r="B1672" t="s">
        <v>138</v>
      </c>
      <c r="C1672">
        <v>2</v>
      </c>
      <c r="D1672">
        <v>2</v>
      </c>
      <c r="E1672">
        <v>3</v>
      </c>
      <c r="F1672">
        <v>33480</v>
      </c>
    </row>
    <row r="1673" spans="1:6" x14ac:dyDescent="0.25">
      <c r="A1673" t="s">
        <v>136</v>
      </c>
      <c r="B1673" t="s">
        <v>138</v>
      </c>
      <c r="C1673">
        <v>2</v>
      </c>
      <c r="D1673">
        <v>2</v>
      </c>
      <c r="E1673">
        <v>4</v>
      </c>
      <c r="F1673">
        <v>7488</v>
      </c>
    </row>
    <row r="1674" spans="1:6" x14ac:dyDescent="0.25">
      <c r="A1674" t="s">
        <v>136</v>
      </c>
      <c r="B1674" t="s">
        <v>138</v>
      </c>
      <c r="C1674">
        <v>2</v>
      </c>
      <c r="D1674">
        <v>2</v>
      </c>
      <c r="E1674">
        <v>5</v>
      </c>
      <c r="F1674">
        <v>4397</v>
      </c>
    </row>
    <row r="1675" spans="1:6" x14ac:dyDescent="0.25">
      <c r="A1675" t="s">
        <v>136</v>
      </c>
      <c r="B1675" t="s">
        <v>138</v>
      </c>
      <c r="C1675">
        <v>2</v>
      </c>
      <c r="D1675">
        <v>2</v>
      </c>
      <c r="E1675">
        <v>6</v>
      </c>
      <c r="F1675">
        <v>25484</v>
      </c>
    </row>
    <row r="1676" spans="1:6" x14ac:dyDescent="0.25">
      <c r="A1676" t="s">
        <v>139</v>
      </c>
      <c r="B1676" t="s">
        <v>141</v>
      </c>
      <c r="C1676">
        <v>0</v>
      </c>
      <c r="D1676">
        <v>0</v>
      </c>
      <c r="E1676">
        <v>1</v>
      </c>
      <c r="F1676">
        <v>682429</v>
      </c>
    </row>
    <row r="1677" spans="1:6" x14ac:dyDescent="0.25">
      <c r="A1677" t="s">
        <v>139</v>
      </c>
      <c r="B1677" t="s">
        <v>141</v>
      </c>
      <c r="C1677">
        <v>0</v>
      </c>
      <c r="D1677">
        <v>0</v>
      </c>
      <c r="E1677">
        <v>2</v>
      </c>
      <c r="F1677">
        <v>31985</v>
      </c>
    </row>
    <row r="1678" spans="1:6" x14ac:dyDescent="0.25">
      <c r="A1678" t="s">
        <v>139</v>
      </c>
      <c r="B1678" t="s">
        <v>141</v>
      </c>
      <c r="C1678">
        <v>0</v>
      </c>
      <c r="D1678">
        <v>0</v>
      </c>
      <c r="E1678">
        <v>3</v>
      </c>
      <c r="F1678">
        <v>42075</v>
      </c>
    </row>
    <row r="1679" spans="1:6" x14ac:dyDescent="0.25">
      <c r="A1679" t="s">
        <v>139</v>
      </c>
      <c r="B1679" t="s">
        <v>141</v>
      </c>
      <c r="C1679">
        <v>0</v>
      </c>
      <c r="D1679">
        <v>0</v>
      </c>
      <c r="E1679">
        <v>4</v>
      </c>
      <c r="F1679">
        <v>16709</v>
      </c>
    </row>
    <row r="1680" spans="1:6" x14ac:dyDescent="0.25">
      <c r="A1680" t="s">
        <v>139</v>
      </c>
      <c r="B1680" t="s">
        <v>141</v>
      </c>
      <c r="C1680">
        <v>0</v>
      </c>
      <c r="D1680">
        <v>0</v>
      </c>
      <c r="E1680">
        <v>5</v>
      </c>
      <c r="F1680">
        <v>1836</v>
      </c>
    </row>
    <row r="1681" spans="1:6" x14ac:dyDescent="0.25">
      <c r="A1681" t="s">
        <v>139</v>
      </c>
      <c r="B1681" t="s">
        <v>141</v>
      </c>
      <c r="C1681">
        <v>0</v>
      </c>
      <c r="D1681">
        <v>0</v>
      </c>
      <c r="E1681">
        <v>6</v>
      </c>
      <c r="F1681">
        <v>21534</v>
      </c>
    </row>
    <row r="1682" spans="1:6" x14ac:dyDescent="0.25">
      <c r="A1682" t="s">
        <v>139</v>
      </c>
      <c r="B1682" t="s">
        <v>141</v>
      </c>
      <c r="C1682">
        <v>0</v>
      </c>
      <c r="D1682">
        <v>1</v>
      </c>
      <c r="E1682">
        <v>1</v>
      </c>
      <c r="F1682">
        <v>650280</v>
      </c>
    </row>
    <row r="1683" spans="1:6" x14ac:dyDescent="0.25">
      <c r="A1683" t="s">
        <v>139</v>
      </c>
      <c r="B1683" t="s">
        <v>141</v>
      </c>
      <c r="C1683">
        <v>0</v>
      </c>
      <c r="D1683">
        <v>1</v>
      </c>
      <c r="E1683">
        <v>2</v>
      </c>
      <c r="F1683">
        <v>30386</v>
      </c>
    </row>
    <row r="1684" spans="1:6" x14ac:dyDescent="0.25">
      <c r="A1684" t="s">
        <v>139</v>
      </c>
      <c r="B1684" t="s">
        <v>141</v>
      </c>
      <c r="C1684">
        <v>0</v>
      </c>
      <c r="D1684">
        <v>1</v>
      </c>
      <c r="E1684">
        <v>3</v>
      </c>
      <c r="F1684">
        <v>37961</v>
      </c>
    </row>
    <row r="1685" spans="1:6" x14ac:dyDescent="0.25">
      <c r="A1685" t="s">
        <v>139</v>
      </c>
      <c r="B1685" t="s">
        <v>141</v>
      </c>
      <c r="C1685">
        <v>0</v>
      </c>
      <c r="D1685">
        <v>1</v>
      </c>
      <c r="E1685">
        <v>4</v>
      </c>
      <c r="F1685">
        <v>16248</v>
      </c>
    </row>
    <row r="1686" spans="1:6" x14ac:dyDescent="0.25">
      <c r="A1686" t="s">
        <v>139</v>
      </c>
      <c r="B1686" t="s">
        <v>141</v>
      </c>
      <c r="C1686">
        <v>0</v>
      </c>
      <c r="D1686">
        <v>1</v>
      </c>
      <c r="E1686">
        <v>5</v>
      </c>
      <c r="F1686">
        <v>1591</v>
      </c>
    </row>
    <row r="1687" spans="1:6" x14ac:dyDescent="0.25">
      <c r="A1687" t="s">
        <v>139</v>
      </c>
      <c r="B1687" t="s">
        <v>141</v>
      </c>
      <c r="C1687">
        <v>0</v>
      </c>
      <c r="D1687">
        <v>1</v>
      </c>
      <c r="E1687">
        <v>6</v>
      </c>
      <c r="F1687">
        <v>19225</v>
      </c>
    </row>
    <row r="1688" spans="1:6" x14ac:dyDescent="0.25">
      <c r="A1688" t="s">
        <v>139</v>
      </c>
      <c r="B1688" t="s">
        <v>141</v>
      </c>
      <c r="C1688">
        <v>0</v>
      </c>
      <c r="D1688">
        <v>2</v>
      </c>
      <c r="E1688">
        <v>1</v>
      </c>
      <c r="F1688">
        <v>32149</v>
      </c>
    </row>
    <row r="1689" spans="1:6" x14ac:dyDescent="0.25">
      <c r="A1689" t="s">
        <v>139</v>
      </c>
      <c r="B1689" t="s">
        <v>141</v>
      </c>
      <c r="C1689">
        <v>0</v>
      </c>
      <c r="D1689">
        <v>2</v>
      </c>
      <c r="E1689">
        <v>2</v>
      </c>
      <c r="F1689">
        <v>1599</v>
      </c>
    </row>
    <row r="1690" spans="1:6" x14ac:dyDescent="0.25">
      <c r="A1690" t="s">
        <v>139</v>
      </c>
      <c r="B1690" t="s">
        <v>141</v>
      </c>
      <c r="C1690">
        <v>0</v>
      </c>
      <c r="D1690">
        <v>2</v>
      </c>
      <c r="E1690">
        <v>3</v>
      </c>
      <c r="F1690">
        <v>4114</v>
      </c>
    </row>
    <row r="1691" spans="1:6" x14ac:dyDescent="0.25">
      <c r="A1691" t="s">
        <v>139</v>
      </c>
      <c r="B1691" t="s">
        <v>141</v>
      </c>
      <c r="C1691">
        <v>0</v>
      </c>
      <c r="D1691">
        <v>2</v>
      </c>
      <c r="E1691">
        <v>4</v>
      </c>
      <c r="F1691">
        <v>461</v>
      </c>
    </row>
    <row r="1692" spans="1:6" x14ac:dyDescent="0.25">
      <c r="A1692" t="s">
        <v>139</v>
      </c>
      <c r="B1692" t="s">
        <v>141</v>
      </c>
      <c r="C1692">
        <v>0</v>
      </c>
      <c r="D1692">
        <v>2</v>
      </c>
      <c r="E1692">
        <v>5</v>
      </c>
      <c r="F1692">
        <v>245</v>
      </c>
    </row>
    <row r="1693" spans="1:6" x14ac:dyDescent="0.25">
      <c r="A1693" t="s">
        <v>139</v>
      </c>
      <c r="B1693" t="s">
        <v>141</v>
      </c>
      <c r="C1693">
        <v>0</v>
      </c>
      <c r="D1693">
        <v>2</v>
      </c>
      <c r="E1693">
        <v>6</v>
      </c>
      <c r="F1693">
        <v>2309</v>
      </c>
    </row>
    <row r="1694" spans="1:6" x14ac:dyDescent="0.25">
      <c r="A1694" t="s">
        <v>139</v>
      </c>
      <c r="B1694" t="s">
        <v>141</v>
      </c>
      <c r="C1694">
        <v>1</v>
      </c>
      <c r="D1694">
        <v>0</v>
      </c>
      <c r="E1694">
        <v>1</v>
      </c>
      <c r="F1694">
        <v>350236</v>
      </c>
    </row>
    <row r="1695" spans="1:6" x14ac:dyDescent="0.25">
      <c r="A1695" t="s">
        <v>139</v>
      </c>
      <c r="B1695" t="s">
        <v>141</v>
      </c>
      <c r="C1695">
        <v>1</v>
      </c>
      <c r="D1695">
        <v>0</v>
      </c>
      <c r="E1695">
        <v>2</v>
      </c>
      <c r="F1695">
        <v>17576</v>
      </c>
    </row>
    <row r="1696" spans="1:6" x14ac:dyDescent="0.25">
      <c r="A1696" t="s">
        <v>139</v>
      </c>
      <c r="B1696" t="s">
        <v>141</v>
      </c>
      <c r="C1696">
        <v>1</v>
      </c>
      <c r="D1696">
        <v>0</v>
      </c>
      <c r="E1696">
        <v>3</v>
      </c>
      <c r="F1696">
        <v>20942</v>
      </c>
    </row>
    <row r="1697" spans="1:6" x14ac:dyDescent="0.25">
      <c r="A1697" t="s">
        <v>139</v>
      </c>
      <c r="B1697" t="s">
        <v>141</v>
      </c>
      <c r="C1697">
        <v>1</v>
      </c>
      <c r="D1697">
        <v>0</v>
      </c>
      <c r="E1697">
        <v>4</v>
      </c>
      <c r="F1697">
        <v>8103</v>
      </c>
    </row>
    <row r="1698" spans="1:6" x14ac:dyDescent="0.25">
      <c r="A1698" t="s">
        <v>139</v>
      </c>
      <c r="B1698" t="s">
        <v>141</v>
      </c>
      <c r="C1698">
        <v>1</v>
      </c>
      <c r="D1698">
        <v>0</v>
      </c>
      <c r="E1698">
        <v>5</v>
      </c>
      <c r="F1698">
        <v>984</v>
      </c>
    </row>
    <row r="1699" spans="1:6" x14ac:dyDescent="0.25">
      <c r="A1699" t="s">
        <v>139</v>
      </c>
      <c r="B1699" t="s">
        <v>141</v>
      </c>
      <c r="C1699">
        <v>1</v>
      </c>
      <c r="D1699">
        <v>0</v>
      </c>
      <c r="E1699">
        <v>6</v>
      </c>
      <c r="F1699">
        <v>11061</v>
      </c>
    </row>
    <row r="1700" spans="1:6" x14ac:dyDescent="0.25">
      <c r="A1700" t="s">
        <v>139</v>
      </c>
      <c r="B1700" t="s">
        <v>141</v>
      </c>
      <c r="C1700">
        <v>1</v>
      </c>
      <c r="D1700">
        <v>1</v>
      </c>
      <c r="E1700">
        <v>1</v>
      </c>
      <c r="F1700">
        <v>332891</v>
      </c>
    </row>
    <row r="1701" spans="1:6" x14ac:dyDescent="0.25">
      <c r="A1701" t="s">
        <v>139</v>
      </c>
      <c r="B1701" t="s">
        <v>141</v>
      </c>
      <c r="C1701">
        <v>1</v>
      </c>
      <c r="D1701">
        <v>1</v>
      </c>
      <c r="E1701">
        <v>2</v>
      </c>
      <c r="F1701">
        <v>16758</v>
      </c>
    </row>
    <row r="1702" spans="1:6" x14ac:dyDescent="0.25">
      <c r="A1702" t="s">
        <v>139</v>
      </c>
      <c r="B1702" t="s">
        <v>141</v>
      </c>
      <c r="C1702">
        <v>1</v>
      </c>
      <c r="D1702">
        <v>1</v>
      </c>
      <c r="E1702">
        <v>3</v>
      </c>
      <c r="F1702">
        <v>18816</v>
      </c>
    </row>
    <row r="1703" spans="1:6" x14ac:dyDescent="0.25">
      <c r="A1703" t="s">
        <v>139</v>
      </c>
      <c r="B1703" t="s">
        <v>141</v>
      </c>
      <c r="C1703">
        <v>1</v>
      </c>
      <c r="D1703">
        <v>1</v>
      </c>
      <c r="E1703">
        <v>4</v>
      </c>
      <c r="F1703">
        <v>7833</v>
      </c>
    </row>
    <row r="1704" spans="1:6" x14ac:dyDescent="0.25">
      <c r="A1704" t="s">
        <v>139</v>
      </c>
      <c r="B1704" t="s">
        <v>141</v>
      </c>
      <c r="C1704">
        <v>1</v>
      </c>
      <c r="D1704">
        <v>1</v>
      </c>
      <c r="E1704">
        <v>5</v>
      </c>
      <c r="F1704">
        <v>854</v>
      </c>
    </row>
    <row r="1705" spans="1:6" x14ac:dyDescent="0.25">
      <c r="A1705" t="s">
        <v>139</v>
      </c>
      <c r="B1705" t="s">
        <v>141</v>
      </c>
      <c r="C1705">
        <v>1</v>
      </c>
      <c r="D1705">
        <v>1</v>
      </c>
      <c r="E1705">
        <v>6</v>
      </c>
      <c r="F1705">
        <v>9882</v>
      </c>
    </row>
    <row r="1706" spans="1:6" x14ac:dyDescent="0.25">
      <c r="A1706" t="s">
        <v>139</v>
      </c>
      <c r="B1706" t="s">
        <v>141</v>
      </c>
      <c r="C1706">
        <v>1</v>
      </c>
      <c r="D1706">
        <v>2</v>
      </c>
      <c r="E1706">
        <v>1</v>
      </c>
      <c r="F1706">
        <v>17345</v>
      </c>
    </row>
    <row r="1707" spans="1:6" x14ac:dyDescent="0.25">
      <c r="A1707" t="s">
        <v>139</v>
      </c>
      <c r="B1707" t="s">
        <v>141</v>
      </c>
      <c r="C1707">
        <v>1</v>
      </c>
      <c r="D1707">
        <v>2</v>
      </c>
      <c r="E1707">
        <v>2</v>
      </c>
      <c r="F1707">
        <v>818</v>
      </c>
    </row>
    <row r="1708" spans="1:6" x14ac:dyDescent="0.25">
      <c r="A1708" t="s">
        <v>139</v>
      </c>
      <c r="B1708" t="s">
        <v>141</v>
      </c>
      <c r="C1708">
        <v>1</v>
      </c>
      <c r="D1708">
        <v>2</v>
      </c>
      <c r="E1708">
        <v>3</v>
      </c>
      <c r="F1708">
        <v>2126</v>
      </c>
    </row>
    <row r="1709" spans="1:6" x14ac:dyDescent="0.25">
      <c r="A1709" t="s">
        <v>139</v>
      </c>
      <c r="B1709" t="s">
        <v>141</v>
      </c>
      <c r="C1709">
        <v>1</v>
      </c>
      <c r="D1709">
        <v>2</v>
      </c>
      <c r="E1709">
        <v>4</v>
      </c>
      <c r="F1709">
        <v>270</v>
      </c>
    </row>
    <row r="1710" spans="1:6" x14ac:dyDescent="0.25">
      <c r="A1710" t="s">
        <v>139</v>
      </c>
      <c r="B1710" t="s">
        <v>141</v>
      </c>
      <c r="C1710">
        <v>1</v>
      </c>
      <c r="D1710">
        <v>2</v>
      </c>
      <c r="E1710">
        <v>5</v>
      </c>
      <c r="F1710">
        <v>130</v>
      </c>
    </row>
    <row r="1711" spans="1:6" x14ac:dyDescent="0.25">
      <c r="A1711" t="s">
        <v>139</v>
      </c>
      <c r="B1711" t="s">
        <v>141</v>
      </c>
      <c r="C1711">
        <v>1</v>
      </c>
      <c r="D1711">
        <v>2</v>
      </c>
      <c r="E1711">
        <v>6</v>
      </c>
      <c r="F1711">
        <v>1179</v>
      </c>
    </row>
    <row r="1712" spans="1:6" x14ac:dyDescent="0.25">
      <c r="A1712" t="s">
        <v>139</v>
      </c>
      <c r="B1712" t="s">
        <v>141</v>
      </c>
      <c r="C1712">
        <v>2</v>
      </c>
      <c r="D1712">
        <v>0</v>
      </c>
      <c r="E1712">
        <v>1</v>
      </c>
      <c r="F1712">
        <v>332193</v>
      </c>
    </row>
    <row r="1713" spans="1:6" x14ac:dyDescent="0.25">
      <c r="A1713" t="s">
        <v>139</v>
      </c>
      <c r="B1713" t="s">
        <v>141</v>
      </c>
      <c r="C1713">
        <v>2</v>
      </c>
      <c r="D1713">
        <v>0</v>
      </c>
      <c r="E1713">
        <v>2</v>
      </c>
      <c r="F1713">
        <v>14409</v>
      </c>
    </row>
    <row r="1714" spans="1:6" x14ac:dyDescent="0.25">
      <c r="A1714" t="s">
        <v>139</v>
      </c>
      <c r="B1714" t="s">
        <v>141</v>
      </c>
      <c r="C1714">
        <v>2</v>
      </c>
      <c r="D1714">
        <v>0</v>
      </c>
      <c r="E1714">
        <v>3</v>
      </c>
      <c r="F1714">
        <v>21133</v>
      </c>
    </row>
    <row r="1715" spans="1:6" x14ac:dyDescent="0.25">
      <c r="A1715" t="s">
        <v>139</v>
      </c>
      <c r="B1715" t="s">
        <v>141</v>
      </c>
      <c r="C1715">
        <v>2</v>
      </c>
      <c r="D1715">
        <v>0</v>
      </c>
      <c r="E1715">
        <v>4</v>
      </c>
      <c r="F1715">
        <v>8606</v>
      </c>
    </row>
    <row r="1716" spans="1:6" x14ac:dyDescent="0.25">
      <c r="A1716" t="s">
        <v>139</v>
      </c>
      <c r="B1716" t="s">
        <v>141</v>
      </c>
      <c r="C1716">
        <v>2</v>
      </c>
      <c r="D1716">
        <v>0</v>
      </c>
      <c r="E1716">
        <v>5</v>
      </c>
      <c r="F1716">
        <v>852</v>
      </c>
    </row>
    <row r="1717" spans="1:6" x14ac:dyDescent="0.25">
      <c r="A1717" t="s">
        <v>139</v>
      </c>
      <c r="B1717" t="s">
        <v>141</v>
      </c>
      <c r="C1717">
        <v>2</v>
      </c>
      <c r="D1717">
        <v>0</v>
      </c>
      <c r="E1717">
        <v>6</v>
      </c>
      <c r="F1717">
        <v>10473</v>
      </c>
    </row>
    <row r="1718" spans="1:6" x14ac:dyDescent="0.25">
      <c r="A1718" t="s">
        <v>139</v>
      </c>
      <c r="B1718" t="s">
        <v>141</v>
      </c>
      <c r="C1718">
        <v>2</v>
      </c>
      <c r="D1718">
        <v>1</v>
      </c>
      <c r="E1718">
        <v>1</v>
      </c>
      <c r="F1718">
        <v>317389</v>
      </c>
    </row>
    <row r="1719" spans="1:6" x14ac:dyDescent="0.25">
      <c r="A1719" t="s">
        <v>139</v>
      </c>
      <c r="B1719" t="s">
        <v>141</v>
      </c>
      <c r="C1719">
        <v>2</v>
      </c>
      <c r="D1719">
        <v>1</v>
      </c>
      <c r="E1719">
        <v>2</v>
      </c>
      <c r="F1719">
        <v>13628</v>
      </c>
    </row>
    <row r="1720" spans="1:6" x14ac:dyDescent="0.25">
      <c r="A1720" t="s">
        <v>139</v>
      </c>
      <c r="B1720" t="s">
        <v>141</v>
      </c>
      <c r="C1720">
        <v>2</v>
      </c>
      <c r="D1720">
        <v>1</v>
      </c>
      <c r="E1720">
        <v>3</v>
      </c>
      <c r="F1720">
        <v>19145</v>
      </c>
    </row>
    <row r="1721" spans="1:6" x14ac:dyDescent="0.25">
      <c r="A1721" t="s">
        <v>139</v>
      </c>
      <c r="B1721" t="s">
        <v>141</v>
      </c>
      <c r="C1721">
        <v>2</v>
      </c>
      <c r="D1721">
        <v>1</v>
      </c>
      <c r="E1721">
        <v>4</v>
      </c>
      <c r="F1721">
        <v>8415</v>
      </c>
    </row>
    <row r="1722" spans="1:6" x14ac:dyDescent="0.25">
      <c r="A1722" t="s">
        <v>139</v>
      </c>
      <c r="B1722" t="s">
        <v>141</v>
      </c>
      <c r="C1722">
        <v>2</v>
      </c>
      <c r="D1722">
        <v>1</v>
      </c>
      <c r="E1722">
        <v>5</v>
      </c>
      <c r="F1722">
        <v>737</v>
      </c>
    </row>
    <row r="1723" spans="1:6" x14ac:dyDescent="0.25">
      <c r="A1723" t="s">
        <v>139</v>
      </c>
      <c r="B1723" t="s">
        <v>141</v>
      </c>
      <c r="C1723">
        <v>2</v>
      </c>
      <c r="D1723">
        <v>1</v>
      </c>
      <c r="E1723">
        <v>6</v>
      </c>
      <c r="F1723">
        <v>9343</v>
      </c>
    </row>
    <row r="1724" spans="1:6" x14ac:dyDescent="0.25">
      <c r="A1724" t="s">
        <v>139</v>
      </c>
      <c r="B1724" t="s">
        <v>141</v>
      </c>
      <c r="C1724">
        <v>2</v>
      </c>
      <c r="D1724">
        <v>2</v>
      </c>
      <c r="E1724">
        <v>1</v>
      </c>
      <c r="F1724">
        <v>14804</v>
      </c>
    </row>
    <row r="1725" spans="1:6" x14ac:dyDescent="0.25">
      <c r="A1725" t="s">
        <v>139</v>
      </c>
      <c r="B1725" t="s">
        <v>141</v>
      </c>
      <c r="C1725">
        <v>2</v>
      </c>
      <c r="D1725">
        <v>2</v>
      </c>
      <c r="E1725">
        <v>2</v>
      </c>
      <c r="F1725">
        <v>781</v>
      </c>
    </row>
    <row r="1726" spans="1:6" x14ac:dyDescent="0.25">
      <c r="A1726" t="s">
        <v>139</v>
      </c>
      <c r="B1726" t="s">
        <v>141</v>
      </c>
      <c r="C1726">
        <v>2</v>
      </c>
      <c r="D1726">
        <v>2</v>
      </c>
      <c r="E1726">
        <v>3</v>
      </c>
      <c r="F1726">
        <v>1988</v>
      </c>
    </row>
    <row r="1727" spans="1:6" x14ac:dyDescent="0.25">
      <c r="A1727" t="s">
        <v>139</v>
      </c>
      <c r="B1727" t="s">
        <v>141</v>
      </c>
      <c r="C1727">
        <v>2</v>
      </c>
      <c r="D1727">
        <v>2</v>
      </c>
      <c r="E1727">
        <v>4</v>
      </c>
      <c r="F1727">
        <v>191</v>
      </c>
    </row>
    <row r="1728" spans="1:6" x14ac:dyDescent="0.25">
      <c r="A1728" t="s">
        <v>139</v>
      </c>
      <c r="B1728" t="s">
        <v>141</v>
      </c>
      <c r="C1728">
        <v>2</v>
      </c>
      <c r="D1728">
        <v>2</v>
      </c>
      <c r="E1728">
        <v>5</v>
      </c>
      <c r="F1728">
        <v>115</v>
      </c>
    </row>
    <row r="1729" spans="1:6" x14ac:dyDescent="0.25">
      <c r="A1729" t="s">
        <v>139</v>
      </c>
      <c r="B1729" t="s">
        <v>141</v>
      </c>
      <c r="C1729">
        <v>2</v>
      </c>
      <c r="D1729">
        <v>2</v>
      </c>
      <c r="E1729">
        <v>6</v>
      </c>
      <c r="F1729">
        <v>1130</v>
      </c>
    </row>
    <row r="1730" spans="1:6" x14ac:dyDescent="0.25">
      <c r="A1730" t="s">
        <v>142</v>
      </c>
      <c r="B1730" t="s">
        <v>144</v>
      </c>
      <c r="C1730">
        <v>0</v>
      </c>
      <c r="D1730">
        <v>0</v>
      </c>
      <c r="E1730">
        <v>1</v>
      </c>
      <c r="F1730">
        <v>9521458</v>
      </c>
    </row>
    <row r="1731" spans="1:6" x14ac:dyDescent="0.25">
      <c r="A1731" t="s">
        <v>142</v>
      </c>
      <c r="B1731" t="s">
        <v>144</v>
      </c>
      <c r="C1731">
        <v>0</v>
      </c>
      <c r="D1731">
        <v>0</v>
      </c>
      <c r="E1731">
        <v>2</v>
      </c>
      <c r="F1731">
        <v>1610713</v>
      </c>
    </row>
    <row r="1732" spans="1:6" x14ac:dyDescent="0.25">
      <c r="A1732" t="s">
        <v>142</v>
      </c>
      <c r="B1732" t="s">
        <v>144</v>
      </c>
      <c r="C1732">
        <v>0</v>
      </c>
      <c r="D1732">
        <v>0</v>
      </c>
      <c r="E1732">
        <v>3</v>
      </c>
      <c r="F1732">
        <v>41736</v>
      </c>
    </row>
    <row r="1733" spans="1:6" x14ac:dyDescent="0.25">
      <c r="A1733" t="s">
        <v>142</v>
      </c>
      <c r="B1733" t="s">
        <v>144</v>
      </c>
      <c r="C1733">
        <v>0</v>
      </c>
      <c r="D1733">
        <v>0</v>
      </c>
      <c r="E1733">
        <v>4</v>
      </c>
      <c r="F1733">
        <v>363909</v>
      </c>
    </row>
    <row r="1734" spans="1:6" x14ac:dyDescent="0.25">
      <c r="A1734" t="s">
        <v>142</v>
      </c>
      <c r="B1734" t="s">
        <v>144</v>
      </c>
      <c r="C1734">
        <v>0</v>
      </c>
      <c r="D1734">
        <v>0</v>
      </c>
      <c r="E1734">
        <v>5</v>
      </c>
      <c r="F1734">
        <v>9151</v>
      </c>
    </row>
    <row r="1735" spans="1:6" x14ac:dyDescent="0.25">
      <c r="A1735" t="s">
        <v>142</v>
      </c>
      <c r="B1735" t="s">
        <v>144</v>
      </c>
      <c r="C1735">
        <v>0</v>
      </c>
      <c r="D1735">
        <v>0</v>
      </c>
      <c r="E1735">
        <v>6</v>
      </c>
      <c r="F1735">
        <v>336337</v>
      </c>
    </row>
    <row r="1736" spans="1:6" x14ac:dyDescent="0.25">
      <c r="A1736" t="s">
        <v>142</v>
      </c>
      <c r="B1736" t="s">
        <v>144</v>
      </c>
      <c r="C1736">
        <v>0</v>
      </c>
      <c r="D1736">
        <v>1</v>
      </c>
      <c r="E1736">
        <v>1</v>
      </c>
      <c r="F1736">
        <v>9031165</v>
      </c>
    </row>
    <row r="1737" spans="1:6" x14ac:dyDescent="0.25">
      <c r="A1737" t="s">
        <v>142</v>
      </c>
      <c r="B1737" t="s">
        <v>144</v>
      </c>
      <c r="C1737">
        <v>0</v>
      </c>
      <c r="D1737">
        <v>1</v>
      </c>
      <c r="E1737">
        <v>2</v>
      </c>
      <c r="F1737">
        <v>1550073</v>
      </c>
    </row>
    <row r="1738" spans="1:6" x14ac:dyDescent="0.25">
      <c r="A1738" t="s">
        <v>142</v>
      </c>
      <c r="B1738" t="s">
        <v>144</v>
      </c>
      <c r="C1738">
        <v>0</v>
      </c>
      <c r="D1738">
        <v>1</v>
      </c>
      <c r="E1738">
        <v>3</v>
      </c>
      <c r="F1738">
        <v>23058</v>
      </c>
    </row>
    <row r="1739" spans="1:6" x14ac:dyDescent="0.25">
      <c r="A1739" t="s">
        <v>142</v>
      </c>
      <c r="B1739" t="s">
        <v>144</v>
      </c>
      <c r="C1739">
        <v>0</v>
      </c>
      <c r="D1739">
        <v>1</v>
      </c>
      <c r="E1739">
        <v>4</v>
      </c>
      <c r="F1739">
        <v>358263</v>
      </c>
    </row>
    <row r="1740" spans="1:6" x14ac:dyDescent="0.25">
      <c r="A1740" t="s">
        <v>142</v>
      </c>
      <c r="B1740" t="s">
        <v>144</v>
      </c>
      <c r="C1740">
        <v>0</v>
      </c>
      <c r="D1740">
        <v>1</v>
      </c>
      <c r="E1740">
        <v>5</v>
      </c>
      <c r="F1740">
        <v>6094</v>
      </c>
    </row>
    <row r="1741" spans="1:6" x14ac:dyDescent="0.25">
      <c r="A1741" t="s">
        <v>142</v>
      </c>
      <c r="B1741" t="s">
        <v>144</v>
      </c>
      <c r="C1741">
        <v>0</v>
      </c>
      <c r="D1741">
        <v>1</v>
      </c>
      <c r="E1741">
        <v>6</v>
      </c>
      <c r="F1741">
        <v>299962</v>
      </c>
    </row>
    <row r="1742" spans="1:6" x14ac:dyDescent="0.25">
      <c r="A1742" t="s">
        <v>142</v>
      </c>
      <c r="B1742" t="s">
        <v>144</v>
      </c>
      <c r="C1742">
        <v>0</v>
      </c>
      <c r="D1742">
        <v>2</v>
      </c>
      <c r="E1742">
        <v>1</v>
      </c>
      <c r="F1742">
        <v>490293</v>
      </c>
    </row>
    <row r="1743" spans="1:6" x14ac:dyDescent="0.25">
      <c r="A1743" t="s">
        <v>142</v>
      </c>
      <c r="B1743" t="s">
        <v>144</v>
      </c>
      <c r="C1743">
        <v>0</v>
      </c>
      <c r="D1743">
        <v>2</v>
      </c>
      <c r="E1743">
        <v>2</v>
      </c>
      <c r="F1743">
        <v>60640</v>
      </c>
    </row>
    <row r="1744" spans="1:6" x14ac:dyDescent="0.25">
      <c r="A1744" t="s">
        <v>142</v>
      </c>
      <c r="B1744" t="s">
        <v>144</v>
      </c>
      <c r="C1744">
        <v>0</v>
      </c>
      <c r="D1744">
        <v>2</v>
      </c>
      <c r="E1744">
        <v>3</v>
      </c>
      <c r="F1744">
        <v>18678</v>
      </c>
    </row>
    <row r="1745" spans="1:6" x14ac:dyDescent="0.25">
      <c r="A1745" t="s">
        <v>142</v>
      </c>
      <c r="B1745" t="s">
        <v>144</v>
      </c>
      <c r="C1745">
        <v>0</v>
      </c>
      <c r="D1745">
        <v>2</v>
      </c>
      <c r="E1745">
        <v>4</v>
      </c>
      <c r="F1745">
        <v>5646</v>
      </c>
    </row>
    <row r="1746" spans="1:6" x14ac:dyDescent="0.25">
      <c r="A1746" t="s">
        <v>142</v>
      </c>
      <c r="B1746" t="s">
        <v>144</v>
      </c>
      <c r="C1746">
        <v>0</v>
      </c>
      <c r="D1746">
        <v>2</v>
      </c>
      <c r="E1746">
        <v>5</v>
      </c>
      <c r="F1746">
        <v>3057</v>
      </c>
    </row>
    <row r="1747" spans="1:6" x14ac:dyDescent="0.25">
      <c r="A1747" t="s">
        <v>142</v>
      </c>
      <c r="B1747" t="s">
        <v>144</v>
      </c>
      <c r="C1747">
        <v>0</v>
      </c>
      <c r="D1747">
        <v>2</v>
      </c>
      <c r="E1747">
        <v>6</v>
      </c>
      <c r="F1747">
        <v>36375</v>
      </c>
    </row>
    <row r="1748" spans="1:6" x14ac:dyDescent="0.25">
      <c r="A1748" t="s">
        <v>142</v>
      </c>
      <c r="B1748" t="s">
        <v>144</v>
      </c>
      <c r="C1748">
        <v>1</v>
      </c>
      <c r="D1748">
        <v>0</v>
      </c>
      <c r="E1748">
        <v>1</v>
      </c>
      <c r="F1748">
        <v>4715139</v>
      </c>
    </row>
    <row r="1749" spans="1:6" x14ac:dyDescent="0.25">
      <c r="A1749" t="s">
        <v>142</v>
      </c>
      <c r="B1749" t="s">
        <v>144</v>
      </c>
      <c r="C1749">
        <v>1</v>
      </c>
      <c r="D1749">
        <v>0</v>
      </c>
      <c r="E1749">
        <v>2</v>
      </c>
      <c r="F1749">
        <v>776392</v>
      </c>
    </row>
    <row r="1750" spans="1:6" x14ac:dyDescent="0.25">
      <c r="A1750" t="s">
        <v>142</v>
      </c>
      <c r="B1750" t="s">
        <v>144</v>
      </c>
      <c r="C1750">
        <v>1</v>
      </c>
      <c r="D1750">
        <v>0</v>
      </c>
      <c r="E1750">
        <v>3</v>
      </c>
      <c r="F1750">
        <v>21153</v>
      </c>
    </row>
    <row r="1751" spans="1:6" x14ac:dyDescent="0.25">
      <c r="A1751" t="s">
        <v>142</v>
      </c>
      <c r="B1751" t="s">
        <v>144</v>
      </c>
      <c r="C1751">
        <v>1</v>
      </c>
      <c r="D1751">
        <v>0</v>
      </c>
      <c r="E1751">
        <v>4</v>
      </c>
      <c r="F1751">
        <v>177782</v>
      </c>
    </row>
    <row r="1752" spans="1:6" x14ac:dyDescent="0.25">
      <c r="A1752" t="s">
        <v>142</v>
      </c>
      <c r="B1752" t="s">
        <v>144</v>
      </c>
      <c r="C1752">
        <v>1</v>
      </c>
      <c r="D1752">
        <v>0</v>
      </c>
      <c r="E1752">
        <v>5</v>
      </c>
      <c r="F1752">
        <v>4826</v>
      </c>
    </row>
    <row r="1753" spans="1:6" x14ac:dyDescent="0.25">
      <c r="A1753" t="s">
        <v>142</v>
      </c>
      <c r="B1753" t="s">
        <v>144</v>
      </c>
      <c r="C1753">
        <v>1</v>
      </c>
      <c r="D1753">
        <v>0</v>
      </c>
      <c r="E1753">
        <v>6</v>
      </c>
      <c r="F1753">
        <v>167922</v>
      </c>
    </row>
    <row r="1754" spans="1:6" x14ac:dyDescent="0.25">
      <c r="A1754" t="s">
        <v>142</v>
      </c>
      <c r="B1754" t="s">
        <v>144</v>
      </c>
      <c r="C1754">
        <v>1</v>
      </c>
      <c r="D1754">
        <v>1</v>
      </c>
      <c r="E1754">
        <v>1</v>
      </c>
      <c r="F1754">
        <v>4461917</v>
      </c>
    </row>
    <row r="1755" spans="1:6" x14ac:dyDescent="0.25">
      <c r="A1755" t="s">
        <v>142</v>
      </c>
      <c r="B1755" t="s">
        <v>144</v>
      </c>
      <c r="C1755">
        <v>1</v>
      </c>
      <c r="D1755">
        <v>1</v>
      </c>
      <c r="E1755">
        <v>2</v>
      </c>
      <c r="F1755">
        <v>746122</v>
      </c>
    </row>
    <row r="1756" spans="1:6" x14ac:dyDescent="0.25">
      <c r="A1756" t="s">
        <v>142</v>
      </c>
      <c r="B1756" t="s">
        <v>144</v>
      </c>
      <c r="C1756">
        <v>1</v>
      </c>
      <c r="D1756">
        <v>1</v>
      </c>
      <c r="E1756">
        <v>3</v>
      </c>
      <c r="F1756">
        <v>11576</v>
      </c>
    </row>
    <row r="1757" spans="1:6" x14ac:dyDescent="0.25">
      <c r="A1757" t="s">
        <v>142</v>
      </c>
      <c r="B1757" t="s">
        <v>144</v>
      </c>
      <c r="C1757">
        <v>1</v>
      </c>
      <c r="D1757">
        <v>1</v>
      </c>
      <c r="E1757">
        <v>4</v>
      </c>
      <c r="F1757">
        <v>174976</v>
      </c>
    </row>
    <row r="1758" spans="1:6" x14ac:dyDescent="0.25">
      <c r="A1758" t="s">
        <v>142</v>
      </c>
      <c r="B1758" t="s">
        <v>144</v>
      </c>
      <c r="C1758">
        <v>1</v>
      </c>
      <c r="D1758">
        <v>1</v>
      </c>
      <c r="E1758">
        <v>5</v>
      </c>
      <c r="F1758">
        <v>3208</v>
      </c>
    </row>
    <row r="1759" spans="1:6" x14ac:dyDescent="0.25">
      <c r="A1759" t="s">
        <v>142</v>
      </c>
      <c r="B1759" t="s">
        <v>144</v>
      </c>
      <c r="C1759">
        <v>1</v>
      </c>
      <c r="D1759">
        <v>1</v>
      </c>
      <c r="E1759">
        <v>6</v>
      </c>
      <c r="F1759">
        <v>149499</v>
      </c>
    </row>
    <row r="1760" spans="1:6" x14ac:dyDescent="0.25">
      <c r="A1760" t="s">
        <v>142</v>
      </c>
      <c r="B1760" t="s">
        <v>144</v>
      </c>
      <c r="C1760">
        <v>1</v>
      </c>
      <c r="D1760">
        <v>2</v>
      </c>
      <c r="E1760">
        <v>1</v>
      </c>
      <c r="F1760">
        <v>253222</v>
      </c>
    </row>
    <row r="1761" spans="1:6" x14ac:dyDescent="0.25">
      <c r="A1761" t="s">
        <v>142</v>
      </c>
      <c r="B1761" t="s">
        <v>144</v>
      </c>
      <c r="C1761">
        <v>1</v>
      </c>
      <c r="D1761">
        <v>2</v>
      </c>
      <c r="E1761">
        <v>2</v>
      </c>
      <c r="F1761">
        <v>30270</v>
      </c>
    </row>
    <row r="1762" spans="1:6" x14ac:dyDescent="0.25">
      <c r="A1762" t="s">
        <v>142</v>
      </c>
      <c r="B1762" t="s">
        <v>144</v>
      </c>
      <c r="C1762">
        <v>1</v>
      </c>
      <c r="D1762">
        <v>2</v>
      </c>
      <c r="E1762">
        <v>3</v>
      </c>
      <c r="F1762">
        <v>9577</v>
      </c>
    </row>
    <row r="1763" spans="1:6" x14ac:dyDescent="0.25">
      <c r="A1763" t="s">
        <v>142</v>
      </c>
      <c r="B1763" t="s">
        <v>144</v>
      </c>
      <c r="C1763">
        <v>1</v>
      </c>
      <c r="D1763">
        <v>2</v>
      </c>
      <c r="E1763">
        <v>4</v>
      </c>
      <c r="F1763">
        <v>2806</v>
      </c>
    </row>
    <row r="1764" spans="1:6" x14ac:dyDescent="0.25">
      <c r="A1764" t="s">
        <v>142</v>
      </c>
      <c r="B1764" t="s">
        <v>144</v>
      </c>
      <c r="C1764">
        <v>1</v>
      </c>
      <c r="D1764">
        <v>2</v>
      </c>
      <c r="E1764">
        <v>5</v>
      </c>
      <c r="F1764">
        <v>1618</v>
      </c>
    </row>
    <row r="1765" spans="1:6" x14ac:dyDescent="0.25">
      <c r="A1765" t="s">
        <v>142</v>
      </c>
      <c r="B1765" t="s">
        <v>144</v>
      </c>
      <c r="C1765">
        <v>1</v>
      </c>
      <c r="D1765">
        <v>2</v>
      </c>
      <c r="E1765">
        <v>6</v>
      </c>
      <c r="F1765">
        <v>18423</v>
      </c>
    </row>
    <row r="1766" spans="1:6" x14ac:dyDescent="0.25">
      <c r="A1766" t="s">
        <v>142</v>
      </c>
      <c r="B1766" t="s">
        <v>144</v>
      </c>
      <c r="C1766">
        <v>2</v>
      </c>
      <c r="D1766">
        <v>0</v>
      </c>
      <c r="E1766">
        <v>1</v>
      </c>
      <c r="F1766">
        <v>4806319</v>
      </c>
    </row>
    <row r="1767" spans="1:6" x14ac:dyDescent="0.25">
      <c r="A1767" t="s">
        <v>142</v>
      </c>
      <c r="B1767" t="s">
        <v>144</v>
      </c>
      <c r="C1767">
        <v>2</v>
      </c>
      <c r="D1767">
        <v>0</v>
      </c>
      <c r="E1767">
        <v>2</v>
      </c>
      <c r="F1767">
        <v>834321</v>
      </c>
    </row>
    <row r="1768" spans="1:6" x14ac:dyDescent="0.25">
      <c r="A1768" t="s">
        <v>142</v>
      </c>
      <c r="B1768" t="s">
        <v>144</v>
      </c>
      <c r="C1768">
        <v>2</v>
      </c>
      <c r="D1768">
        <v>0</v>
      </c>
      <c r="E1768">
        <v>3</v>
      </c>
      <c r="F1768">
        <v>20583</v>
      </c>
    </row>
    <row r="1769" spans="1:6" x14ac:dyDescent="0.25">
      <c r="A1769" t="s">
        <v>142</v>
      </c>
      <c r="B1769" t="s">
        <v>144</v>
      </c>
      <c r="C1769">
        <v>2</v>
      </c>
      <c r="D1769">
        <v>0</v>
      </c>
      <c r="E1769">
        <v>4</v>
      </c>
      <c r="F1769">
        <v>186127</v>
      </c>
    </row>
    <row r="1770" spans="1:6" x14ac:dyDescent="0.25">
      <c r="A1770" t="s">
        <v>142</v>
      </c>
      <c r="B1770" t="s">
        <v>144</v>
      </c>
      <c r="C1770">
        <v>2</v>
      </c>
      <c r="D1770">
        <v>0</v>
      </c>
      <c r="E1770">
        <v>5</v>
      </c>
      <c r="F1770">
        <v>4325</v>
      </c>
    </row>
    <row r="1771" spans="1:6" x14ac:dyDescent="0.25">
      <c r="A1771" t="s">
        <v>142</v>
      </c>
      <c r="B1771" t="s">
        <v>144</v>
      </c>
      <c r="C1771">
        <v>2</v>
      </c>
      <c r="D1771">
        <v>0</v>
      </c>
      <c r="E1771">
        <v>6</v>
      </c>
      <c r="F1771">
        <v>168415</v>
      </c>
    </row>
    <row r="1772" spans="1:6" x14ac:dyDescent="0.25">
      <c r="A1772" t="s">
        <v>142</v>
      </c>
      <c r="B1772" t="s">
        <v>144</v>
      </c>
      <c r="C1772">
        <v>2</v>
      </c>
      <c r="D1772">
        <v>1</v>
      </c>
      <c r="E1772">
        <v>1</v>
      </c>
      <c r="F1772">
        <v>4569248</v>
      </c>
    </row>
    <row r="1773" spans="1:6" x14ac:dyDescent="0.25">
      <c r="A1773" t="s">
        <v>142</v>
      </c>
      <c r="B1773" t="s">
        <v>144</v>
      </c>
      <c r="C1773">
        <v>2</v>
      </c>
      <c r="D1773">
        <v>1</v>
      </c>
      <c r="E1773">
        <v>2</v>
      </c>
      <c r="F1773">
        <v>803951</v>
      </c>
    </row>
    <row r="1774" spans="1:6" x14ac:dyDescent="0.25">
      <c r="A1774" t="s">
        <v>142</v>
      </c>
      <c r="B1774" t="s">
        <v>144</v>
      </c>
      <c r="C1774">
        <v>2</v>
      </c>
      <c r="D1774">
        <v>1</v>
      </c>
      <c r="E1774">
        <v>3</v>
      </c>
      <c r="F1774">
        <v>11482</v>
      </c>
    </row>
    <row r="1775" spans="1:6" x14ac:dyDescent="0.25">
      <c r="A1775" t="s">
        <v>142</v>
      </c>
      <c r="B1775" t="s">
        <v>144</v>
      </c>
      <c r="C1775">
        <v>2</v>
      </c>
      <c r="D1775">
        <v>1</v>
      </c>
      <c r="E1775">
        <v>4</v>
      </c>
      <c r="F1775">
        <v>183287</v>
      </c>
    </row>
    <row r="1776" spans="1:6" x14ac:dyDescent="0.25">
      <c r="A1776" t="s">
        <v>142</v>
      </c>
      <c r="B1776" t="s">
        <v>144</v>
      </c>
      <c r="C1776">
        <v>2</v>
      </c>
      <c r="D1776">
        <v>1</v>
      </c>
      <c r="E1776">
        <v>5</v>
      </c>
      <c r="F1776">
        <v>2886</v>
      </c>
    </row>
    <row r="1777" spans="1:6" x14ac:dyDescent="0.25">
      <c r="A1777" t="s">
        <v>142</v>
      </c>
      <c r="B1777" t="s">
        <v>144</v>
      </c>
      <c r="C1777">
        <v>2</v>
      </c>
      <c r="D1777">
        <v>1</v>
      </c>
      <c r="E1777">
        <v>6</v>
      </c>
      <c r="F1777">
        <v>150463</v>
      </c>
    </row>
    <row r="1778" spans="1:6" x14ac:dyDescent="0.25">
      <c r="A1778" t="s">
        <v>142</v>
      </c>
      <c r="B1778" t="s">
        <v>144</v>
      </c>
      <c r="C1778">
        <v>2</v>
      </c>
      <c r="D1778">
        <v>2</v>
      </c>
      <c r="E1778">
        <v>1</v>
      </c>
      <c r="F1778">
        <v>237071</v>
      </c>
    </row>
    <row r="1779" spans="1:6" x14ac:dyDescent="0.25">
      <c r="A1779" t="s">
        <v>142</v>
      </c>
      <c r="B1779" t="s">
        <v>144</v>
      </c>
      <c r="C1779">
        <v>2</v>
      </c>
      <c r="D1779">
        <v>2</v>
      </c>
      <c r="E1779">
        <v>2</v>
      </c>
      <c r="F1779">
        <v>30370</v>
      </c>
    </row>
    <row r="1780" spans="1:6" x14ac:dyDescent="0.25">
      <c r="A1780" t="s">
        <v>142</v>
      </c>
      <c r="B1780" t="s">
        <v>144</v>
      </c>
      <c r="C1780">
        <v>2</v>
      </c>
      <c r="D1780">
        <v>2</v>
      </c>
      <c r="E1780">
        <v>3</v>
      </c>
      <c r="F1780">
        <v>9101</v>
      </c>
    </row>
    <row r="1781" spans="1:6" x14ac:dyDescent="0.25">
      <c r="A1781" t="s">
        <v>142</v>
      </c>
      <c r="B1781" t="s">
        <v>144</v>
      </c>
      <c r="C1781">
        <v>2</v>
      </c>
      <c r="D1781">
        <v>2</v>
      </c>
      <c r="E1781">
        <v>4</v>
      </c>
      <c r="F1781">
        <v>2840</v>
      </c>
    </row>
    <row r="1782" spans="1:6" x14ac:dyDescent="0.25">
      <c r="A1782" t="s">
        <v>142</v>
      </c>
      <c r="B1782" t="s">
        <v>144</v>
      </c>
      <c r="C1782">
        <v>2</v>
      </c>
      <c r="D1782">
        <v>2</v>
      </c>
      <c r="E1782">
        <v>5</v>
      </c>
      <c r="F1782">
        <v>1439</v>
      </c>
    </row>
    <row r="1783" spans="1:6" x14ac:dyDescent="0.25">
      <c r="A1783" t="s">
        <v>142</v>
      </c>
      <c r="B1783" t="s">
        <v>144</v>
      </c>
      <c r="C1783">
        <v>2</v>
      </c>
      <c r="D1783">
        <v>2</v>
      </c>
      <c r="E1783">
        <v>6</v>
      </c>
      <c r="F1783">
        <v>17952</v>
      </c>
    </row>
    <row r="1784" spans="1:6" x14ac:dyDescent="0.25">
      <c r="A1784" t="s">
        <v>145</v>
      </c>
      <c r="B1784" t="s">
        <v>147</v>
      </c>
      <c r="C1784">
        <v>0</v>
      </c>
      <c r="D1784">
        <v>0</v>
      </c>
      <c r="E1784">
        <v>1</v>
      </c>
      <c r="F1784">
        <v>2973266</v>
      </c>
    </row>
    <row r="1785" spans="1:6" x14ac:dyDescent="0.25">
      <c r="A1785" t="s">
        <v>145</v>
      </c>
      <c r="B1785" t="s">
        <v>147</v>
      </c>
      <c r="C1785">
        <v>0</v>
      </c>
      <c r="D1785">
        <v>0</v>
      </c>
      <c r="E1785">
        <v>2</v>
      </c>
      <c r="F1785">
        <v>325186</v>
      </c>
    </row>
    <row r="1786" spans="1:6" x14ac:dyDescent="0.25">
      <c r="A1786" t="s">
        <v>145</v>
      </c>
      <c r="B1786" t="s">
        <v>147</v>
      </c>
      <c r="C1786">
        <v>0</v>
      </c>
      <c r="D1786">
        <v>0</v>
      </c>
      <c r="E1786">
        <v>3</v>
      </c>
      <c r="F1786">
        <v>391203</v>
      </c>
    </row>
    <row r="1787" spans="1:6" x14ac:dyDescent="0.25">
      <c r="A1787" t="s">
        <v>145</v>
      </c>
      <c r="B1787" t="s">
        <v>147</v>
      </c>
      <c r="C1787">
        <v>0</v>
      </c>
      <c r="D1787">
        <v>0</v>
      </c>
      <c r="E1787">
        <v>4</v>
      </c>
      <c r="F1787">
        <v>113469</v>
      </c>
    </row>
    <row r="1788" spans="1:6" x14ac:dyDescent="0.25">
      <c r="A1788" t="s">
        <v>145</v>
      </c>
      <c r="B1788" t="s">
        <v>147</v>
      </c>
      <c r="C1788">
        <v>0</v>
      </c>
      <c r="D1788">
        <v>0</v>
      </c>
      <c r="E1788">
        <v>5</v>
      </c>
      <c r="F1788">
        <v>11062</v>
      </c>
    </row>
    <row r="1789" spans="1:6" x14ac:dyDescent="0.25">
      <c r="A1789" t="s">
        <v>145</v>
      </c>
      <c r="B1789" t="s">
        <v>147</v>
      </c>
      <c r="C1789">
        <v>0</v>
      </c>
      <c r="D1789">
        <v>0</v>
      </c>
      <c r="E1789">
        <v>6</v>
      </c>
      <c r="F1789">
        <v>281207</v>
      </c>
    </row>
    <row r="1790" spans="1:6" x14ac:dyDescent="0.25">
      <c r="A1790" t="s">
        <v>145</v>
      </c>
      <c r="B1790" t="s">
        <v>147</v>
      </c>
      <c r="C1790">
        <v>0</v>
      </c>
      <c r="D1790">
        <v>1</v>
      </c>
      <c r="E1790">
        <v>1</v>
      </c>
      <c r="F1790">
        <v>2536114</v>
      </c>
    </row>
    <row r="1791" spans="1:6" x14ac:dyDescent="0.25">
      <c r="A1791" t="s">
        <v>145</v>
      </c>
      <c r="B1791" t="s">
        <v>147</v>
      </c>
      <c r="C1791">
        <v>0</v>
      </c>
      <c r="D1791">
        <v>1</v>
      </c>
      <c r="E1791">
        <v>2</v>
      </c>
      <c r="F1791">
        <v>305758</v>
      </c>
    </row>
    <row r="1792" spans="1:6" x14ac:dyDescent="0.25">
      <c r="A1792" t="s">
        <v>145</v>
      </c>
      <c r="B1792" t="s">
        <v>147</v>
      </c>
      <c r="C1792">
        <v>0</v>
      </c>
      <c r="D1792">
        <v>1</v>
      </c>
      <c r="E1792">
        <v>3</v>
      </c>
      <c r="F1792">
        <v>333674</v>
      </c>
    </row>
    <row r="1793" spans="1:6" x14ac:dyDescent="0.25">
      <c r="A1793" t="s">
        <v>145</v>
      </c>
      <c r="B1793" t="s">
        <v>147</v>
      </c>
      <c r="C1793">
        <v>0</v>
      </c>
      <c r="D1793">
        <v>1</v>
      </c>
      <c r="E1793">
        <v>4</v>
      </c>
      <c r="F1793">
        <v>109228</v>
      </c>
    </row>
    <row r="1794" spans="1:6" x14ac:dyDescent="0.25">
      <c r="A1794" t="s">
        <v>145</v>
      </c>
      <c r="B1794" t="s">
        <v>147</v>
      </c>
      <c r="C1794">
        <v>0</v>
      </c>
      <c r="D1794">
        <v>1</v>
      </c>
      <c r="E1794">
        <v>5</v>
      </c>
      <c r="F1794">
        <v>9137</v>
      </c>
    </row>
    <row r="1795" spans="1:6" x14ac:dyDescent="0.25">
      <c r="A1795" t="s">
        <v>145</v>
      </c>
      <c r="B1795" t="s">
        <v>147</v>
      </c>
      <c r="C1795">
        <v>0</v>
      </c>
      <c r="D1795">
        <v>1</v>
      </c>
      <c r="E1795">
        <v>6</v>
      </c>
      <c r="F1795">
        <v>250258</v>
      </c>
    </row>
    <row r="1796" spans="1:6" x14ac:dyDescent="0.25">
      <c r="A1796" t="s">
        <v>145</v>
      </c>
      <c r="B1796" t="s">
        <v>147</v>
      </c>
      <c r="C1796">
        <v>0</v>
      </c>
      <c r="D1796">
        <v>2</v>
      </c>
      <c r="E1796">
        <v>1</v>
      </c>
      <c r="F1796">
        <v>437152</v>
      </c>
    </row>
    <row r="1797" spans="1:6" x14ac:dyDescent="0.25">
      <c r="A1797" t="s">
        <v>145</v>
      </c>
      <c r="B1797" t="s">
        <v>147</v>
      </c>
      <c r="C1797">
        <v>0</v>
      </c>
      <c r="D1797">
        <v>2</v>
      </c>
      <c r="E1797">
        <v>2</v>
      </c>
      <c r="F1797">
        <v>19428</v>
      </c>
    </row>
    <row r="1798" spans="1:6" x14ac:dyDescent="0.25">
      <c r="A1798" t="s">
        <v>145</v>
      </c>
      <c r="B1798" t="s">
        <v>147</v>
      </c>
      <c r="C1798">
        <v>0</v>
      </c>
      <c r="D1798">
        <v>2</v>
      </c>
      <c r="E1798">
        <v>3</v>
      </c>
      <c r="F1798">
        <v>57529</v>
      </c>
    </row>
    <row r="1799" spans="1:6" x14ac:dyDescent="0.25">
      <c r="A1799" t="s">
        <v>145</v>
      </c>
      <c r="B1799" t="s">
        <v>147</v>
      </c>
      <c r="C1799">
        <v>0</v>
      </c>
      <c r="D1799">
        <v>2</v>
      </c>
      <c r="E1799">
        <v>4</v>
      </c>
      <c r="F1799">
        <v>4241</v>
      </c>
    </row>
    <row r="1800" spans="1:6" x14ac:dyDescent="0.25">
      <c r="A1800" t="s">
        <v>145</v>
      </c>
      <c r="B1800" t="s">
        <v>147</v>
      </c>
      <c r="C1800">
        <v>0</v>
      </c>
      <c r="D1800">
        <v>2</v>
      </c>
      <c r="E1800">
        <v>5</v>
      </c>
      <c r="F1800">
        <v>1925</v>
      </c>
    </row>
    <row r="1801" spans="1:6" x14ac:dyDescent="0.25">
      <c r="A1801" t="s">
        <v>145</v>
      </c>
      <c r="B1801" t="s">
        <v>147</v>
      </c>
      <c r="C1801">
        <v>0</v>
      </c>
      <c r="D1801">
        <v>2</v>
      </c>
      <c r="E1801">
        <v>6</v>
      </c>
      <c r="F1801">
        <v>30949</v>
      </c>
    </row>
    <row r="1802" spans="1:6" x14ac:dyDescent="0.25">
      <c r="A1802" t="s">
        <v>145</v>
      </c>
      <c r="B1802" t="s">
        <v>147</v>
      </c>
      <c r="C1802">
        <v>1</v>
      </c>
      <c r="D1802">
        <v>0</v>
      </c>
      <c r="E1802">
        <v>1</v>
      </c>
      <c r="F1802">
        <v>1480943</v>
      </c>
    </row>
    <row r="1803" spans="1:6" x14ac:dyDescent="0.25">
      <c r="A1803" t="s">
        <v>145</v>
      </c>
      <c r="B1803" t="s">
        <v>147</v>
      </c>
      <c r="C1803">
        <v>1</v>
      </c>
      <c r="D1803">
        <v>0</v>
      </c>
      <c r="E1803">
        <v>2</v>
      </c>
      <c r="F1803">
        <v>164410</v>
      </c>
    </row>
    <row r="1804" spans="1:6" x14ac:dyDescent="0.25">
      <c r="A1804" t="s">
        <v>145</v>
      </c>
      <c r="B1804" t="s">
        <v>147</v>
      </c>
      <c r="C1804">
        <v>1</v>
      </c>
      <c r="D1804">
        <v>0</v>
      </c>
      <c r="E1804">
        <v>3</v>
      </c>
      <c r="F1804">
        <v>194047</v>
      </c>
    </row>
    <row r="1805" spans="1:6" x14ac:dyDescent="0.25">
      <c r="A1805" t="s">
        <v>145</v>
      </c>
      <c r="B1805" t="s">
        <v>147</v>
      </c>
      <c r="C1805">
        <v>1</v>
      </c>
      <c r="D1805">
        <v>0</v>
      </c>
      <c r="E1805">
        <v>4</v>
      </c>
      <c r="F1805">
        <v>54458</v>
      </c>
    </row>
    <row r="1806" spans="1:6" x14ac:dyDescent="0.25">
      <c r="A1806" t="s">
        <v>145</v>
      </c>
      <c r="B1806" t="s">
        <v>147</v>
      </c>
      <c r="C1806">
        <v>1</v>
      </c>
      <c r="D1806">
        <v>0</v>
      </c>
      <c r="E1806">
        <v>5</v>
      </c>
      <c r="F1806">
        <v>5780</v>
      </c>
    </row>
    <row r="1807" spans="1:6" x14ac:dyDescent="0.25">
      <c r="A1807" t="s">
        <v>145</v>
      </c>
      <c r="B1807" t="s">
        <v>147</v>
      </c>
      <c r="C1807">
        <v>1</v>
      </c>
      <c r="D1807">
        <v>0</v>
      </c>
      <c r="E1807">
        <v>6</v>
      </c>
      <c r="F1807">
        <v>138661</v>
      </c>
    </row>
    <row r="1808" spans="1:6" x14ac:dyDescent="0.25">
      <c r="A1808" t="s">
        <v>145</v>
      </c>
      <c r="B1808" t="s">
        <v>147</v>
      </c>
      <c r="C1808">
        <v>1</v>
      </c>
      <c r="D1808">
        <v>1</v>
      </c>
      <c r="E1808">
        <v>1</v>
      </c>
      <c r="F1808">
        <v>1252916</v>
      </c>
    </row>
    <row r="1809" spans="1:6" x14ac:dyDescent="0.25">
      <c r="A1809" t="s">
        <v>145</v>
      </c>
      <c r="B1809" t="s">
        <v>147</v>
      </c>
      <c r="C1809">
        <v>1</v>
      </c>
      <c r="D1809">
        <v>1</v>
      </c>
      <c r="E1809">
        <v>2</v>
      </c>
      <c r="F1809">
        <v>154452</v>
      </c>
    </row>
    <row r="1810" spans="1:6" x14ac:dyDescent="0.25">
      <c r="A1810" t="s">
        <v>145</v>
      </c>
      <c r="B1810" t="s">
        <v>147</v>
      </c>
      <c r="C1810">
        <v>1</v>
      </c>
      <c r="D1810">
        <v>1</v>
      </c>
      <c r="E1810">
        <v>3</v>
      </c>
      <c r="F1810">
        <v>164568</v>
      </c>
    </row>
    <row r="1811" spans="1:6" x14ac:dyDescent="0.25">
      <c r="A1811" t="s">
        <v>145</v>
      </c>
      <c r="B1811" t="s">
        <v>147</v>
      </c>
      <c r="C1811">
        <v>1</v>
      </c>
      <c r="D1811">
        <v>1</v>
      </c>
      <c r="E1811">
        <v>4</v>
      </c>
      <c r="F1811">
        <v>52275</v>
      </c>
    </row>
    <row r="1812" spans="1:6" x14ac:dyDescent="0.25">
      <c r="A1812" t="s">
        <v>145</v>
      </c>
      <c r="B1812" t="s">
        <v>147</v>
      </c>
      <c r="C1812">
        <v>1</v>
      </c>
      <c r="D1812">
        <v>1</v>
      </c>
      <c r="E1812">
        <v>5</v>
      </c>
      <c r="F1812">
        <v>4844</v>
      </c>
    </row>
    <row r="1813" spans="1:6" x14ac:dyDescent="0.25">
      <c r="A1813" t="s">
        <v>145</v>
      </c>
      <c r="B1813" t="s">
        <v>147</v>
      </c>
      <c r="C1813">
        <v>1</v>
      </c>
      <c r="D1813">
        <v>1</v>
      </c>
      <c r="E1813">
        <v>6</v>
      </c>
      <c r="F1813">
        <v>123159</v>
      </c>
    </row>
    <row r="1814" spans="1:6" x14ac:dyDescent="0.25">
      <c r="A1814" t="s">
        <v>145</v>
      </c>
      <c r="B1814" t="s">
        <v>147</v>
      </c>
      <c r="C1814">
        <v>1</v>
      </c>
      <c r="D1814">
        <v>2</v>
      </c>
      <c r="E1814">
        <v>1</v>
      </c>
      <c r="F1814">
        <v>228027</v>
      </c>
    </row>
    <row r="1815" spans="1:6" x14ac:dyDescent="0.25">
      <c r="A1815" t="s">
        <v>145</v>
      </c>
      <c r="B1815" t="s">
        <v>147</v>
      </c>
      <c r="C1815">
        <v>1</v>
      </c>
      <c r="D1815">
        <v>2</v>
      </c>
      <c r="E1815">
        <v>2</v>
      </c>
      <c r="F1815">
        <v>9958</v>
      </c>
    </row>
    <row r="1816" spans="1:6" x14ac:dyDescent="0.25">
      <c r="A1816" t="s">
        <v>145</v>
      </c>
      <c r="B1816" t="s">
        <v>147</v>
      </c>
      <c r="C1816">
        <v>1</v>
      </c>
      <c r="D1816">
        <v>2</v>
      </c>
      <c r="E1816">
        <v>3</v>
      </c>
      <c r="F1816">
        <v>29479</v>
      </c>
    </row>
    <row r="1817" spans="1:6" x14ac:dyDescent="0.25">
      <c r="A1817" t="s">
        <v>145</v>
      </c>
      <c r="B1817" t="s">
        <v>147</v>
      </c>
      <c r="C1817">
        <v>1</v>
      </c>
      <c r="D1817">
        <v>2</v>
      </c>
      <c r="E1817">
        <v>4</v>
      </c>
      <c r="F1817">
        <v>2183</v>
      </c>
    </row>
    <row r="1818" spans="1:6" x14ac:dyDescent="0.25">
      <c r="A1818" t="s">
        <v>145</v>
      </c>
      <c r="B1818" t="s">
        <v>147</v>
      </c>
      <c r="C1818">
        <v>1</v>
      </c>
      <c r="D1818">
        <v>2</v>
      </c>
      <c r="E1818">
        <v>5</v>
      </c>
      <c r="F1818">
        <v>936</v>
      </c>
    </row>
    <row r="1819" spans="1:6" x14ac:dyDescent="0.25">
      <c r="A1819" t="s">
        <v>145</v>
      </c>
      <c r="B1819" t="s">
        <v>147</v>
      </c>
      <c r="C1819">
        <v>1</v>
      </c>
      <c r="D1819">
        <v>2</v>
      </c>
      <c r="E1819">
        <v>6</v>
      </c>
      <c r="F1819">
        <v>15502</v>
      </c>
    </row>
    <row r="1820" spans="1:6" x14ac:dyDescent="0.25">
      <c r="A1820" t="s">
        <v>145</v>
      </c>
      <c r="B1820" t="s">
        <v>147</v>
      </c>
      <c r="C1820">
        <v>2</v>
      </c>
      <c r="D1820">
        <v>0</v>
      </c>
      <c r="E1820">
        <v>1</v>
      </c>
      <c r="F1820">
        <v>1492323</v>
      </c>
    </row>
    <row r="1821" spans="1:6" x14ac:dyDescent="0.25">
      <c r="A1821" t="s">
        <v>145</v>
      </c>
      <c r="B1821" t="s">
        <v>147</v>
      </c>
      <c r="C1821">
        <v>2</v>
      </c>
      <c r="D1821">
        <v>0</v>
      </c>
      <c r="E1821">
        <v>2</v>
      </c>
      <c r="F1821">
        <v>160776</v>
      </c>
    </row>
    <row r="1822" spans="1:6" x14ac:dyDescent="0.25">
      <c r="A1822" t="s">
        <v>145</v>
      </c>
      <c r="B1822" t="s">
        <v>147</v>
      </c>
      <c r="C1822">
        <v>2</v>
      </c>
      <c r="D1822">
        <v>0</v>
      </c>
      <c r="E1822">
        <v>3</v>
      </c>
      <c r="F1822">
        <v>197156</v>
      </c>
    </row>
    <row r="1823" spans="1:6" x14ac:dyDescent="0.25">
      <c r="A1823" t="s">
        <v>145</v>
      </c>
      <c r="B1823" t="s">
        <v>147</v>
      </c>
      <c r="C1823">
        <v>2</v>
      </c>
      <c r="D1823">
        <v>0</v>
      </c>
      <c r="E1823">
        <v>4</v>
      </c>
      <c r="F1823">
        <v>59011</v>
      </c>
    </row>
    <row r="1824" spans="1:6" x14ac:dyDescent="0.25">
      <c r="A1824" t="s">
        <v>145</v>
      </c>
      <c r="B1824" t="s">
        <v>147</v>
      </c>
      <c r="C1824">
        <v>2</v>
      </c>
      <c r="D1824">
        <v>0</v>
      </c>
      <c r="E1824">
        <v>5</v>
      </c>
      <c r="F1824">
        <v>5282</v>
      </c>
    </row>
    <row r="1825" spans="1:6" x14ac:dyDescent="0.25">
      <c r="A1825" t="s">
        <v>145</v>
      </c>
      <c r="B1825" t="s">
        <v>147</v>
      </c>
      <c r="C1825">
        <v>2</v>
      </c>
      <c r="D1825">
        <v>0</v>
      </c>
      <c r="E1825">
        <v>6</v>
      </c>
      <c r="F1825">
        <v>142546</v>
      </c>
    </row>
    <row r="1826" spans="1:6" x14ac:dyDescent="0.25">
      <c r="A1826" t="s">
        <v>145</v>
      </c>
      <c r="B1826" t="s">
        <v>147</v>
      </c>
      <c r="C1826">
        <v>2</v>
      </c>
      <c r="D1826">
        <v>1</v>
      </c>
      <c r="E1826">
        <v>1</v>
      </c>
      <c r="F1826">
        <v>1283198</v>
      </c>
    </row>
    <row r="1827" spans="1:6" x14ac:dyDescent="0.25">
      <c r="A1827" t="s">
        <v>145</v>
      </c>
      <c r="B1827" t="s">
        <v>147</v>
      </c>
      <c r="C1827">
        <v>2</v>
      </c>
      <c r="D1827">
        <v>1</v>
      </c>
      <c r="E1827">
        <v>2</v>
      </c>
      <c r="F1827">
        <v>151306</v>
      </c>
    </row>
    <row r="1828" spans="1:6" x14ac:dyDescent="0.25">
      <c r="A1828" t="s">
        <v>145</v>
      </c>
      <c r="B1828" t="s">
        <v>147</v>
      </c>
      <c r="C1828">
        <v>2</v>
      </c>
      <c r="D1828">
        <v>1</v>
      </c>
      <c r="E1828">
        <v>3</v>
      </c>
      <c r="F1828">
        <v>169106</v>
      </c>
    </row>
    <row r="1829" spans="1:6" x14ac:dyDescent="0.25">
      <c r="A1829" t="s">
        <v>145</v>
      </c>
      <c r="B1829" t="s">
        <v>147</v>
      </c>
      <c r="C1829">
        <v>2</v>
      </c>
      <c r="D1829">
        <v>1</v>
      </c>
      <c r="E1829">
        <v>4</v>
      </c>
      <c r="F1829">
        <v>56953</v>
      </c>
    </row>
    <row r="1830" spans="1:6" x14ac:dyDescent="0.25">
      <c r="A1830" t="s">
        <v>145</v>
      </c>
      <c r="B1830" t="s">
        <v>147</v>
      </c>
      <c r="C1830">
        <v>2</v>
      </c>
      <c r="D1830">
        <v>1</v>
      </c>
      <c r="E1830">
        <v>5</v>
      </c>
      <c r="F1830">
        <v>4293</v>
      </c>
    </row>
    <row r="1831" spans="1:6" x14ac:dyDescent="0.25">
      <c r="A1831" t="s">
        <v>145</v>
      </c>
      <c r="B1831" t="s">
        <v>147</v>
      </c>
      <c r="C1831">
        <v>2</v>
      </c>
      <c r="D1831">
        <v>1</v>
      </c>
      <c r="E1831">
        <v>6</v>
      </c>
      <c r="F1831">
        <v>127099</v>
      </c>
    </row>
    <row r="1832" spans="1:6" x14ac:dyDescent="0.25">
      <c r="A1832" t="s">
        <v>145</v>
      </c>
      <c r="B1832" t="s">
        <v>147</v>
      </c>
      <c r="C1832">
        <v>2</v>
      </c>
      <c r="D1832">
        <v>2</v>
      </c>
      <c r="E1832">
        <v>1</v>
      </c>
      <c r="F1832">
        <v>209125</v>
      </c>
    </row>
    <row r="1833" spans="1:6" x14ac:dyDescent="0.25">
      <c r="A1833" t="s">
        <v>145</v>
      </c>
      <c r="B1833" t="s">
        <v>147</v>
      </c>
      <c r="C1833">
        <v>2</v>
      </c>
      <c r="D1833">
        <v>2</v>
      </c>
      <c r="E1833">
        <v>2</v>
      </c>
      <c r="F1833">
        <v>9470</v>
      </c>
    </row>
    <row r="1834" spans="1:6" x14ac:dyDescent="0.25">
      <c r="A1834" t="s">
        <v>145</v>
      </c>
      <c r="B1834" t="s">
        <v>147</v>
      </c>
      <c r="C1834">
        <v>2</v>
      </c>
      <c r="D1834">
        <v>2</v>
      </c>
      <c r="E1834">
        <v>3</v>
      </c>
      <c r="F1834">
        <v>28050</v>
      </c>
    </row>
    <row r="1835" spans="1:6" x14ac:dyDescent="0.25">
      <c r="A1835" t="s">
        <v>145</v>
      </c>
      <c r="B1835" t="s">
        <v>147</v>
      </c>
      <c r="C1835">
        <v>2</v>
      </c>
      <c r="D1835">
        <v>2</v>
      </c>
      <c r="E1835">
        <v>4</v>
      </c>
      <c r="F1835">
        <v>2058</v>
      </c>
    </row>
    <row r="1836" spans="1:6" x14ac:dyDescent="0.25">
      <c r="A1836" t="s">
        <v>145</v>
      </c>
      <c r="B1836" t="s">
        <v>147</v>
      </c>
      <c r="C1836">
        <v>2</v>
      </c>
      <c r="D1836">
        <v>2</v>
      </c>
      <c r="E1836">
        <v>5</v>
      </c>
      <c r="F1836">
        <v>989</v>
      </c>
    </row>
    <row r="1837" spans="1:6" x14ac:dyDescent="0.25">
      <c r="A1837" t="s">
        <v>145</v>
      </c>
      <c r="B1837" t="s">
        <v>147</v>
      </c>
      <c r="C1837">
        <v>2</v>
      </c>
      <c r="D1837">
        <v>2</v>
      </c>
      <c r="E1837">
        <v>6</v>
      </c>
      <c r="F1837">
        <v>15447</v>
      </c>
    </row>
    <row r="1838" spans="1:6" x14ac:dyDescent="0.25">
      <c r="A1838" t="s">
        <v>148</v>
      </c>
      <c r="B1838" t="s">
        <v>150</v>
      </c>
      <c r="C1838">
        <v>0</v>
      </c>
      <c r="D1838">
        <v>0</v>
      </c>
      <c r="E1838">
        <v>1</v>
      </c>
      <c r="F1838">
        <v>3628147</v>
      </c>
    </row>
    <row r="1839" spans="1:6" x14ac:dyDescent="0.25">
      <c r="A1839" t="s">
        <v>148</v>
      </c>
      <c r="B1839" t="s">
        <v>150</v>
      </c>
      <c r="C1839">
        <v>0</v>
      </c>
      <c r="D1839">
        <v>0</v>
      </c>
      <c r="E1839">
        <v>2</v>
      </c>
      <c r="F1839">
        <v>107235</v>
      </c>
    </row>
    <row r="1840" spans="1:6" x14ac:dyDescent="0.25">
      <c r="A1840" t="s">
        <v>148</v>
      </c>
      <c r="B1840" t="s">
        <v>150</v>
      </c>
      <c r="C1840">
        <v>0</v>
      </c>
      <c r="D1840">
        <v>0</v>
      </c>
      <c r="E1840">
        <v>3</v>
      </c>
      <c r="F1840">
        <v>88430</v>
      </c>
    </row>
    <row r="1841" spans="1:6" x14ac:dyDescent="0.25">
      <c r="A1841" t="s">
        <v>148</v>
      </c>
      <c r="B1841" t="s">
        <v>150</v>
      </c>
      <c r="C1841">
        <v>0</v>
      </c>
      <c r="D1841">
        <v>0</v>
      </c>
      <c r="E1841">
        <v>4</v>
      </c>
      <c r="F1841">
        <v>235422</v>
      </c>
    </row>
    <row r="1842" spans="1:6" x14ac:dyDescent="0.25">
      <c r="A1842" t="s">
        <v>148</v>
      </c>
      <c r="B1842" t="s">
        <v>150</v>
      </c>
      <c r="C1842">
        <v>0</v>
      </c>
      <c r="D1842">
        <v>0</v>
      </c>
      <c r="E1842">
        <v>5</v>
      </c>
      <c r="F1842">
        <v>22152</v>
      </c>
    </row>
    <row r="1843" spans="1:6" x14ac:dyDescent="0.25">
      <c r="A1843" t="s">
        <v>148</v>
      </c>
      <c r="B1843" t="s">
        <v>150</v>
      </c>
      <c r="C1843">
        <v>0</v>
      </c>
      <c r="D1843">
        <v>0</v>
      </c>
      <c r="E1843">
        <v>6</v>
      </c>
      <c r="F1843">
        <v>190985</v>
      </c>
    </row>
    <row r="1844" spans="1:6" x14ac:dyDescent="0.25">
      <c r="A1844" t="s">
        <v>148</v>
      </c>
      <c r="B1844" t="s">
        <v>150</v>
      </c>
      <c r="C1844">
        <v>0</v>
      </c>
      <c r="D1844">
        <v>1</v>
      </c>
      <c r="E1844">
        <v>1</v>
      </c>
      <c r="F1844">
        <v>3068632</v>
      </c>
    </row>
    <row r="1845" spans="1:6" x14ac:dyDescent="0.25">
      <c r="A1845" t="s">
        <v>148</v>
      </c>
      <c r="B1845" t="s">
        <v>150</v>
      </c>
      <c r="C1845">
        <v>0</v>
      </c>
      <c r="D1845">
        <v>1</v>
      </c>
      <c r="E1845">
        <v>2</v>
      </c>
      <c r="F1845">
        <v>92130</v>
      </c>
    </row>
    <row r="1846" spans="1:6" x14ac:dyDescent="0.25">
      <c r="A1846" t="s">
        <v>148</v>
      </c>
      <c r="B1846" t="s">
        <v>150</v>
      </c>
      <c r="C1846">
        <v>0</v>
      </c>
      <c r="D1846">
        <v>1</v>
      </c>
      <c r="E1846">
        <v>3</v>
      </c>
      <c r="F1846">
        <v>45639</v>
      </c>
    </row>
    <row r="1847" spans="1:6" x14ac:dyDescent="0.25">
      <c r="A1847" t="s">
        <v>148</v>
      </c>
      <c r="B1847" t="s">
        <v>150</v>
      </c>
      <c r="C1847">
        <v>0</v>
      </c>
      <c r="D1847">
        <v>1</v>
      </c>
      <c r="E1847">
        <v>4</v>
      </c>
      <c r="F1847">
        <v>226143</v>
      </c>
    </row>
    <row r="1848" spans="1:6" x14ac:dyDescent="0.25">
      <c r="A1848" t="s">
        <v>148</v>
      </c>
      <c r="B1848" t="s">
        <v>150</v>
      </c>
      <c r="C1848">
        <v>0</v>
      </c>
      <c r="D1848">
        <v>1</v>
      </c>
      <c r="E1848">
        <v>5</v>
      </c>
      <c r="F1848">
        <v>19359</v>
      </c>
    </row>
    <row r="1849" spans="1:6" x14ac:dyDescent="0.25">
      <c r="A1849" t="s">
        <v>148</v>
      </c>
      <c r="B1849" t="s">
        <v>150</v>
      </c>
      <c r="C1849">
        <v>0</v>
      </c>
      <c r="D1849">
        <v>1</v>
      </c>
      <c r="E1849">
        <v>6</v>
      </c>
      <c r="F1849">
        <v>157729</v>
      </c>
    </row>
    <row r="1850" spans="1:6" x14ac:dyDescent="0.25">
      <c r="A1850" t="s">
        <v>148</v>
      </c>
      <c r="B1850" t="s">
        <v>150</v>
      </c>
      <c r="C1850">
        <v>0</v>
      </c>
      <c r="D1850">
        <v>2</v>
      </c>
      <c r="E1850">
        <v>1</v>
      </c>
      <c r="F1850">
        <v>559515</v>
      </c>
    </row>
    <row r="1851" spans="1:6" x14ac:dyDescent="0.25">
      <c r="A1851" t="s">
        <v>148</v>
      </c>
      <c r="B1851" t="s">
        <v>150</v>
      </c>
      <c r="C1851">
        <v>0</v>
      </c>
      <c r="D1851">
        <v>2</v>
      </c>
      <c r="E1851">
        <v>2</v>
      </c>
      <c r="F1851">
        <v>15105</v>
      </c>
    </row>
    <row r="1852" spans="1:6" x14ac:dyDescent="0.25">
      <c r="A1852" t="s">
        <v>148</v>
      </c>
      <c r="B1852" t="s">
        <v>150</v>
      </c>
      <c r="C1852">
        <v>0</v>
      </c>
      <c r="D1852">
        <v>2</v>
      </c>
      <c r="E1852">
        <v>3</v>
      </c>
      <c r="F1852">
        <v>42791</v>
      </c>
    </row>
    <row r="1853" spans="1:6" x14ac:dyDescent="0.25">
      <c r="A1853" t="s">
        <v>148</v>
      </c>
      <c r="B1853" t="s">
        <v>150</v>
      </c>
      <c r="C1853">
        <v>0</v>
      </c>
      <c r="D1853">
        <v>2</v>
      </c>
      <c r="E1853">
        <v>4</v>
      </c>
      <c r="F1853">
        <v>9279</v>
      </c>
    </row>
    <row r="1854" spans="1:6" x14ac:dyDescent="0.25">
      <c r="A1854" t="s">
        <v>148</v>
      </c>
      <c r="B1854" t="s">
        <v>150</v>
      </c>
      <c r="C1854">
        <v>0</v>
      </c>
      <c r="D1854">
        <v>2</v>
      </c>
      <c r="E1854">
        <v>5</v>
      </c>
      <c r="F1854">
        <v>2793</v>
      </c>
    </row>
    <row r="1855" spans="1:6" x14ac:dyDescent="0.25">
      <c r="A1855" t="s">
        <v>148</v>
      </c>
      <c r="B1855" t="s">
        <v>150</v>
      </c>
      <c r="C1855">
        <v>0</v>
      </c>
      <c r="D1855">
        <v>2</v>
      </c>
      <c r="E1855">
        <v>6</v>
      </c>
      <c r="F1855">
        <v>33256</v>
      </c>
    </row>
    <row r="1856" spans="1:6" x14ac:dyDescent="0.25">
      <c r="A1856" t="s">
        <v>148</v>
      </c>
      <c r="B1856" t="s">
        <v>150</v>
      </c>
      <c r="C1856">
        <v>1</v>
      </c>
      <c r="D1856">
        <v>0</v>
      </c>
      <c r="E1856">
        <v>1</v>
      </c>
      <c r="F1856">
        <v>1806606</v>
      </c>
    </row>
    <row r="1857" spans="1:6" x14ac:dyDescent="0.25">
      <c r="A1857" t="s">
        <v>148</v>
      </c>
      <c r="B1857" t="s">
        <v>150</v>
      </c>
      <c r="C1857">
        <v>1</v>
      </c>
      <c r="D1857">
        <v>0</v>
      </c>
      <c r="E1857">
        <v>2</v>
      </c>
      <c r="F1857">
        <v>58260</v>
      </c>
    </row>
    <row r="1858" spans="1:6" x14ac:dyDescent="0.25">
      <c r="A1858" t="s">
        <v>148</v>
      </c>
      <c r="B1858" t="s">
        <v>150</v>
      </c>
      <c r="C1858">
        <v>1</v>
      </c>
      <c r="D1858">
        <v>0</v>
      </c>
      <c r="E1858">
        <v>3</v>
      </c>
      <c r="F1858">
        <v>44978</v>
      </c>
    </row>
    <row r="1859" spans="1:6" x14ac:dyDescent="0.25">
      <c r="A1859" t="s">
        <v>148</v>
      </c>
      <c r="B1859" t="s">
        <v>150</v>
      </c>
      <c r="C1859">
        <v>1</v>
      </c>
      <c r="D1859">
        <v>0</v>
      </c>
      <c r="E1859">
        <v>4</v>
      </c>
      <c r="F1859">
        <v>110619</v>
      </c>
    </row>
    <row r="1860" spans="1:6" x14ac:dyDescent="0.25">
      <c r="A1860" t="s">
        <v>148</v>
      </c>
      <c r="B1860" t="s">
        <v>150</v>
      </c>
      <c r="C1860">
        <v>1</v>
      </c>
      <c r="D1860">
        <v>0</v>
      </c>
      <c r="E1860">
        <v>5</v>
      </c>
      <c r="F1860">
        <v>11105</v>
      </c>
    </row>
    <row r="1861" spans="1:6" x14ac:dyDescent="0.25">
      <c r="A1861" t="s">
        <v>148</v>
      </c>
      <c r="B1861" t="s">
        <v>150</v>
      </c>
      <c r="C1861">
        <v>1</v>
      </c>
      <c r="D1861">
        <v>0</v>
      </c>
      <c r="E1861">
        <v>6</v>
      </c>
      <c r="F1861">
        <v>95241</v>
      </c>
    </row>
    <row r="1862" spans="1:6" x14ac:dyDescent="0.25">
      <c r="A1862" t="s">
        <v>148</v>
      </c>
      <c r="B1862" t="s">
        <v>150</v>
      </c>
      <c r="C1862">
        <v>1</v>
      </c>
      <c r="D1862">
        <v>1</v>
      </c>
      <c r="E1862">
        <v>1</v>
      </c>
      <c r="F1862">
        <v>1517057</v>
      </c>
    </row>
    <row r="1863" spans="1:6" x14ac:dyDescent="0.25">
      <c r="A1863" t="s">
        <v>148</v>
      </c>
      <c r="B1863" t="s">
        <v>150</v>
      </c>
      <c r="C1863">
        <v>1</v>
      </c>
      <c r="D1863">
        <v>1</v>
      </c>
      <c r="E1863">
        <v>2</v>
      </c>
      <c r="F1863">
        <v>50314</v>
      </c>
    </row>
    <row r="1864" spans="1:6" x14ac:dyDescent="0.25">
      <c r="A1864" t="s">
        <v>148</v>
      </c>
      <c r="B1864" t="s">
        <v>150</v>
      </c>
      <c r="C1864">
        <v>1</v>
      </c>
      <c r="D1864">
        <v>1</v>
      </c>
      <c r="E1864">
        <v>3</v>
      </c>
      <c r="F1864">
        <v>22749</v>
      </c>
    </row>
    <row r="1865" spans="1:6" x14ac:dyDescent="0.25">
      <c r="A1865" t="s">
        <v>148</v>
      </c>
      <c r="B1865" t="s">
        <v>150</v>
      </c>
      <c r="C1865">
        <v>1</v>
      </c>
      <c r="D1865">
        <v>1</v>
      </c>
      <c r="E1865">
        <v>4</v>
      </c>
      <c r="F1865">
        <v>106262</v>
      </c>
    </row>
    <row r="1866" spans="1:6" x14ac:dyDescent="0.25">
      <c r="A1866" t="s">
        <v>148</v>
      </c>
      <c r="B1866" t="s">
        <v>150</v>
      </c>
      <c r="C1866">
        <v>1</v>
      </c>
      <c r="D1866">
        <v>1</v>
      </c>
      <c r="E1866">
        <v>5</v>
      </c>
      <c r="F1866">
        <v>9614</v>
      </c>
    </row>
    <row r="1867" spans="1:6" x14ac:dyDescent="0.25">
      <c r="A1867" t="s">
        <v>148</v>
      </c>
      <c r="B1867" t="s">
        <v>150</v>
      </c>
      <c r="C1867">
        <v>1</v>
      </c>
      <c r="D1867">
        <v>1</v>
      </c>
      <c r="E1867">
        <v>6</v>
      </c>
      <c r="F1867">
        <v>78355</v>
      </c>
    </row>
    <row r="1868" spans="1:6" x14ac:dyDescent="0.25">
      <c r="A1868" t="s">
        <v>148</v>
      </c>
      <c r="B1868" t="s">
        <v>150</v>
      </c>
      <c r="C1868">
        <v>1</v>
      </c>
      <c r="D1868">
        <v>2</v>
      </c>
      <c r="E1868">
        <v>1</v>
      </c>
      <c r="F1868">
        <v>289549</v>
      </c>
    </row>
    <row r="1869" spans="1:6" x14ac:dyDescent="0.25">
      <c r="A1869" t="s">
        <v>148</v>
      </c>
      <c r="B1869" t="s">
        <v>150</v>
      </c>
      <c r="C1869">
        <v>1</v>
      </c>
      <c r="D1869">
        <v>2</v>
      </c>
      <c r="E1869">
        <v>2</v>
      </c>
      <c r="F1869">
        <v>7946</v>
      </c>
    </row>
    <row r="1870" spans="1:6" x14ac:dyDescent="0.25">
      <c r="A1870" t="s">
        <v>148</v>
      </c>
      <c r="B1870" t="s">
        <v>150</v>
      </c>
      <c r="C1870">
        <v>1</v>
      </c>
      <c r="D1870">
        <v>2</v>
      </c>
      <c r="E1870">
        <v>3</v>
      </c>
      <c r="F1870">
        <v>22229</v>
      </c>
    </row>
    <row r="1871" spans="1:6" x14ac:dyDescent="0.25">
      <c r="A1871" t="s">
        <v>148</v>
      </c>
      <c r="B1871" t="s">
        <v>150</v>
      </c>
      <c r="C1871">
        <v>1</v>
      </c>
      <c r="D1871">
        <v>2</v>
      </c>
      <c r="E1871">
        <v>4</v>
      </c>
      <c r="F1871">
        <v>4357</v>
      </c>
    </row>
    <row r="1872" spans="1:6" x14ac:dyDescent="0.25">
      <c r="A1872" t="s">
        <v>148</v>
      </c>
      <c r="B1872" t="s">
        <v>150</v>
      </c>
      <c r="C1872">
        <v>1</v>
      </c>
      <c r="D1872">
        <v>2</v>
      </c>
      <c r="E1872">
        <v>5</v>
      </c>
      <c r="F1872">
        <v>1491</v>
      </c>
    </row>
    <row r="1873" spans="1:6" x14ac:dyDescent="0.25">
      <c r="A1873" t="s">
        <v>148</v>
      </c>
      <c r="B1873" t="s">
        <v>150</v>
      </c>
      <c r="C1873">
        <v>1</v>
      </c>
      <c r="D1873">
        <v>2</v>
      </c>
      <c r="E1873">
        <v>6</v>
      </c>
      <c r="F1873">
        <v>16886</v>
      </c>
    </row>
    <row r="1874" spans="1:6" x14ac:dyDescent="0.25">
      <c r="A1874" t="s">
        <v>148</v>
      </c>
      <c r="B1874" t="s">
        <v>150</v>
      </c>
      <c r="C1874">
        <v>2</v>
      </c>
      <c r="D1874">
        <v>0</v>
      </c>
      <c r="E1874">
        <v>1</v>
      </c>
      <c r="F1874">
        <v>1821541</v>
      </c>
    </row>
    <row r="1875" spans="1:6" x14ac:dyDescent="0.25">
      <c r="A1875" t="s">
        <v>148</v>
      </c>
      <c r="B1875" t="s">
        <v>150</v>
      </c>
      <c r="C1875">
        <v>2</v>
      </c>
      <c r="D1875">
        <v>0</v>
      </c>
      <c r="E1875">
        <v>2</v>
      </c>
      <c r="F1875">
        <v>48975</v>
      </c>
    </row>
    <row r="1876" spans="1:6" x14ac:dyDescent="0.25">
      <c r="A1876" t="s">
        <v>148</v>
      </c>
      <c r="B1876" t="s">
        <v>150</v>
      </c>
      <c r="C1876">
        <v>2</v>
      </c>
      <c r="D1876">
        <v>0</v>
      </c>
      <c r="E1876">
        <v>3</v>
      </c>
      <c r="F1876">
        <v>43452</v>
      </c>
    </row>
    <row r="1877" spans="1:6" x14ac:dyDescent="0.25">
      <c r="A1877" t="s">
        <v>148</v>
      </c>
      <c r="B1877" t="s">
        <v>150</v>
      </c>
      <c r="C1877">
        <v>2</v>
      </c>
      <c r="D1877">
        <v>0</v>
      </c>
      <c r="E1877">
        <v>4</v>
      </c>
      <c r="F1877">
        <v>124803</v>
      </c>
    </row>
    <row r="1878" spans="1:6" x14ac:dyDescent="0.25">
      <c r="A1878" t="s">
        <v>148</v>
      </c>
      <c r="B1878" t="s">
        <v>150</v>
      </c>
      <c r="C1878">
        <v>2</v>
      </c>
      <c r="D1878">
        <v>0</v>
      </c>
      <c r="E1878">
        <v>5</v>
      </c>
      <c r="F1878">
        <v>11047</v>
      </c>
    </row>
    <row r="1879" spans="1:6" x14ac:dyDescent="0.25">
      <c r="A1879" t="s">
        <v>148</v>
      </c>
      <c r="B1879" t="s">
        <v>150</v>
      </c>
      <c r="C1879">
        <v>2</v>
      </c>
      <c r="D1879">
        <v>0</v>
      </c>
      <c r="E1879">
        <v>6</v>
      </c>
      <c r="F1879">
        <v>95744</v>
      </c>
    </row>
    <row r="1880" spans="1:6" x14ac:dyDescent="0.25">
      <c r="A1880" t="s">
        <v>148</v>
      </c>
      <c r="B1880" t="s">
        <v>150</v>
      </c>
      <c r="C1880">
        <v>2</v>
      </c>
      <c r="D1880">
        <v>1</v>
      </c>
      <c r="E1880">
        <v>1</v>
      </c>
      <c r="F1880">
        <v>1551575</v>
      </c>
    </row>
    <row r="1881" spans="1:6" x14ac:dyDescent="0.25">
      <c r="A1881" t="s">
        <v>148</v>
      </c>
      <c r="B1881" t="s">
        <v>150</v>
      </c>
      <c r="C1881">
        <v>2</v>
      </c>
      <c r="D1881">
        <v>1</v>
      </c>
      <c r="E1881">
        <v>2</v>
      </c>
      <c r="F1881">
        <v>41816</v>
      </c>
    </row>
    <row r="1882" spans="1:6" x14ac:dyDescent="0.25">
      <c r="A1882" t="s">
        <v>148</v>
      </c>
      <c r="B1882" t="s">
        <v>150</v>
      </c>
      <c r="C1882">
        <v>2</v>
      </c>
      <c r="D1882">
        <v>1</v>
      </c>
      <c r="E1882">
        <v>3</v>
      </c>
      <c r="F1882">
        <v>22890</v>
      </c>
    </row>
    <row r="1883" spans="1:6" x14ac:dyDescent="0.25">
      <c r="A1883" t="s">
        <v>148</v>
      </c>
      <c r="B1883" t="s">
        <v>150</v>
      </c>
      <c r="C1883">
        <v>2</v>
      </c>
      <c r="D1883">
        <v>1</v>
      </c>
      <c r="E1883">
        <v>4</v>
      </c>
      <c r="F1883">
        <v>119881</v>
      </c>
    </row>
    <row r="1884" spans="1:6" x14ac:dyDescent="0.25">
      <c r="A1884" t="s">
        <v>148</v>
      </c>
      <c r="B1884" t="s">
        <v>150</v>
      </c>
      <c r="C1884">
        <v>2</v>
      </c>
      <c r="D1884">
        <v>1</v>
      </c>
      <c r="E1884">
        <v>5</v>
      </c>
      <c r="F1884">
        <v>9745</v>
      </c>
    </row>
    <row r="1885" spans="1:6" x14ac:dyDescent="0.25">
      <c r="A1885" t="s">
        <v>148</v>
      </c>
      <c r="B1885" t="s">
        <v>150</v>
      </c>
      <c r="C1885">
        <v>2</v>
      </c>
      <c r="D1885">
        <v>1</v>
      </c>
      <c r="E1885">
        <v>6</v>
      </c>
      <c r="F1885">
        <v>79374</v>
      </c>
    </row>
    <row r="1886" spans="1:6" x14ac:dyDescent="0.25">
      <c r="A1886" t="s">
        <v>148</v>
      </c>
      <c r="B1886" t="s">
        <v>150</v>
      </c>
      <c r="C1886">
        <v>2</v>
      </c>
      <c r="D1886">
        <v>2</v>
      </c>
      <c r="E1886">
        <v>1</v>
      </c>
      <c r="F1886">
        <v>269966</v>
      </c>
    </row>
    <row r="1887" spans="1:6" x14ac:dyDescent="0.25">
      <c r="A1887" t="s">
        <v>148</v>
      </c>
      <c r="B1887" t="s">
        <v>150</v>
      </c>
      <c r="C1887">
        <v>2</v>
      </c>
      <c r="D1887">
        <v>2</v>
      </c>
      <c r="E1887">
        <v>2</v>
      </c>
      <c r="F1887">
        <v>7159</v>
      </c>
    </row>
    <row r="1888" spans="1:6" x14ac:dyDescent="0.25">
      <c r="A1888" t="s">
        <v>148</v>
      </c>
      <c r="B1888" t="s">
        <v>150</v>
      </c>
      <c r="C1888">
        <v>2</v>
      </c>
      <c r="D1888">
        <v>2</v>
      </c>
      <c r="E1888">
        <v>3</v>
      </c>
      <c r="F1888">
        <v>20562</v>
      </c>
    </row>
    <row r="1889" spans="1:6" x14ac:dyDescent="0.25">
      <c r="A1889" t="s">
        <v>148</v>
      </c>
      <c r="B1889" t="s">
        <v>150</v>
      </c>
      <c r="C1889">
        <v>2</v>
      </c>
      <c r="D1889">
        <v>2</v>
      </c>
      <c r="E1889">
        <v>4</v>
      </c>
      <c r="F1889">
        <v>4922</v>
      </c>
    </row>
    <row r="1890" spans="1:6" x14ac:dyDescent="0.25">
      <c r="A1890" t="s">
        <v>148</v>
      </c>
      <c r="B1890" t="s">
        <v>150</v>
      </c>
      <c r="C1890">
        <v>2</v>
      </c>
      <c r="D1890">
        <v>2</v>
      </c>
      <c r="E1890">
        <v>5</v>
      </c>
      <c r="F1890">
        <v>1302</v>
      </c>
    </row>
    <row r="1891" spans="1:6" x14ac:dyDescent="0.25">
      <c r="A1891" t="s">
        <v>148</v>
      </c>
      <c r="B1891" t="s">
        <v>150</v>
      </c>
      <c r="C1891">
        <v>2</v>
      </c>
      <c r="D1891">
        <v>2</v>
      </c>
      <c r="E1891">
        <v>6</v>
      </c>
      <c r="F1891">
        <v>16370</v>
      </c>
    </row>
    <row r="1892" spans="1:6" x14ac:dyDescent="0.25">
      <c r="A1892" t="s">
        <v>151</v>
      </c>
      <c r="B1892" t="s">
        <v>153</v>
      </c>
      <c r="C1892">
        <v>0</v>
      </c>
      <c r="D1892">
        <v>0</v>
      </c>
      <c r="E1892">
        <v>1</v>
      </c>
      <c r="F1892">
        <v>10460297</v>
      </c>
    </row>
    <row r="1893" spans="1:6" x14ac:dyDescent="0.25">
      <c r="A1893" t="s">
        <v>151</v>
      </c>
      <c r="B1893" t="s">
        <v>153</v>
      </c>
      <c r="C1893">
        <v>0</v>
      </c>
      <c r="D1893">
        <v>0</v>
      </c>
      <c r="E1893">
        <v>2</v>
      </c>
      <c r="F1893">
        <v>1619718</v>
      </c>
    </row>
    <row r="1894" spans="1:6" x14ac:dyDescent="0.25">
      <c r="A1894" t="s">
        <v>151</v>
      </c>
      <c r="B1894" t="s">
        <v>153</v>
      </c>
      <c r="C1894">
        <v>0</v>
      </c>
      <c r="D1894">
        <v>0</v>
      </c>
      <c r="E1894">
        <v>3</v>
      </c>
      <c r="F1894">
        <v>69611</v>
      </c>
    </row>
    <row r="1895" spans="1:6" x14ac:dyDescent="0.25">
      <c r="A1895" t="s">
        <v>151</v>
      </c>
      <c r="B1895" t="s">
        <v>153</v>
      </c>
      <c r="C1895">
        <v>0</v>
      </c>
      <c r="D1895">
        <v>0</v>
      </c>
      <c r="E1895">
        <v>4</v>
      </c>
      <c r="F1895">
        <v>584828</v>
      </c>
    </row>
    <row r="1896" spans="1:6" x14ac:dyDescent="0.25">
      <c r="A1896" t="s">
        <v>151</v>
      </c>
      <c r="B1896" t="s">
        <v>153</v>
      </c>
      <c r="C1896">
        <v>0</v>
      </c>
      <c r="D1896">
        <v>0</v>
      </c>
      <c r="E1896">
        <v>5</v>
      </c>
      <c r="F1896">
        <v>13607</v>
      </c>
    </row>
    <row r="1897" spans="1:6" x14ac:dyDescent="0.25">
      <c r="A1897" t="s">
        <v>151</v>
      </c>
      <c r="B1897" t="s">
        <v>153</v>
      </c>
      <c r="C1897">
        <v>0</v>
      </c>
      <c r="D1897">
        <v>0</v>
      </c>
      <c r="E1897">
        <v>6</v>
      </c>
      <c r="F1897">
        <v>330690</v>
      </c>
    </row>
    <row r="1898" spans="1:6" x14ac:dyDescent="0.25">
      <c r="A1898" t="s">
        <v>151</v>
      </c>
      <c r="B1898" t="s">
        <v>153</v>
      </c>
      <c r="C1898">
        <v>0</v>
      </c>
      <c r="D1898">
        <v>1</v>
      </c>
      <c r="E1898">
        <v>1</v>
      </c>
      <c r="F1898">
        <v>9570573</v>
      </c>
    </row>
    <row r="1899" spans="1:6" x14ac:dyDescent="0.25">
      <c r="A1899" t="s">
        <v>151</v>
      </c>
      <c r="B1899" t="s">
        <v>153</v>
      </c>
      <c r="C1899">
        <v>0</v>
      </c>
      <c r="D1899">
        <v>1</v>
      </c>
      <c r="E1899">
        <v>2</v>
      </c>
      <c r="F1899">
        <v>1418582</v>
      </c>
    </row>
    <row r="1900" spans="1:6" x14ac:dyDescent="0.25">
      <c r="A1900" t="s">
        <v>151</v>
      </c>
      <c r="B1900" t="s">
        <v>153</v>
      </c>
      <c r="C1900">
        <v>0</v>
      </c>
      <c r="D1900">
        <v>1</v>
      </c>
      <c r="E1900">
        <v>3</v>
      </c>
      <c r="F1900">
        <v>19113</v>
      </c>
    </row>
    <row r="1901" spans="1:6" x14ac:dyDescent="0.25">
      <c r="A1901" t="s">
        <v>151</v>
      </c>
      <c r="B1901" t="s">
        <v>153</v>
      </c>
      <c r="C1901">
        <v>0</v>
      </c>
      <c r="D1901">
        <v>1</v>
      </c>
      <c r="E1901">
        <v>4</v>
      </c>
      <c r="F1901">
        <v>570919</v>
      </c>
    </row>
    <row r="1902" spans="1:6" x14ac:dyDescent="0.25">
      <c r="A1902" t="s">
        <v>151</v>
      </c>
      <c r="B1902" t="s">
        <v>153</v>
      </c>
      <c r="C1902">
        <v>0</v>
      </c>
      <c r="D1902">
        <v>1</v>
      </c>
      <c r="E1902">
        <v>5</v>
      </c>
      <c r="F1902">
        <v>4368</v>
      </c>
    </row>
    <row r="1903" spans="1:6" x14ac:dyDescent="0.25">
      <c r="A1903" t="s">
        <v>151</v>
      </c>
      <c r="B1903" t="s">
        <v>153</v>
      </c>
      <c r="C1903">
        <v>0</v>
      </c>
      <c r="D1903">
        <v>1</v>
      </c>
      <c r="E1903">
        <v>6</v>
      </c>
      <c r="F1903">
        <v>260615</v>
      </c>
    </row>
    <row r="1904" spans="1:6" x14ac:dyDescent="0.25">
      <c r="A1904" t="s">
        <v>151</v>
      </c>
      <c r="B1904" t="s">
        <v>153</v>
      </c>
      <c r="C1904">
        <v>0</v>
      </c>
      <c r="D1904">
        <v>2</v>
      </c>
      <c r="E1904">
        <v>1</v>
      </c>
      <c r="F1904">
        <v>889724</v>
      </c>
    </row>
    <row r="1905" spans="1:6" x14ac:dyDescent="0.25">
      <c r="A1905" t="s">
        <v>151</v>
      </c>
      <c r="B1905" t="s">
        <v>153</v>
      </c>
      <c r="C1905">
        <v>0</v>
      </c>
      <c r="D1905">
        <v>2</v>
      </c>
      <c r="E1905">
        <v>2</v>
      </c>
      <c r="F1905">
        <v>201136</v>
      </c>
    </row>
    <row r="1906" spans="1:6" x14ac:dyDescent="0.25">
      <c r="A1906" t="s">
        <v>151</v>
      </c>
      <c r="B1906" t="s">
        <v>153</v>
      </c>
      <c r="C1906">
        <v>0</v>
      </c>
      <c r="D1906">
        <v>2</v>
      </c>
      <c r="E1906">
        <v>3</v>
      </c>
      <c r="F1906">
        <v>50498</v>
      </c>
    </row>
    <row r="1907" spans="1:6" x14ac:dyDescent="0.25">
      <c r="A1907" t="s">
        <v>151</v>
      </c>
      <c r="B1907" t="s">
        <v>153</v>
      </c>
      <c r="C1907">
        <v>0</v>
      </c>
      <c r="D1907">
        <v>2</v>
      </c>
      <c r="E1907">
        <v>4</v>
      </c>
      <c r="F1907">
        <v>13909</v>
      </c>
    </row>
    <row r="1908" spans="1:6" x14ac:dyDescent="0.25">
      <c r="A1908" t="s">
        <v>151</v>
      </c>
      <c r="B1908" t="s">
        <v>153</v>
      </c>
      <c r="C1908">
        <v>0</v>
      </c>
      <c r="D1908">
        <v>2</v>
      </c>
      <c r="E1908">
        <v>5</v>
      </c>
      <c r="F1908">
        <v>9239</v>
      </c>
    </row>
    <row r="1909" spans="1:6" x14ac:dyDescent="0.25">
      <c r="A1909" t="s">
        <v>151</v>
      </c>
      <c r="B1909" t="s">
        <v>153</v>
      </c>
      <c r="C1909">
        <v>0</v>
      </c>
      <c r="D1909">
        <v>2</v>
      </c>
      <c r="E1909">
        <v>6</v>
      </c>
      <c r="F1909">
        <v>70075</v>
      </c>
    </row>
    <row r="1910" spans="1:6" x14ac:dyDescent="0.25">
      <c r="A1910" t="s">
        <v>151</v>
      </c>
      <c r="B1910" t="s">
        <v>153</v>
      </c>
      <c r="C1910">
        <v>1</v>
      </c>
      <c r="D1910">
        <v>0</v>
      </c>
      <c r="E1910">
        <v>1</v>
      </c>
      <c r="F1910">
        <v>5174607</v>
      </c>
    </row>
    <row r="1911" spans="1:6" x14ac:dyDescent="0.25">
      <c r="A1911" t="s">
        <v>151</v>
      </c>
      <c r="B1911" t="s">
        <v>153</v>
      </c>
      <c r="C1911">
        <v>1</v>
      </c>
      <c r="D1911">
        <v>0</v>
      </c>
      <c r="E1911">
        <v>2</v>
      </c>
      <c r="F1911">
        <v>784164</v>
      </c>
    </row>
    <row r="1912" spans="1:6" x14ac:dyDescent="0.25">
      <c r="A1912" t="s">
        <v>151</v>
      </c>
      <c r="B1912" t="s">
        <v>153</v>
      </c>
      <c r="C1912">
        <v>1</v>
      </c>
      <c r="D1912">
        <v>0</v>
      </c>
      <c r="E1912">
        <v>3</v>
      </c>
      <c r="F1912">
        <v>35098</v>
      </c>
    </row>
    <row r="1913" spans="1:6" x14ac:dyDescent="0.25">
      <c r="A1913" t="s">
        <v>151</v>
      </c>
      <c r="B1913" t="s">
        <v>153</v>
      </c>
      <c r="C1913">
        <v>1</v>
      </c>
      <c r="D1913">
        <v>0</v>
      </c>
      <c r="E1913">
        <v>4</v>
      </c>
      <c r="F1913">
        <v>285429</v>
      </c>
    </row>
    <row r="1914" spans="1:6" x14ac:dyDescent="0.25">
      <c r="A1914" t="s">
        <v>151</v>
      </c>
      <c r="B1914" t="s">
        <v>153</v>
      </c>
      <c r="C1914">
        <v>1</v>
      </c>
      <c r="D1914">
        <v>0</v>
      </c>
      <c r="E1914">
        <v>5</v>
      </c>
      <c r="F1914">
        <v>6593</v>
      </c>
    </row>
    <row r="1915" spans="1:6" x14ac:dyDescent="0.25">
      <c r="A1915" t="s">
        <v>151</v>
      </c>
      <c r="B1915" t="s">
        <v>153</v>
      </c>
      <c r="C1915">
        <v>1</v>
      </c>
      <c r="D1915">
        <v>0</v>
      </c>
      <c r="E1915">
        <v>6</v>
      </c>
      <c r="F1915">
        <v>163314</v>
      </c>
    </row>
    <row r="1916" spans="1:6" x14ac:dyDescent="0.25">
      <c r="A1916" t="s">
        <v>151</v>
      </c>
      <c r="B1916" t="s">
        <v>153</v>
      </c>
      <c r="C1916">
        <v>1</v>
      </c>
      <c r="D1916">
        <v>1</v>
      </c>
      <c r="E1916">
        <v>1</v>
      </c>
      <c r="F1916">
        <v>4721117</v>
      </c>
    </row>
    <row r="1917" spans="1:6" x14ac:dyDescent="0.25">
      <c r="A1917" t="s">
        <v>151</v>
      </c>
      <c r="B1917" t="s">
        <v>153</v>
      </c>
      <c r="C1917">
        <v>1</v>
      </c>
      <c r="D1917">
        <v>1</v>
      </c>
      <c r="E1917">
        <v>2</v>
      </c>
      <c r="F1917">
        <v>683848</v>
      </c>
    </row>
    <row r="1918" spans="1:6" x14ac:dyDescent="0.25">
      <c r="A1918" t="s">
        <v>151</v>
      </c>
      <c r="B1918" t="s">
        <v>153</v>
      </c>
      <c r="C1918">
        <v>1</v>
      </c>
      <c r="D1918">
        <v>1</v>
      </c>
      <c r="E1918">
        <v>3</v>
      </c>
      <c r="F1918">
        <v>9440</v>
      </c>
    </row>
    <row r="1919" spans="1:6" x14ac:dyDescent="0.25">
      <c r="A1919" t="s">
        <v>151</v>
      </c>
      <c r="B1919" t="s">
        <v>153</v>
      </c>
      <c r="C1919">
        <v>1</v>
      </c>
      <c r="D1919">
        <v>1</v>
      </c>
      <c r="E1919">
        <v>4</v>
      </c>
      <c r="F1919">
        <v>278353</v>
      </c>
    </row>
    <row r="1920" spans="1:6" x14ac:dyDescent="0.25">
      <c r="A1920" t="s">
        <v>151</v>
      </c>
      <c r="B1920" t="s">
        <v>153</v>
      </c>
      <c r="C1920">
        <v>1</v>
      </c>
      <c r="D1920">
        <v>1</v>
      </c>
      <c r="E1920">
        <v>5</v>
      </c>
      <c r="F1920">
        <v>2093</v>
      </c>
    </row>
    <row r="1921" spans="1:6" x14ac:dyDescent="0.25">
      <c r="A1921" t="s">
        <v>151</v>
      </c>
      <c r="B1921" t="s">
        <v>153</v>
      </c>
      <c r="C1921">
        <v>1</v>
      </c>
      <c r="D1921">
        <v>1</v>
      </c>
      <c r="E1921">
        <v>6</v>
      </c>
      <c r="F1921">
        <v>128187</v>
      </c>
    </row>
    <row r="1922" spans="1:6" x14ac:dyDescent="0.25">
      <c r="A1922" t="s">
        <v>151</v>
      </c>
      <c r="B1922" t="s">
        <v>153</v>
      </c>
      <c r="C1922">
        <v>1</v>
      </c>
      <c r="D1922">
        <v>2</v>
      </c>
      <c r="E1922">
        <v>1</v>
      </c>
      <c r="F1922">
        <v>453490</v>
      </c>
    </row>
    <row r="1923" spans="1:6" x14ac:dyDescent="0.25">
      <c r="A1923" t="s">
        <v>151</v>
      </c>
      <c r="B1923" t="s">
        <v>153</v>
      </c>
      <c r="C1923">
        <v>1</v>
      </c>
      <c r="D1923">
        <v>2</v>
      </c>
      <c r="E1923">
        <v>2</v>
      </c>
      <c r="F1923">
        <v>100316</v>
      </c>
    </row>
    <row r="1924" spans="1:6" x14ac:dyDescent="0.25">
      <c r="A1924" t="s">
        <v>151</v>
      </c>
      <c r="B1924" t="s">
        <v>153</v>
      </c>
      <c r="C1924">
        <v>1</v>
      </c>
      <c r="D1924">
        <v>2</v>
      </c>
      <c r="E1924">
        <v>3</v>
      </c>
      <c r="F1924">
        <v>25658</v>
      </c>
    </row>
    <row r="1925" spans="1:6" x14ac:dyDescent="0.25">
      <c r="A1925" t="s">
        <v>151</v>
      </c>
      <c r="B1925" t="s">
        <v>153</v>
      </c>
      <c r="C1925">
        <v>1</v>
      </c>
      <c r="D1925">
        <v>2</v>
      </c>
      <c r="E1925">
        <v>4</v>
      </c>
      <c r="F1925">
        <v>7076</v>
      </c>
    </row>
    <row r="1926" spans="1:6" x14ac:dyDescent="0.25">
      <c r="A1926" t="s">
        <v>151</v>
      </c>
      <c r="B1926" t="s">
        <v>153</v>
      </c>
      <c r="C1926">
        <v>1</v>
      </c>
      <c r="D1926">
        <v>2</v>
      </c>
      <c r="E1926">
        <v>5</v>
      </c>
      <c r="F1926">
        <v>4500</v>
      </c>
    </row>
    <row r="1927" spans="1:6" x14ac:dyDescent="0.25">
      <c r="A1927" t="s">
        <v>151</v>
      </c>
      <c r="B1927" t="s">
        <v>153</v>
      </c>
      <c r="C1927">
        <v>1</v>
      </c>
      <c r="D1927">
        <v>2</v>
      </c>
      <c r="E1927">
        <v>6</v>
      </c>
      <c r="F1927">
        <v>35127</v>
      </c>
    </row>
    <row r="1928" spans="1:6" x14ac:dyDescent="0.25">
      <c r="A1928" t="s">
        <v>151</v>
      </c>
      <c r="B1928" t="s">
        <v>153</v>
      </c>
      <c r="C1928">
        <v>2</v>
      </c>
      <c r="D1928">
        <v>0</v>
      </c>
      <c r="E1928">
        <v>1</v>
      </c>
      <c r="F1928">
        <v>5285690</v>
      </c>
    </row>
    <row r="1929" spans="1:6" x14ac:dyDescent="0.25">
      <c r="A1929" t="s">
        <v>151</v>
      </c>
      <c r="B1929" t="s">
        <v>153</v>
      </c>
      <c r="C1929">
        <v>2</v>
      </c>
      <c r="D1929">
        <v>0</v>
      </c>
      <c r="E1929">
        <v>2</v>
      </c>
      <c r="F1929">
        <v>835554</v>
      </c>
    </row>
    <row r="1930" spans="1:6" x14ac:dyDescent="0.25">
      <c r="A1930" t="s">
        <v>151</v>
      </c>
      <c r="B1930" t="s">
        <v>153</v>
      </c>
      <c r="C1930">
        <v>2</v>
      </c>
      <c r="D1930">
        <v>0</v>
      </c>
      <c r="E1930">
        <v>3</v>
      </c>
      <c r="F1930">
        <v>34513</v>
      </c>
    </row>
    <row r="1931" spans="1:6" x14ac:dyDescent="0.25">
      <c r="A1931" t="s">
        <v>151</v>
      </c>
      <c r="B1931" t="s">
        <v>153</v>
      </c>
      <c r="C1931">
        <v>2</v>
      </c>
      <c r="D1931">
        <v>0</v>
      </c>
      <c r="E1931">
        <v>4</v>
      </c>
      <c r="F1931">
        <v>299399</v>
      </c>
    </row>
    <row r="1932" spans="1:6" x14ac:dyDescent="0.25">
      <c r="A1932" t="s">
        <v>151</v>
      </c>
      <c r="B1932" t="s">
        <v>153</v>
      </c>
      <c r="C1932">
        <v>2</v>
      </c>
      <c r="D1932">
        <v>0</v>
      </c>
      <c r="E1932">
        <v>5</v>
      </c>
      <c r="F1932">
        <v>7014</v>
      </c>
    </row>
    <row r="1933" spans="1:6" x14ac:dyDescent="0.25">
      <c r="A1933" t="s">
        <v>151</v>
      </c>
      <c r="B1933" t="s">
        <v>153</v>
      </c>
      <c r="C1933">
        <v>2</v>
      </c>
      <c r="D1933">
        <v>0</v>
      </c>
      <c r="E1933">
        <v>6</v>
      </c>
      <c r="F1933">
        <v>167376</v>
      </c>
    </row>
    <row r="1934" spans="1:6" x14ac:dyDescent="0.25">
      <c r="A1934" t="s">
        <v>151</v>
      </c>
      <c r="B1934" t="s">
        <v>153</v>
      </c>
      <c r="C1934">
        <v>2</v>
      </c>
      <c r="D1934">
        <v>1</v>
      </c>
      <c r="E1934">
        <v>1</v>
      </c>
      <c r="F1934">
        <v>4849456</v>
      </c>
    </row>
    <row r="1935" spans="1:6" x14ac:dyDescent="0.25">
      <c r="A1935" t="s">
        <v>151</v>
      </c>
      <c r="B1935" t="s">
        <v>153</v>
      </c>
      <c r="C1935">
        <v>2</v>
      </c>
      <c r="D1935">
        <v>1</v>
      </c>
      <c r="E1935">
        <v>2</v>
      </c>
      <c r="F1935">
        <v>734734</v>
      </c>
    </row>
    <row r="1936" spans="1:6" x14ac:dyDescent="0.25">
      <c r="A1936" t="s">
        <v>151</v>
      </c>
      <c r="B1936" t="s">
        <v>153</v>
      </c>
      <c r="C1936">
        <v>2</v>
      </c>
      <c r="D1936">
        <v>1</v>
      </c>
      <c r="E1936">
        <v>3</v>
      </c>
      <c r="F1936">
        <v>9673</v>
      </c>
    </row>
    <row r="1937" spans="1:6" x14ac:dyDescent="0.25">
      <c r="A1937" t="s">
        <v>151</v>
      </c>
      <c r="B1937" t="s">
        <v>153</v>
      </c>
      <c r="C1937">
        <v>2</v>
      </c>
      <c r="D1937">
        <v>1</v>
      </c>
      <c r="E1937">
        <v>4</v>
      </c>
      <c r="F1937">
        <v>292566</v>
      </c>
    </row>
    <row r="1938" spans="1:6" x14ac:dyDescent="0.25">
      <c r="A1938" t="s">
        <v>151</v>
      </c>
      <c r="B1938" t="s">
        <v>153</v>
      </c>
      <c r="C1938">
        <v>2</v>
      </c>
      <c r="D1938">
        <v>1</v>
      </c>
      <c r="E1938">
        <v>5</v>
      </c>
      <c r="F1938">
        <v>2275</v>
      </c>
    </row>
    <row r="1939" spans="1:6" x14ac:dyDescent="0.25">
      <c r="A1939" t="s">
        <v>151</v>
      </c>
      <c r="B1939" t="s">
        <v>153</v>
      </c>
      <c r="C1939">
        <v>2</v>
      </c>
      <c r="D1939">
        <v>1</v>
      </c>
      <c r="E1939">
        <v>6</v>
      </c>
      <c r="F1939">
        <v>132428</v>
      </c>
    </row>
    <row r="1940" spans="1:6" x14ac:dyDescent="0.25">
      <c r="A1940" t="s">
        <v>151</v>
      </c>
      <c r="B1940" t="s">
        <v>153</v>
      </c>
      <c r="C1940">
        <v>2</v>
      </c>
      <c r="D1940">
        <v>2</v>
      </c>
      <c r="E1940">
        <v>1</v>
      </c>
      <c r="F1940">
        <v>436234</v>
      </c>
    </row>
    <row r="1941" spans="1:6" x14ac:dyDescent="0.25">
      <c r="A1941" t="s">
        <v>151</v>
      </c>
      <c r="B1941" t="s">
        <v>153</v>
      </c>
      <c r="C1941">
        <v>2</v>
      </c>
      <c r="D1941">
        <v>2</v>
      </c>
      <c r="E1941">
        <v>2</v>
      </c>
      <c r="F1941">
        <v>100820</v>
      </c>
    </row>
    <row r="1942" spans="1:6" x14ac:dyDescent="0.25">
      <c r="A1942" t="s">
        <v>151</v>
      </c>
      <c r="B1942" t="s">
        <v>153</v>
      </c>
      <c r="C1942">
        <v>2</v>
      </c>
      <c r="D1942">
        <v>2</v>
      </c>
      <c r="E1942">
        <v>3</v>
      </c>
      <c r="F1942">
        <v>24840</v>
      </c>
    </row>
    <row r="1943" spans="1:6" x14ac:dyDescent="0.25">
      <c r="A1943" t="s">
        <v>151</v>
      </c>
      <c r="B1943" t="s">
        <v>153</v>
      </c>
      <c r="C1943">
        <v>2</v>
      </c>
      <c r="D1943">
        <v>2</v>
      </c>
      <c r="E1943">
        <v>4</v>
      </c>
      <c r="F1943">
        <v>6833</v>
      </c>
    </row>
    <row r="1944" spans="1:6" x14ac:dyDescent="0.25">
      <c r="A1944" t="s">
        <v>151</v>
      </c>
      <c r="B1944" t="s">
        <v>153</v>
      </c>
      <c r="C1944">
        <v>2</v>
      </c>
      <c r="D1944">
        <v>2</v>
      </c>
      <c r="E1944">
        <v>5</v>
      </c>
      <c r="F1944">
        <v>4739</v>
      </c>
    </row>
    <row r="1945" spans="1:6" x14ac:dyDescent="0.25">
      <c r="A1945" t="s">
        <v>151</v>
      </c>
      <c r="B1945" t="s">
        <v>153</v>
      </c>
      <c r="C1945">
        <v>2</v>
      </c>
      <c r="D1945">
        <v>2</v>
      </c>
      <c r="E1945">
        <v>6</v>
      </c>
      <c r="F1945">
        <v>34948</v>
      </c>
    </row>
    <row r="1946" spans="1:6" x14ac:dyDescent="0.25">
      <c r="A1946" t="s">
        <v>154</v>
      </c>
      <c r="B1946" t="s">
        <v>156</v>
      </c>
      <c r="C1946">
        <v>0</v>
      </c>
      <c r="D1946">
        <v>0</v>
      </c>
      <c r="E1946">
        <v>1</v>
      </c>
      <c r="F1946">
        <v>907310</v>
      </c>
    </row>
    <row r="1947" spans="1:6" x14ac:dyDescent="0.25">
      <c r="A1947" t="s">
        <v>154</v>
      </c>
      <c r="B1947" t="s">
        <v>156</v>
      </c>
      <c r="C1947">
        <v>0</v>
      </c>
      <c r="D1947">
        <v>0</v>
      </c>
      <c r="E1947">
        <v>2</v>
      </c>
      <c r="F1947">
        <v>105806</v>
      </c>
    </row>
    <row r="1948" spans="1:6" x14ac:dyDescent="0.25">
      <c r="A1948" t="s">
        <v>154</v>
      </c>
      <c r="B1948" t="s">
        <v>156</v>
      </c>
      <c r="C1948">
        <v>0</v>
      </c>
      <c r="D1948">
        <v>0</v>
      </c>
      <c r="E1948">
        <v>3</v>
      </c>
      <c r="F1948">
        <v>15682</v>
      </c>
    </row>
    <row r="1949" spans="1:6" x14ac:dyDescent="0.25">
      <c r="A1949" t="s">
        <v>154</v>
      </c>
      <c r="B1949" t="s">
        <v>156</v>
      </c>
      <c r="C1949">
        <v>0</v>
      </c>
      <c r="D1949">
        <v>0</v>
      </c>
      <c r="E1949">
        <v>4</v>
      </c>
      <c r="F1949">
        <v>45061</v>
      </c>
    </row>
    <row r="1950" spans="1:6" x14ac:dyDescent="0.25">
      <c r="A1950" t="s">
        <v>154</v>
      </c>
      <c r="B1950" t="s">
        <v>156</v>
      </c>
      <c r="C1950">
        <v>0</v>
      </c>
      <c r="D1950">
        <v>0</v>
      </c>
      <c r="E1950">
        <v>5</v>
      </c>
      <c r="F1950">
        <v>2604</v>
      </c>
    </row>
    <row r="1951" spans="1:6" x14ac:dyDescent="0.25">
      <c r="A1951" t="s">
        <v>154</v>
      </c>
      <c r="B1951" t="s">
        <v>156</v>
      </c>
      <c r="C1951">
        <v>0</v>
      </c>
      <c r="D1951">
        <v>0</v>
      </c>
      <c r="E1951">
        <v>6</v>
      </c>
      <c r="F1951">
        <v>35845</v>
      </c>
    </row>
    <row r="1952" spans="1:6" x14ac:dyDescent="0.25">
      <c r="A1952" t="s">
        <v>154</v>
      </c>
      <c r="B1952" t="s">
        <v>156</v>
      </c>
      <c r="C1952">
        <v>0</v>
      </c>
      <c r="D1952">
        <v>1</v>
      </c>
      <c r="E1952">
        <v>1</v>
      </c>
      <c r="F1952">
        <v>756541</v>
      </c>
    </row>
    <row r="1953" spans="1:6" x14ac:dyDescent="0.25">
      <c r="A1953" t="s">
        <v>154</v>
      </c>
      <c r="B1953" t="s">
        <v>156</v>
      </c>
      <c r="C1953">
        <v>0</v>
      </c>
      <c r="D1953">
        <v>1</v>
      </c>
      <c r="E1953">
        <v>2</v>
      </c>
      <c r="F1953">
        <v>72728</v>
      </c>
    </row>
    <row r="1954" spans="1:6" x14ac:dyDescent="0.25">
      <c r="A1954" t="s">
        <v>154</v>
      </c>
      <c r="B1954" t="s">
        <v>156</v>
      </c>
      <c r="C1954">
        <v>0</v>
      </c>
      <c r="D1954">
        <v>1</v>
      </c>
      <c r="E1954">
        <v>3</v>
      </c>
      <c r="F1954">
        <v>4469</v>
      </c>
    </row>
    <row r="1955" spans="1:6" x14ac:dyDescent="0.25">
      <c r="A1955" t="s">
        <v>154</v>
      </c>
      <c r="B1955" t="s">
        <v>156</v>
      </c>
      <c r="C1955">
        <v>0</v>
      </c>
      <c r="D1955">
        <v>1</v>
      </c>
      <c r="E1955">
        <v>4</v>
      </c>
      <c r="F1955">
        <v>42612</v>
      </c>
    </row>
    <row r="1956" spans="1:6" x14ac:dyDescent="0.25">
      <c r="A1956" t="s">
        <v>154</v>
      </c>
      <c r="B1956" t="s">
        <v>156</v>
      </c>
      <c r="C1956">
        <v>0</v>
      </c>
      <c r="D1956">
        <v>1</v>
      </c>
      <c r="E1956">
        <v>5</v>
      </c>
      <c r="F1956">
        <v>690</v>
      </c>
    </row>
    <row r="1957" spans="1:6" x14ac:dyDescent="0.25">
      <c r="A1957" t="s">
        <v>154</v>
      </c>
      <c r="B1957" t="s">
        <v>156</v>
      </c>
      <c r="C1957">
        <v>0</v>
      </c>
      <c r="D1957">
        <v>1</v>
      </c>
      <c r="E1957">
        <v>6</v>
      </c>
      <c r="F1957">
        <v>26292</v>
      </c>
    </row>
    <row r="1958" spans="1:6" x14ac:dyDescent="0.25">
      <c r="A1958" t="s">
        <v>154</v>
      </c>
      <c r="B1958" t="s">
        <v>156</v>
      </c>
      <c r="C1958">
        <v>0</v>
      </c>
      <c r="D1958">
        <v>2</v>
      </c>
      <c r="E1958">
        <v>1</v>
      </c>
      <c r="F1958">
        <v>150769</v>
      </c>
    </row>
    <row r="1959" spans="1:6" x14ac:dyDescent="0.25">
      <c r="A1959" t="s">
        <v>154</v>
      </c>
      <c r="B1959" t="s">
        <v>156</v>
      </c>
      <c r="C1959">
        <v>0</v>
      </c>
      <c r="D1959">
        <v>2</v>
      </c>
      <c r="E1959">
        <v>2</v>
      </c>
      <c r="F1959">
        <v>33078</v>
      </c>
    </row>
    <row r="1960" spans="1:6" x14ac:dyDescent="0.25">
      <c r="A1960" t="s">
        <v>154</v>
      </c>
      <c r="B1960" t="s">
        <v>156</v>
      </c>
      <c r="C1960">
        <v>0</v>
      </c>
      <c r="D1960">
        <v>2</v>
      </c>
      <c r="E1960">
        <v>3</v>
      </c>
      <c r="F1960">
        <v>11213</v>
      </c>
    </row>
    <row r="1961" spans="1:6" x14ac:dyDescent="0.25">
      <c r="A1961" t="s">
        <v>154</v>
      </c>
      <c r="B1961" t="s">
        <v>156</v>
      </c>
      <c r="C1961">
        <v>0</v>
      </c>
      <c r="D1961">
        <v>2</v>
      </c>
      <c r="E1961">
        <v>4</v>
      </c>
      <c r="F1961">
        <v>2449</v>
      </c>
    </row>
    <row r="1962" spans="1:6" x14ac:dyDescent="0.25">
      <c r="A1962" t="s">
        <v>154</v>
      </c>
      <c r="B1962" t="s">
        <v>156</v>
      </c>
      <c r="C1962">
        <v>0</v>
      </c>
      <c r="D1962">
        <v>2</v>
      </c>
      <c r="E1962">
        <v>5</v>
      </c>
      <c r="F1962">
        <v>1914</v>
      </c>
    </row>
    <row r="1963" spans="1:6" x14ac:dyDescent="0.25">
      <c r="A1963" t="s">
        <v>154</v>
      </c>
      <c r="B1963" t="s">
        <v>156</v>
      </c>
      <c r="C1963">
        <v>0</v>
      </c>
      <c r="D1963">
        <v>2</v>
      </c>
      <c r="E1963">
        <v>6</v>
      </c>
      <c r="F1963">
        <v>9553</v>
      </c>
    </row>
    <row r="1964" spans="1:6" x14ac:dyDescent="0.25">
      <c r="A1964" t="s">
        <v>154</v>
      </c>
      <c r="B1964" t="s">
        <v>156</v>
      </c>
      <c r="C1964">
        <v>1</v>
      </c>
      <c r="D1964">
        <v>0</v>
      </c>
      <c r="E1964">
        <v>1</v>
      </c>
      <c r="F1964">
        <v>443939</v>
      </c>
    </row>
    <row r="1965" spans="1:6" x14ac:dyDescent="0.25">
      <c r="A1965" t="s">
        <v>154</v>
      </c>
      <c r="B1965" t="s">
        <v>156</v>
      </c>
      <c r="C1965">
        <v>1</v>
      </c>
      <c r="D1965">
        <v>0</v>
      </c>
      <c r="E1965">
        <v>2</v>
      </c>
      <c r="F1965">
        <v>52959</v>
      </c>
    </row>
    <row r="1966" spans="1:6" x14ac:dyDescent="0.25">
      <c r="A1966" t="s">
        <v>154</v>
      </c>
      <c r="B1966" t="s">
        <v>156</v>
      </c>
      <c r="C1966">
        <v>1</v>
      </c>
      <c r="D1966">
        <v>0</v>
      </c>
      <c r="E1966">
        <v>3</v>
      </c>
      <c r="F1966">
        <v>7973</v>
      </c>
    </row>
    <row r="1967" spans="1:6" x14ac:dyDescent="0.25">
      <c r="A1967" t="s">
        <v>154</v>
      </c>
      <c r="B1967" t="s">
        <v>156</v>
      </c>
      <c r="C1967">
        <v>1</v>
      </c>
      <c r="D1967">
        <v>0</v>
      </c>
      <c r="E1967">
        <v>4</v>
      </c>
      <c r="F1967">
        <v>21301</v>
      </c>
    </row>
    <row r="1968" spans="1:6" x14ac:dyDescent="0.25">
      <c r="A1968" t="s">
        <v>154</v>
      </c>
      <c r="B1968" t="s">
        <v>156</v>
      </c>
      <c r="C1968">
        <v>1</v>
      </c>
      <c r="D1968">
        <v>0</v>
      </c>
      <c r="E1968">
        <v>5</v>
      </c>
      <c r="F1968">
        <v>1429</v>
      </c>
    </row>
    <row r="1969" spans="1:6" x14ac:dyDescent="0.25">
      <c r="A1969" t="s">
        <v>154</v>
      </c>
      <c r="B1969" t="s">
        <v>156</v>
      </c>
      <c r="C1969">
        <v>1</v>
      </c>
      <c r="D1969">
        <v>0</v>
      </c>
      <c r="E1969">
        <v>6</v>
      </c>
      <c r="F1969">
        <v>17570</v>
      </c>
    </row>
    <row r="1970" spans="1:6" x14ac:dyDescent="0.25">
      <c r="A1970" t="s">
        <v>154</v>
      </c>
      <c r="B1970" t="s">
        <v>156</v>
      </c>
      <c r="C1970">
        <v>1</v>
      </c>
      <c r="D1970">
        <v>1</v>
      </c>
      <c r="E1970">
        <v>1</v>
      </c>
      <c r="F1970">
        <v>367102</v>
      </c>
    </row>
    <row r="1971" spans="1:6" x14ac:dyDescent="0.25">
      <c r="A1971" t="s">
        <v>154</v>
      </c>
      <c r="B1971" t="s">
        <v>156</v>
      </c>
      <c r="C1971">
        <v>1</v>
      </c>
      <c r="D1971">
        <v>1</v>
      </c>
      <c r="E1971">
        <v>2</v>
      </c>
      <c r="F1971">
        <v>36536</v>
      </c>
    </row>
    <row r="1972" spans="1:6" x14ac:dyDescent="0.25">
      <c r="A1972" t="s">
        <v>154</v>
      </c>
      <c r="B1972" t="s">
        <v>156</v>
      </c>
      <c r="C1972">
        <v>1</v>
      </c>
      <c r="D1972">
        <v>1</v>
      </c>
      <c r="E1972">
        <v>3</v>
      </c>
      <c r="F1972">
        <v>2194</v>
      </c>
    </row>
    <row r="1973" spans="1:6" x14ac:dyDescent="0.25">
      <c r="A1973" t="s">
        <v>154</v>
      </c>
      <c r="B1973" t="s">
        <v>156</v>
      </c>
      <c r="C1973">
        <v>1</v>
      </c>
      <c r="D1973">
        <v>1</v>
      </c>
      <c r="E1973">
        <v>4</v>
      </c>
      <c r="F1973">
        <v>20136</v>
      </c>
    </row>
    <row r="1974" spans="1:6" x14ac:dyDescent="0.25">
      <c r="A1974" t="s">
        <v>154</v>
      </c>
      <c r="B1974" t="s">
        <v>156</v>
      </c>
      <c r="C1974">
        <v>1</v>
      </c>
      <c r="D1974">
        <v>1</v>
      </c>
      <c r="E1974">
        <v>5</v>
      </c>
      <c r="F1974">
        <v>331</v>
      </c>
    </row>
    <row r="1975" spans="1:6" x14ac:dyDescent="0.25">
      <c r="A1975" t="s">
        <v>154</v>
      </c>
      <c r="B1975" t="s">
        <v>156</v>
      </c>
      <c r="C1975">
        <v>1</v>
      </c>
      <c r="D1975">
        <v>1</v>
      </c>
      <c r="E1975">
        <v>6</v>
      </c>
      <c r="F1975">
        <v>12904</v>
      </c>
    </row>
    <row r="1976" spans="1:6" x14ac:dyDescent="0.25">
      <c r="A1976" t="s">
        <v>154</v>
      </c>
      <c r="B1976" t="s">
        <v>156</v>
      </c>
      <c r="C1976">
        <v>1</v>
      </c>
      <c r="D1976">
        <v>2</v>
      </c>
      <c r="E1976">
        <v>1</v>
      </c>
      <c r="F1976">
        <v>76837</v>
      </c>
    </row>
    <row r="1977" spans="1:6" x14ac:dyDescent="0.25">
      <c r="A1977" t="s">
        <v>154</v>
      </c>
      <c r="B1977" t="s">
        <v>156</v>
      </c>
      <c r="C1977">
        <v>1</v>
      </c>
      <c r="D1977">
        <v>2</v>
      </c>
      <c r="E1977">
        <v>2</v>
      </c>
      <c r="F1977">
        <v>16423</v>
      </c>
    </row>
    <row r="1978" spans="1:6" x14ac:dyDescent="0.25">
      <c r="A1978" t="s">
        <v>154</v>
      </c>
      <c r="B1978" t="s">
        <v>156</v>
      </c>
      <c r="C1978">
        <v>1</v>
      </c>
      <c r="D1978">
        <v>2</v>
      </c>
      <c r="E1978">
        <v>3</v>
      </c>
      <c r="F1978">
        <v>5779</v>
      </c>
    </row>
    <row r="1979" spans="1:6" x14ac:dyDescent="0.25">
      <c r="A1979" t="s">
        <v>154</v>
      </c>
      <c r="B1979" t="s">
        <v>156</v>
      </c>
      <c r="C1979">
        <v>1</v>
      </c>
      <c r="D1979">
        <v>2</v>
      </c>
      <c r="E1979">
        <v>4</v>
      </c>
      <c r="F1979">
        <v>1165</v>
      </c>
    </row>
    <row r="1980" spans="1:6" x14ac:dyDescent="0.25">
      <c r="A1980" t="s">
        <v>154</v>
      </c>
      <c r="B1980" t="s">
        <v>156</v>
      </c>
      <c r="C1980">
        <v>1</v>
      </c>
      <c r="D1980">
        <v>2</v>
      </c>
      <c r="E1980">
        <v>5</v>
      </c>
      <c r="F1980">
        <v>1098</v>
      </c>
    </row>
    <row r="1981" spans="1:6" x14ac:dyDescent="0.25">
      <c r="A1981" t="s">
        <v>154</v>
      </c>
      <c r="B1981" t="s">
        <v>156</v>
      </c>
      <c r="C1981">
        <v>1</v>
      </c>
      <c r="D1981">
        <v>2</v>
      </c>
      <c r="E1981">
        <v>6</v>
      </c>
      <c r="F1981">
        <v>4666</v>
      </c>
    </row>
    <row r="1982" spans="1:6" x14ac:dyDescent="0.25">
      <c r="A1982" t="s">
        <v>154</v>
      </c>
      <c r="B1982" t="s">
        <v>156</v>
      </c>
      <c r="C1982">
        <v>2</v>
      </c>
      <c r="D1982">
        <v>0</v>
      </c>
      <c r="E1982">
        <v>1</v>
      </c>
      <c r="F1982">
        <v>463371</v>
      </c>
    </row>
    <row r="1983" spans="1:6" x14ac:dyDescent="0.25">
      <c r="A1983" t="s">
        <v>154</v>
      </c>
      <c r="B1983" t="s">
        <v>156</v>
      </c>
      <c r="C1983">
        <v>2</v>
      </c>
      <c r="D1983">
        <v>0</v>
      </c>
      <c r="E1983">
        <v>2</v>
      </c>
      <c r="F1983">
        <v>52847</v>
      </c>
    </row>
    <row r="1984" spans="1:6" x14ac:dyDescent="0.25">
      <c r="A1984" t="s">
        <v>154</v>
      </c>
      <c r="B1984" t="s">
        <v>156</v>
      </c>
      <c r="C1984">
        <v>2</v>
      </c>
      <c r="D1984">
        <v>0</v>
      </c>
      <c r="E1984">
        <v>3</v>
      </c>
      <c r="F1984">
        <v>7709</v>
      </c>
    </row>
    <row r="1985" spans="1:6" x14ac:dyDescent="0.25">
      <c r="A1985" t="s">
        <v>154</v>
      </c>
      <c r="B1985" t="s">
        <v>156</v>
      </c>
      <c r="C1985">
        <v>2</v>
      </c>
      <c r="D1985">
        <v>0</v>
      </c>
      <c r="E1985">
        <v>4</v>
      </c>
      <c r="F1985">
        <v>23760</v>
      </c>
    </row>
    <row r="1986" spans="1:6" x14ac:dyDescent="0.25">
      <c r="A1986" t="s">
        <v>154</v>
      </c>
      <c r="B1986" t="s">
        <v>156</v>
      </c>
      <c r="C1986">
        <v>2</v>
      </c>
      <c r="D1986">
        <v>0</v>
      </c>
      <c r="E1986">
        <v>5</v>
      </c>
      <c r="F1986">
        <v>1175</v>
      </c>
    </row>
    <row r="1987" spans="1:6" x14ac:dyDescent="0.25">
      <c r="A1987" t="s">
        <v>154</v>
      </c>
      <c r="B1987" t="s">
        <v>156</v>
      </c>
      <c r="C1987">
        <v>2</v>
      </c>
      <c r="D1987">
        <v>0</v>
      </c>
      <c r="E1987">
        <v>6</v>
      </c>
      <c r="F1987">
        <v>18275</v>
      </c>
    </row>
    <row r="1988" spans="1:6" x14ac:dyDescent="0.25">
      <c r="A1988" t="s">
        <v>154</v>
      </c>
      <c r="B1988" t="s">
        <v>156</v>
      </c>
      <c r="C1988">
        <v>2</v>
      </c>
      <c r="D1988">
        <v>1</v>
      </c>
      <c r="E1988">
        <v>1</v>
      </c>
      <c r="F1988">
        <v>389439</v>
      </c>
    </row>
    <row r="1989" spans="1:6" x14ac:dyDescent="0.25">
      <c r="A1989" t="s">
        <v>154</v>
      </c>
      <c r="B1989" t="s">
        <v>156</v>
      </c>
      <c r="C1989">
        <v>2</v>
      </c>
      <c r="D1989">
        <v>1</v>
      </c>
      <c r="E1989">
        <v>2</v>
      </c>
      <c r="F1989">
        <v>36192</v>
      </c>
    </row>
    <row r="1990" spans="1:6" x14ac:dyDescent="0.25">
      <c r="A1990" t="s">
        <v>154</v>
      </c>
      <c r="B1990" t="s">
        <v>156</v>
      </c>
      <c r="C1990">
        <v>2</v>
      </c>
      <c r="D1990">
        <v>1</v>
      </c>
      <c r="E1990">
        <v>3</v>
      </c>
      <c r="F1990">
        <v>2275</v>
      </c>
    </row>
    <row r="1991" spans="1:6" x14ac:dyDescent="0.25">
      <c r="A1991" t="s">
        <v>154</v>
      </c>
      <c r="B1991" t="s">
        <v>156</v>
      </c>
      <c r="C1991">
        <v>2</v>
      </c>
      <c r="D1991">
        <v>1</v>
      </c>
      <c r="E1991">
        <v>4</v>
      </c>
      <c r="F1991">
        <v>22476</v>
      </c>
    </row>
    <row r="1992" spans="1:6" x14ac:dyDescent="0.25">
      <c r="A1992" t="s">
        <v>154</v>
      </c>
      <c r="B1992" t="s">
        <v>156</v>
      </c>
      <c r="C1992">
        <v>2</v>
      </c>
      <c r="D1992">
        <v>1</v>
      </c>
      <c r="E1992">
        <v>5</v>
      </c>
      <c r="F1992">
        <v>359</v>
      </c>
    </row>
    <row r="1993" spans="1:6" x14ac:dyDescent="0.25">
      <c r="A1993" t="s">
        <v>154</v>
      </c>
      <c r="B1993" t="s">
        <v>156</v>
      </c>
      <c r="C1993">
        <v>2</v>
      </c>
      <c r="D1993">
        <v>1</v>
      </c>
      <c r="E1993">
        <v>6</v>
      </c>
      <c r="F1993">
        <v>13388</v>
      </c>
    </row>
    <row r="1994" spans="1:6" x14ac:dyDescent="0.25">
      <c r="A1994" t="s">
        <v>154</v>
      </c>
      <c r="B1994" t="s">
        <v>156</v>
      </c>
      <c r="C1994">
        <v>2</v>
      </c>
      <c r="D1994">
        <v>2</v>
      </c>
      <c r="E1994">
        <v>1</v>
      </c>
      <c r="F1994">
        <v>73932</v>
      </c>
    </row>
    <row r="1995" spans="1:6" x14ac:dyDescent="0.25">
      <c r="A1995" t="s">
        <v>154</v>
      </c>
      <c r="B1995" t="s">
        <v>156</v>
      </c>
      <c r="C1995">
        <v>2</v>
      </c>
      <c r="D1995">
        <v>2</v>
      </c>
      <c r="E1995">
        <v>2</v>
      </c>
      <c r="F1995">
        <v>16655</v>
      </c>
    </row>
    <row r="1996" spans="1:6" x14ac:dyDescent="0.25">
      <c r="A1996" t="s">
        <v>154</v>
      </c>
      <c r="B1996" t="s">
        <v>156</v>
      </c>
      <c r="C1996">
        <v>2</v>
      </c>
      <c r="D1996">
        <v>2</v>
      </c>
      <c r="E1996">
        <v>3</v>
      </c>
      <c r="F1996">
        <v>5434</v>
      </c>
    </row>
    <row r="1997" spans="1:6" x14ac:dyDescent="0.25">
      <c r="A1997" t="s">
        <v>154</v>
      </c>
      <c r="B1997" t="s">
        <v>156</v>
      </c>
      <c r="C1997">
        <v>2</v>
      </c>
      <c r="D1997">
        <v>2</v>
      </c>
      <c r="E1997">
        <v>4</v>
      </c>
      <c r="F1997">
        <v>1284</v>
      </c>
    </row>
    <row r="1998" spans="1:6" x14ac:dyDescent="0.25">
      <c r="A1998" t="s">
        <v>154</v>
      </c>
      <c r="B1998" t="s">
        <v>156</v>
      </c>
      <c r="C1998">
        <v>2</v>
      </c>
      <c r="D1998">
        <v>2</v>
      </c>
      <c r="E1998">
        <v>5</v>
      </c>
      <c r="F1998">
        <v>816</v>
      </c>
    </row>
    <row r="1999" spans="1:6" x14ac:dyDescent="0.25">
      <c r="A1999" t="s">
        <v>154</v>
      </c>
      <c r="B1999" t="s">
        <v>156</v>
      </c>
      <c r="C1999">
        <v>2</v>
      </c>
      <c r="D1999">
        <v>2</v>
      </c>
      <c r="E1999">
        <v>6</v>
      </c>
      <c r="F1999">
        <v>4887</v>
      </c>
    </row>
    <row r="2000" spans="1:6" x14ac:dyDescent="0.25">
      <c r="A2000" t="s">
        <v>157</v>
      </c>
      <c r="B2000" t="s">
        <v>159</v>
      </c>
      <c r="C2000">
        <v>0</v>
      </c>
      <c r="D2000">
        <v>0</v>
      </c>
      <c r="E2000">
        <v>1</v>
      </c>
      <c r="F2000">
        <v>3780966</v>
      </c>
    </row>
    <row r="2001" spans="1:6" x14ac:dyDescent="0.25">
      <c r="A2001" t="s">
        <v>157</v>
      </c>
      <c r="B2001" t="s">
        <v>159</v>
      </c>
      <c r="C2001">
        <v>0</v>
      </c>
      <c r="D2001">
        <v>0</v>
      </c>
      <c r="E2001">
        <v>2</v>
      </c>
      <c r="F2001">
        <v>1407815</v>
      </c>
    </row>
    <row r="2002" spans="1:6" x14ac:dyDescent="0.25">
      <c r="A2002" t="s">
        <v>157</v>
      </c>
      <c r="B2002" t="s">
        <v>159</v>
      </c>
      <c r="C2002">
        <v>0</v>
      </c>
      <c r="D2002">
        <v>0</v>
      </c>
      <c r="E2002">
        <v>3</v>
      </c>
      <c r="F2002">
        <v>36033</v>
      </c>
    </row>
    <row r="2003" spans="1:6" x14ac:dyDescent="0.25">
      <c r="A2003" t="s">
        <v>157</v>
      </c>
      <c r="B2003" t="s">
        <v>159</v>
      </c>
      <c r="C2003">
        <v>0</v>
      </c>
      <c r="D2003">
        <v>0</v>
      </c>
      <c r="E2003">
        <v>4</v>
      </c>
      <c r="F2003">
        <v>118981</v>
      </c>
    </row>
    <row r="2004" spans="1:6" x14ac:dyDescent="0.25">
      <c r="A2004" t="s">
        <v>157</v>
      </c>
      <c r="B2004" t="s">
        <v>159</v>
      </c>
      <c r="C2004">
        <v>0</v>
      </c>
      <c r="D2004">
        <v>0</v>
      </c>
      <c r="E2004">
        <v>5</v>
      </c>
      <c r="F2004">
        <v>6613</v>
      </c>
    </row>
    <row r="2005" spans="1:6" x14ac:dyDescent="0.25">
      <c r="A2005" t="s">
        <v>157</v>
      </c>
      <c r="B2005" t="s">
        <v>159</v>
      </c>
      <c r="C2005">
        <v>0</v>
      </c>
      <c r="D2005">
        <v>0</v>
      </c>
      <c r="E2005">
        <v>6</v>
      </c>
      <c r="F2005">
        <v>128423</v>
      </c>
    </row>
    <row r="2006" spans="1:6" x14ac:dyDescent="0.25">
      <c r="A2006" t="s">
        <v>157</v>
      </c>
      <c r="B2006" t="s">
        <v>159</v>
      </c>
      <c r="C2006">
        <v>0</v>
      </c>
      <c r="D2006">
        <v>1</v>
      </c>
      <c r="E2006">
        <v>1</v>
      </c>
      <c r="F2006">
        <v>3423257</v>
      </c>
    </row>
    <row r="2007" spans="1:6" x14ac:dyDescent="0.25">
      <c r="A2007" t="s">
        <v>157</v>
      </c>
      <c r="B2007" t="s">
        <v>159</v>
      </c>
      <c r="C2007">
        <v>0</v>
      </c>
      <c r="D2007">
        <v>1</v>
      </c>
      <c r="E2007">
        <v>2</v>
      </c>
      <c r="F2007">
        <v>1368576</v>
      </c>
    </row>
    <row r="2008" spans="1:6" x14ac:dyDescent="0.25">
      <c r="A2008" t="s">
        <v>157</v>
      </c>
      <c r="B2008" t="s">
        <v>159</v>
      </c>
      <c r="C2008">
        <v>0</v>
      </c>
      <c r="D2008">
        <v>1</v>
      </c>
      <c r="E2008">
        <v>3</v>
      </c>
      <c r="F2008">
        <v>19755</v>
      </c>
    </row>
    <row r="2009" spans="1:6" x14ac:dyDescent="0.25">
      <c r="A2009" t="s">
        <v>157</v>
      </c>
      <c r="B2009" t="s">
        <v>159</v>
      </c>
      <c r="C2009">
        <v>0</v>
      </c>
      <c r="D2009">
        <v>1</v>
      </c>
      <c r="E2009">
        <v>4</v>
      </c>
      <c r="F2009">
        <v>115243</v>
      </c>
    </row>
    <row r="2010" spans="1:6" x14ac:dyDescent="0.25">
      <c r="A2010" t="s">
        <v>157</v>
      </c>
      <c r="B2010" t="s">
        <v>159</v>
      </c>
      <c r="C2010">
        <v>0</v>
      </c>
      <c r="D2010">
        <v>1</v>
      </c>
      <c r="E2010">
        <v>5</v>
      </c>
      <c r="F2010">
        <v>3688</v>
      </c>
    </row>
    <row r="2011" spans="1:6" x14ac:dyDescent="0.25">
      <c r="A2011" t="s">
        <v>157</v>
      </c>
      <c r="B2011" t="s">
        <v>159</v>
      </c>
      <c r="C2011">
        <v>0</v>
      </c>
      <c r="D2011">
        <v>1</v>
      </c>
      <c r="E2011">
        <v>6</v>
      </c>
      <c r="F2011">
        <v>112317</v>
      </c>
    </row>
    <row r="2012" spans="1:6" x14ac:dyDescent="0.25">
      <c r="A2012" t="s">
        <v>157</v>
      </c>
      <c r="B2012" t="s">
        <v>159</v>
      </c>
      <c r="C2012">
        <v>0</v>
      </c>
      <c r="D2012">
        <v>2</v>
      </c>
      <c r="E2012">
        <v>1</v>
      </c>
      <c r="F2012">
        <v>357709</v>
      </c>
    </row>
    <row r="2013" spans="1:6" x14ac:dyDescent="0.25">
      <c r="A2013" t="s">
        <v>157</v>
      </c>
      <c r="B2013" t="s">
        <v>159</v>
      </c>
      <c r="C2013">
        <v>0</v>
      </c>
      <c r="D2013">
        <v>2</v>
      </c>
      <c r="E2013">
        <v>2</v>
      </c>
      <c r="F2013">
        <v>39239</v>
      </c>
    </row>
    <row r="2014" spans="1:6" x14ac:dyDescent="0.25">
      <c r="A2014" t="s">
        <v>157</v>
      </c>
      <c r="B2014" t="s">
        <v>159</v>
      </c>
      <c r="C2014">
        <v>0</v>
      </c>
      <c r="D2014">
        <v>2</v>
      </c>
      <c r="E2014">
        <v>3</v>
      </c>
      <c r="F2014">
        <v>16278</v>
      </c>
    </row>
    <row r="2015" spans="1:6" x14ac:dyDescent="0.25">
      <c r="A2015" t="s">
        <v>157</v>
      </c>
      <c r="B2015" t="s">
        <v>159</v>
      </c>
      <c r="C2015">
        <v>0</v>
      </c>
      <c r="D2015">
        <v>2</v>
      </c>
      <c r="E2015">
        <v>4</v>
      </c>
      <c r="F2015">
        <v>3738</v>
      </c>
    </row>
    <row r="2016" spans="1:6" x14ac:dyDescent="0.25">
      <c r="A2016" t="s">
        <v>157</v>
      </c>
      <c r="B2016" t="s">
        <v>159</v>
      </c>
      <c r="C2016">
        <v>0</v>
      </c>
      <c r="D2016">
        <v>2</v>
      </c>
      <c r="E2016">
        <v>5</v>
      </c>
      <c r="F2016">
        <v>2925</v>
      </c>
    </row>
    <row r="2017" spans="1:6" x14ac:dyDescent="0.25">
      <c r="A2017" t="s">
        <v>157</v>
      </c>
      <c r="B2017" t="s">
        <v>159</v>
      </c>
      <c r="C2017">
        <v>0</v>
      </c>
      <c r="D2017">
        <v>2</v>
      </c>
      <c r="E2017">
        <v>6</v>
      </c>
      <c r="F2017">
        <v>16106</v>
      </c>
    </row>
    <row r="2018" spans="1:6" x14ac:dyDescent="0.25">
      <c r="A2018" t="s">
        <v>157</v>
      </c>
      <c r="B2018" t="s">
        <v>159</v>
      </c>
      <c r="C2018">
        <v>1</v>
      </c>
      <c r="D2018">
        <v>0</v>
      </c>
      <c r="E2018">
        <v>1</v>
      </c>
      <c r="F2018">
        <v>1861436</v>
      </c>
    </row>
    <row r="2019" spans="1:6" x14ac:dyDescent="0.25">
      <c r="A2019" t="s">
        <v>157</v>
      </c>
      <c r="B2019" t="s">
        <v>159</v>
      </c>
      <c r="C2019">
        <v>1</v>
      </c>
      <c r="D2019">
        <v>0</v>
      </c>
      <c r="E2019">
        <v>2</v>
      </c>
      <c r="F2019">
        <v>658175</v>
      </c>
    </row>
    <row r="2020" spans="1:6" x14ac:dyDescent="0.25">
      <c r="A2020" t="s">
        <v>157</v>
      </c>
      <c r="B2020" t="s">
        <v>159</v>
      </c>
      <c r="C2020">
        <v>1</v>
      </c>
      <c r="D2020">
        <v>0</v>
      </c>
      <c r="E2020">
        <v>3</v>
      </c>
      <c r="F2020">
        <v>18906</v>
      </c>
    </row>
    <row r="2021" spans="1:6" x14ac:dyDescent="0.25">
      <c r="A2021" t="s">
        <v>157</v>
      </c>
      <c r="B2021" t="s">
        <v>159</v>
      </c>
      <c r="C2021">
        <v>1</v>
      </c>
      <c r="D2021">
        <v>0</v>
      </c>
      <c r="E2021">
        <v>4</v>
      </c>
      <c r="F2021">
        <v>56802</v>
      </c>
    </row>
    <row r="2022" spans="1:6" x14ac:dyDescent="0.25">
      <c r="A2022" t="s">
        <v>157</v>
      </c>
      <c r="B2022" t="s">
        <v>159</v>
      </c>
      <c r="C2022">
        <v>1</v>
      </c>
      <c r="D2022">
        <v>0</v>
      </c>
      <c r="E2022">
        <v>5</v>
      </c>
      <c r="F2022">
        <v>3414</v>
      </c>
    </row>
    <row r="2023" spans="1:6" x14ac:dyDescent="0.25">
      <c r="A2023" t="s">
        <v>157</v>
      </c>
      <c r="B2023" t="s">
        <v>159</v>
      </c>
      <c r="C2023">
        <v>1</v>
      </c>
      <c r="D2023">
        <v>0</v>
      </c>
      <c r="E2023">
        <v>6</v>
      </c>
      <c r="F2023">
        <v>63232</v>
      </c>
    </row>
    <row r="2024" spans="1:6" x14ac:dyDescent="0.25">
      <c r="A2024" t="s">
        <v>157</v>
      </c>
      <c r="B2024" t="s">
        <v>159</v>
      </c>
      <c r="C2024">
        <v>1</v>
      </c>
      <c r="D2024">
        <v>1</v>
      </c>
      <c r="E2024">
        <v>1</v>
      </c>
      <c r="F2024">
        <v>1674628</v>
      </c>
    </row>
    <row r="2025" spans="1:6" x14ac:dyDescent="0.25">
      <c r="A2025" t="s">
        <v>157</v>
      </c>
      <c r="B2025" t="s">
        <v>159</v>
      </c>
      <c r="C2025">
        <v>1</v>
      </c>
      <c r="D2025">
        <v>1</v>
      </c>
      <c r="E2025">
        <v>2</v>
      </c>
      <c r="F2025">
        <v>638388</v>
      </c>
    </row>
    <row r="2026" spans="1:6" x14ac:dyDescent="0.25">
      <c r="A2026" t="s">
        <v>157</v>
      </c>
      <c r="B2026" t="s">
        <v>159</v>
      </c>
      <c r="C2026">
        <v>1</v>
      </c>
      <c r="D2026">
        <v>1</v>
      </c>
      <c r="E2026">
        <v>3</v>
      </c>
      <c r="F2026">
        <v>9813</v>
      </c>
    </row>
    <row r="2027" spans="1:6" x14ac:dyDescent="0.25">
      <c r="A2027" t="s">
        <v>157</v>
      </c>
      <c r="B2027" t="s">
        <v>159</v>
      </c>
      <c r="C2027">
        <v>1</v>
      </c>
      <c r="D2027">
        <v>1</v>
      </c>
      <c r="E2027">
        <v>4</v>
      </c>
      <c r="F2027">
        <v>54976</v>
      </c>
    </row>
    <row r="2028" spans="1:6" x14ac:dyDescent="0.25">
      <c r="A2028" t="s">
        <v>157</v>
      </c>
      <c r="B2028" t="s">
        <v>159</v>
      </c>
      <c r="C2028">
        <v>1</v>
      </c>
      <c r="D2028">
        <v>1</v>
      </c>
      <c r="E2028">
        <v>5</v>
      </c>
      <c r="F2028">
        <v>1837</v>
      </c>
    </row>
    <row r="2029" spans="1:6" x14ac:dyDescent="0.25">
      <c r="A2029" t="s">
        <v>157</v>
      </c>
      <c r="B2029" t="s">
        <v>159</v>
      </c>
      <c r="C2029">
        <v>1</v>
      </c>
      <c r="D2029">
        <v>1</v>
      </c>
      <c r="E2029">
        <v>6</v>
      </c>
      <c r="F2029">
        <v>55142</v>
      </c>
    </row>
    <row r="2030" spans="1:6" x14ac:dyDescent="0.25">
      <c r="A2030" t="s">
        <v>157</v>
      </c>
      <c r="B2030" t="s">
        <v>159</v>
      </c>
      <c r="C2030">
        <v>1</v>
      </c>
      <c r="D2030">
        <v>2</v>
      </c>
      <c r="E2030">
        <v>1</v>
      </c>
      <c r="F2030">
        <v>186808</v>
      </c>
    </row>
    <row r="2031" spans="1:6" x14ac:dyDescent="0.25">
      <c r="A2031" t="s">
        <v>157</v>
      </c>
      <c r="B2031" t="s">
        <v>159</v>
      </c>
      <c r="C2031">
        <v>1</v>
      </c>
      <c r="D2031">
        <v>2</v>
      </c>
      <c r="E2031">
        <v>2</v>
      </c>
      <c r="F2031">
        <v>19787</v>
      </c>
    </row>
    <row r="2032" spans="1:6" x14ac:dyDescent="0.25">
      <c r="A2032" t="s">
        <v>157</v>
      </c>
      <c r="B2032" t="s">
        <v>159</v>
      </c>
      <c r="C2032">
        <v>1</v>
      </c>
      <c r="D2032">
        <v>2</v>
      </c>
      <c r="E2032">
        <v>3</v>
      </c>
      <c r="F2032">
        <v>9093</v>
      </c>
    </row>
    <row r="2033" spans="1:6" x14ac:dyDescent="0.25">
      <c r="A2033" t="s">
        <v>157</v>
      </c>
      <c r="B2033" t="s">
        <v>159</v>
      </c>
      <c r="C2033">
        <v>1</v>
      </c>
      <c r="D2033">
        <v>2</v>
      </c>
      <c r="E2033">
        <v>4</v>
      </c>
      <c r="F2033">
        <v>1826</v>
      </c>
    </row>
    <row r="2034" spans="1:6" x14ac:dyDescent="0.25">
      <c r="A2034" t="s">
        <v>157</v>
      </c>
      <c r="B2034" t="s">
        <v>159</v>
      </c>
      <c r="C2034">
        <v>1</v>
      </c>
      <c r="D2034">
        <v>2</v>
      </c>
      <c r="E2034">
        <v>5</v>
      </c>
      <c r="F2034">
        <v>1577</v>
      </c>
    </row>
    <row r="2035" spans="1:6" x14ac:dyDescent="0.25">
      <c r="A2035" t="s">
        <v>157</v>
      </c>
      <c r="B2035" t="s">
        <v>159</v>
      </c>
      <c r="C2035">
        <v>1</v>
      </c>
      <c r="D2035">
        <v>2</v>
      </c>
      <c r="E2035">
        <v>6</v>
      </c>
      <c r="F2035">
        <v>8090</v>
      </c>
    </row>
    <row r="2036" spans="1:6" x14ac:dyDescent="0.25">
      <c r="A2036" t="s">
        <v>157</v>
      </c>
      <c r="B2036" t="s">
        <v>159</v>
      </c>
      <c r="C2036">
        <v>2</v>
      </c>
      <c r="D2036">
        <v>0</v>
      </c>
      <c r="E2036">
        <v>1</v>
      </c>
      <c r="F2036">
        <v>1919530</v>
      </c>
    </row>
    <row r="2037" spans="1:6" x14ac:dyDescent="0.25">
      <c r="A2037" t="s">
        <v>157</v>
      </c>
      <c r="B2037" t="s">
        <v>159</v>
      </c>
      <c r="C2037">
        <v>2</v>
      </c>
      <c r="D2037">
        <v>0</v>
      </c>
      <c r="E2037">
        <v>2</v>
      </c>
      <c r="F2037">
        <v>749640</v>
      </c>
    </row>
    <row r="2038" spans="1:6" x14ac:dyDescent="0.25">
      <c r="A2038" t="s">
        <v>157</v>
      </c>
      <c r="B2038" t="s">
        <v>159</v>
      </c>
      <c r="C2038">
        <v>2</v>
      </c>
      <c r="D2038">
        <v>0</v>
      </c>
      <c r="E2038">
        <v>3</v>
      </c>
      <c r="F2038">
        <v>17127</v>
      </c>
    </row>
    <row r="2039" spans="1:6" x14ac:dyDescent="0.25">
      <c r="A2039" t="s">
        <v>157</v>
      </c>
      <c r="B2039" t="s">
        <v>159</v>
      </c>
      <c r="C2039">
        <v>2</v>
      </c>
      <c r="D2039">
        <v>0</v>
      </c>
      <c r="E2039">
        <v>4</v>
      </c>
      <c r="F2039">
        <v>62179</v>
      </c>
    </row>
    <row r="2040" spans="1:6" x14ac:dyDescent="0.25">
      <c r="A2040" t="s">
        <v>157</v>
      </c>
      <c r="B2040" t="s">
        <v>159</v>
      </c>
      <c r="C2040">
        <v>2</v>
      </c>
      <c r="D2040">
        <v>0</v>
      </c>
      <c r="E2040">
        <v>5</v>
      </c>
      <c r="F2040">
        <v>3199</v>
      </c>
    </row>
    <row r="2041" spans="1:6" x14ac:dyDescent="0.25">
      <c r="A2041" t="s">
        <v>157</v>
      </c>
      <c r="B2041" t="s">
        <v>159</v>
      </c>
      <c r="C2041">
        <v>2</v>
      </c>
      <c r="D2041">
        <v>0</v>
      </c>
      <c r="E2041">
        <v>6</v>
      </c>
      <c r="F2041">
        <v>65191</v>
      </c>
    </row>
    <row r="2042" spans="1:6" x14ac:dyDescent="0.25">
      <c r="A2042" t="s">
        <v>157</v>
      </c>
      <c r="B2042" t="s">
        <v>159</v>
      </c>
      <c r="C2042">
        <v>2</v>
      </c>
      <c r="D2042">
        <v>1</v>
      </c>
      <c r="E2042">
        <v>1</v>
      </c>
      <c r="F2042">
        <v>1748629</v>
      </c>
    </row>
    <row r="2043" spans="1:6" x14ac:dyDescent="0.25">
      <c r="A2043" t="s">
        <v>157</v>
      </c>
      <c r="B2043" t="s">
        <v>159</v>
      </c>
      <c r="C2043">
        <v>2</v>
      </c>
      <c r="D2043">
        <v>1</v>
      </c>
      <c r="E2043">
        <v>2</v>
      </c>
      <c r="F2043">
        <v>730188</v>
      </c>
    </row>
    <row r="2044" spans="1:6" x14ac:dyDescent="0.25">
      <c r="A2044" t="s">
        <v>157</v>
      </c>
      <c r="B2044" t="s">
        <v>159</v>
      </c>
      <c r="C2044">
        <v>2</v>
      </c>
      <c r="D2044">
        <v>1</v>
      </c>
      <c r="E2044">
        <v>3</v>
      </c>
      <c r="F2044">
        <v>9942</v>
      </c>
    </row>
    <row r="2045" spans="1:6" x14ac:dyDescent="0.25">
      <c r="A2045" t="s">
        <v>157</v>
      </c>
      <c r="B2045" t="s">
        <v>159</v>
      </c>
      <c r="C2045">
        <v>2</v>
      </c>
      <c r="D2045">
        <v>1</v>
      </c>
      <c r="E2045">
        <v>4</v>
      </c>
      <c r="F2045">
        <v>60267</v>
      </c>
    </row>
    <row r="2046" spans="1:6" x14ac:dyDescent="0.25">
      <c r="A2046" t="s">
        <v>157</v>
      </c>
      <c r="B2046" t="s">
        <v>159</v>
      </c>
      <c r="C2046">
        <v>2</v>
      </c>
      <c r="D2046">
        <v>1</v>
      </c>
      <c r="E2046">
        <v>5</v>
      </c>
      <c r="F2046">
        <v>1851</v>
      </c>
    </row>
    <row r="2047" spans="1:6" x14ac:dyDescent="0.25">
      <c r="A2047" t="s">
        <v>157</v>
      </c>
      <c r="B2047" t="s">
        <v>159</v>
      </c>
      <c r="C2047">
        <v>2</v>
      </c>
      <c r="D2047">
        <v>1</v>
      </c>
      <c r="E2047">
        <v>6</v>
      </c>
      <c r="F2047">
        <v>57175</v>
      </c>
    </row>
    <row r="2048" spans="1:6" x14ac:dyDescent="0.25">
      <c r="A2048" t="s">
        <v>157</v>
      </c>
      <c r="B2048" t="s">
        <v>159</v>
      </c>
      <c r="C2048">
        <v>2</v>
      </c>
      <c r="D2048">
        <v>2</v>
      </c>
      <c r="E2048">
        <v>1</v>
      </c>
      <c r="F2048">
        <v>170901</v>
      </c>
    </row>
    <row r="2049" spans="1:6" x14ac:dyDescent="0.25">
      <c r="A2049" t="s">
        <v>157</v>
      </c>
      <c r="B2049" t="s">
        <v>159</v>
      </c>
      <c r="C2049">
        <v>2</v>
      </c>
      <c r="D2049">
        <v>2</v>
      </c>
      <c r="E2049">
        <v>2</v>
      </c>
      <c r="F2049">
        <v>19452</v>
      </c>
    </row>
    <row r="2050" spans="1:6" x14ac:dyDescent="0.25">
      <c r="A2050" t="s">
        <v>157</v>
      </c>
      <c r="B2050" t="s">
        <v>159</v>
      </c>
      <c r="C2050">
        <v>2</v>
      </c>
      <c r="D2050">
        <v>2</v>
      </c>
      <c r="E2050">
        <v>3</v>
      </c>
      <c r="F2050">
        <v>7185</v>
      </c>
    </row>
    <row r="2051" spans="1:6" x14ac:dyDescent="0.25">
      <c r="A2051" t="s">
        <v>157</v>
      </c>
      <c r="B2051" t="s">
        <v>159</v>
      </c>
      <c r="C2051">
        <v>2</v>
      </c>
      <c r="D2051">
        <v>2</v>
      </c>
      <c r="E2051">
        <v>4</v>
      </c>
      <c r="F2051">
        <v>1912</v>
      </c>
    </row>
    <row r="2052" spans="1:6" x14ac:dyDescent="0.25">
      <c r="A2052" t="s">
        <v>157</v>
      </c>
      <c r="B2052" t="s">
        <v>159</v>
      </c>
      <c r="C2052">
        <v>2</v>
      </c>
      <c r="D2052">
        <v>2</v>
      </c>
      <c r="E2052">
        <v>5</v>
      </c>
      <c r="F2052">
        <v>1348</v>
      </c>
    </row>
    <row r="2053" spans="1:6" x14ac:dyDescent="0.25">
      <c r="A2053" t="s">
        <v>157</v>
      </c>
      <c r="B2053" t="s">
        <v>159</v>
      </c>
      <c r="C2053">
        <v>2</v>
      </c>
      <c r="D2053">
        <v>2</v>
      </c>
      <c r="E2053">
        <v>6</v>
      </c>
      <c r="F2053">
        <v>8016</v>
      </c>
    </row>
    <row r="2054" spans="1:6" x14ac:dyDescent="0.25">
      <c r="A2054" t="s">
        <v>160</v>
      </c>
      <c r="B2054" t="s">
        <v>162</v>
      </c>
      <c r="C2054">
        <v>0</v>
      </c>
      <c r="D2054">
        <v>0</v>
      </c>
      <c r="E2054">
        <v>1</v>
      </c>
      <c r="F2054">
        <v>777547</v>
      </c>
    </row>
    <row r="2055" spans="1:6" x14ac:dyDescent="0.25">
      <c r="A2055" t="s">
        <v>160</v>
      </c>
      <c r="B2055" t="s">
        <v>162</v>
      </c>
      <c r="C2055">
        <v>0</v>
      </c>
      <c r="D2055">
        <v>0</v>
      </c>
      <c r="E2055">
        <v>2</v>
      </c>
      <c r="F2055">
        <v>24589</v>
      </c>
    </row>
    <row r="2056" spans="1:6" x14ac:dyDescent="0.25">
      <c r="A2056" t="s">
        <v>160</v>
      </c>
      <c r="B2056" t="s">
        <v>162</v>
      </c>
      <c r="C2056">
        <v>0</v>
      </c>
      <c r="D2056">
        <v>0</v>
      </c>
      <c r="E2056">
        <v>3</v>
      </c>
      <c r="F2056">
        <v>78686</v>
      </c>
    </row>
    <row r="2057" spans="1:6" x14ac:dyDescent="0.25">
      <c r="A2057" t="s">
        <v>160</v>
      </c>
      <c r="B2057" t="s">
        <v>162</v>
      </c>
      <c r="C2057">
        <v>0</v>
      </c>
      <c r="D2057">
        <v>0</v>
      </c>
      <c r="E2057">
        <v>4</v>
      </c>
      <c r="F2057">
        <v>16488</v>
      </c>
    </row>
    <row r="2058" spans="1:6" x14ac:dyDescent="0.25">
      <c r="A2058" t="s">
        <v>160</v>
      </c>
      <c r="B2058" t="s">
        <v>162</v>
      </c>
      <c r="C2058">
        <v>0</v>
      </c>
      <c r="D2058">
        <v>0</v>
      </c>
      <c r="E2058">
        <v>5</v>
      </c>
      <c r="F2058">
        <v>1234</v>
      </c>
    </row>
    <row r="2059" spans="1:6" x14ac:dyDescent="0.25">
      <c r="A2059" t="s">
        <v>160</v>
      </c>
      <c r="B2059" t="s">
        <v>162</v>
      </c>
      <c r="C2059">
        <v>0</v>
      </c>
      <c r="D2059">
        <v>0</v>
      </c>
      <c r="E2059">
        <v>6</v>
      </c>
      <c r="F2059">
        <v>26125</v>
      </c>
    </row>
    <row r="2060" spans="1:6" x14ac:dyDescent="0.25">
      <c r="A2060" t="s">
        <v>160</v>
      </c>
      <c r="B2060" t="s">
        <v>162</v>
      </c>
      <c r="C2060">
        <v>0</v>
      </c>
      <c r="D2060">
        <v>1</v>
      </c>
      <c r="E2060">
        <v>1</v>
      </c>
      <c r="F2060">
        <v>741252</v>
      </c>
    </row>
    <row r="2061" spans="1:6" x14ac:dyDescent="0.25">
      <c r="A2061" t="s">
        <v>160</v>
      </c>
      <c r="B2061" t="s">
        <v>162</v>
      </c>
      <c r="C2061">
        <v>0</v>
      </c>
      <c r="D2061">
        <v>1</v>
      </c>
      <c r="E2061">
        <v>2</v>
      </c>
      <c r="F2061">
        <v>23133</v>
      </c>
    </row>
    <row r="2062" spans="1:6" x14ac:dyDescent="0.25">
      <c r="A2062" t="s">
        <v>160</v>
      </c>
      <c r="B2062" t="s">
        <v>162</v>
      </c>
      <c r="C2062">
        <v>0</v>
      </c>
      <c r="D2062">
        <v>1</v>
      </c>
      <c r="E2062">
        <v>3</v>
      </c>
      <c r="F2062">
        <v>70195</v>
      </c>
    </row>
    <row r="2063" spans="1:6" x14ac:dyDescent="0.25">
      <c r="A2063" t="s">
        <v>160</v>
      </c>
      <c r="B2063" t="s">
        <v>162</v>
      </c>
      <c r="C2063">
        <v>0</v>
      </c>
      <c r="D2063">
        <v>1</v>
      </c>
      <c r="E2063">
        <v>4</v>
      </c>
      <c r="F2063">
        <v>16047</v>
      </c>
    </row>
    <row r="2064" spans="1:6" x14ac:dyDescent="0.25">
      <c r="A2064" t="s">
        <v>160</v>
      </c>
      <c r="B2064" t="s">
        <v>162</v>
      </c>
      <c r="C2064">
        <v>0</v>
      </c>
      <c r="D2064">
        <v>1</v>
      </c>
      <c r="E2064">
        <v>5</v>
      </c>
      <c r="F2064">
        <v>853</v>
      </c>
    </row>
    <row r="2065" spans="1:6" x14ac:dyDescent="0.25">
      <c r="A2065" t="s">
        <v>160</v>
      </c>
      <c r="B2065" t="s">
        <v>162</v>
      </c>
      <c r="C2065">
        <v>0</v>
      </c>
      <c r="D2065">
        <v>1</v>
      </c>
      <c r="E2065">
        <v>6</v>
      </c>
      <c r="F2065">
        <v>23130</v>
      </c>
    </row>
    <row r="2066" spans="1:6" x14ac:dyDescent="0.25">
      <c r="A2066" t="s">
        <v>160</v>
      </c>
      <c r="B2066" t="s">
        <v>162</v>
      </c>
      <c r="C2066">
        <v>0</v>
      </c>
      <c r="D2066">
        <v>2</v>
      </c>
      <c r="E2066">
        <v>1</v>
      </c>
      <c r="F2066">
        <v>36295</v>
      </c>
    </row>
    <row r="2067" spans="1:6" x14ac:dyDescent="0.25">
      <c r="A2067" t="s">
        <v>160</v>
      </c>
      <c r="B2067" t="s">
        <v>162</v>
      </c>
      <c r="C2067">
        <v>0</v>
      </c>
      <c r="D2067">
        <v>2</v>
      </c>
      <c r="E2067">
        <v>2</v>
      </c>
      <c r="F2067">
        <v>1456</v>
      </c>
    </row>
    <row r="2068" spans="1:6" x14ac:dyDescent="0.25">
      <c r="A2068" t="s">
        <v>160</v>
      </c>
      <c r="B2068" t="s">
        <v>162</v>
      </c>
      <c r="C2068">
        <v>0</v>
      </c>
      <c r="D2068">
        <v>2</v>
      </c>
      <c r="E2068">
        <v>3</v>
      </c>
      <c r="F2068">
        <v>8491</v>
      </c>
    </row>
    <row r="2069" spans="1:6" x14ac:dyDescent="0.25">
      <c r="A2069" t="s">
        <v>160</v>
      </c>
      <c r="B2069" t="s">
        <v>162</v>
      </c>
      <c r="C2069">
        <v>0</v>
      </c>
      <c r="D2069">
        <v>2</v>
      </c>
      <c r="E2069">
        <v>4</v>
      </c>
      <c r="F2069">
        <v>441</v>
      </c>
    </row>
    <row r="2070" spans="1:6" x14ac:dyDescent="0.25">
      <c r="A2070" t="s">
        <v>160</v>
      </c>
      <c r="B2070" t="s">
        <v>162</v>
      </c>
      <c r="C2070">
        <v>0</v>
      </c>
      <c r="D2070">
        <v>2</v>
      </c>
      <c r="E2070">
        <v>5</v>
      </c>
      <c r="F2070">
        <v>381</v>
      </c>
    </row>
    <row r="2071" spans="1:6" x14ac:dyDescent="0.25">
      <c r="A2071" t="s">
        <v>160</v>
      </c>
      <c r="B2071" t="s">
        <v>162</v>
      </c>
      <c r="C2071">
        <v>0</v>
      </c>
      <c r="D2071">
        <v>2</v>
      </c>
      <c r="E2071">
        <v>6</v>
      </c>
      <c r="F2071">
        <v>2995</v>
      </c>
    </row>
    <row r="2072" spans="1:6" x14ac:dyDescent="0.25">
      <c r="A2072" t="s">
        <v>160</v>
      </c>
      <c r="B2072" t="s">
        <v>162</v>
      </c>
      <c r="C2072">
        <v>1</v>
      </c>
      <c r="D2072">
        <v>0</v>
      </c>
      <c r="E2072">
        <v>1</v>
      </c>
      <c r="F2072">
        <v>395653</v>
      </c>
    </row>
    <row r="2073" spans="1:6" x14ac:dyDescent="0.25">
      <c r="A2073" t="s">
        <v>160</v>
      </c>
      <c r="B2073" t="s">
        <v>162</v>
      </c>
      <c r="C2073">
        <v>1</v>
      </c>
      <c r="D2073">
        <v>0</v>
      </c>
      <c r="E2073">
        <v>2</v>
      </c>
      <c r="F2073">
        <v>14199</v>
      </c>
    </row>
    <row r="2074" spans="1:6" x14ac:dyDescent="0.25">
      <c r="A2074" t="s">
        <v>160</v>
      </c>
      <c r="B2074" t="s">
        <v>162</v>
      </c>
      <c r="C2074">
        <v>1</v>
      </c>
      <c r="D2074">
        <v>0</v>
      </c>
      <c r="E2074">
        <v>3</v>
      </c>
      <c r="F2074">
        <v>39173</v>
      </c>
    </row>
    <row r="2075" spans="1:6" x14ac:dyDescent="0.25">
      <c r="A2075" t="s">
        <v>160</v>
      </c>
      <c r="B2075" t="s">
        <v>162</v>
      </c>
      <c r="C2075">
        <v>1</v>
      </c>
      <c r="D2075">
        <v>0</v>
      </c>
      <c r="E2075">
        <v>4</v>
      </c>
      <c r="F2075">
        <v>7730</v>
      </c>
    </row>
    <row r="2076" spans="1:6" x14ac:dyDescent="0.25">
      <c r="A2076" t="s">
        <v>160</v>
      </c>
      <c r="B2076" t="s">
        <v>162</v>
      </c>
      <c r="C2076">
        <v>1</v>
      </c>
      <c r="D2076">
        <v>0</v>
      </c>
      <c r="E2076">
        <v>5</v>
      </c>
      <c r="F2076">
        <v>562</v>
      </c>
    </row>
    <row r="2077" spans="1:6" x14ac:dyDescent="0.25">
      <c r="A2077" t="s">
        <v>160</v>
      </c>
      <c r="B2077" t="s">
        <v>162</v>
      </c>
      <c r="C2077">
        <v>1</v>
      </c>
      <c r="D2077">
        <v>0</v>
      </c>
      <c r="E2077">
        <v>6</v>
      </c>
      <c r="F2077">
        <v>13318</v>
      </c>
    </row>
    <row r="2078" spans="1:6" x14ac:dyDescent="0.25">
      <c r="A2078" t="s">
        <v>160</v>
      </c>
      <c r="B2078" t="s">
        <v>162</v>
      </c>
      <c r="C2078">
        <v>1</v>
      </c>
      <c r="D2078">
        <v>1</v>
      </c>
      <c r="E2078">
        <v>1</v>
      </c>
      <c r="F2078">
        <v>376264</v>
      </c>
    </row>
    <row r="2079" spans="1:6" x14ac:dyDescent="0.25">
      <c r="A2079" t="s">
        <v>160</v>
      </c>
      <c r="B2079" t="s">
        <v>162</v>
      </c>
      <c r="C2079">
        <v>1</v>
      </c>
      <c r="D2079">
        <v>1</v>
      </c>
      <c r="E2079">
        <v>2</v>
      </c>
      <c r="F2079">
        <v>13367</v>
      </c>
    </row>
    <row r="2080" spans="1:6" x14ac:dyDescent="0.25">
      <c r="A2080" t="s">
        <v>160</v>
      </c>
      <c r="B2080" t="s">
        <v>162</v>
      </c>
      <c r="C2080">
        <v>1</v>
      </c>
      <c r="D2080">
        <v>1</v>
      </c>
      <c r="E2080">
        <v>3</v>
      </c>
      <c r="F2080">
        <v>34791</v>
      </c>
    </row>
    <row r="2081" spans="1:6" x14ac:dyDescent="0.25">
      <c r="A2081" t="s">
        <v>160</v>
      </c>
      <c r="B2081" t="s">
        <v>162</v>
      </c>
      <c r="C2081">
        <v>1</v>
      </c>
      <c r="D2081">
        <v>1</v>
      </c>
      <c r="E2081">
        <v>4</v>
      </c>
      <c r="F2081">
        <v>7513</v>
      </c>
    </row>
    <row r="2082" spans="1:6" x14ac:dyDescent="0.25">
      <c r="A2082" t="s">
        <v>160</v>
      </c>
      <c r="B2082" t="s">
        <v>162</v>
      </c>
      <c r="C2082">
        <v>1</v>
      </c>
      <c r="D2082">
        <v>1</v>
      </c>
      <c r="E2082">
        <v>5</v>
      </c>
      <c r="F2082">
        <v>375</v>
      </c>
    </row>
    <row r="2083" spans="1:6" x14ac:dyDescent="0.25">
      <c r="A2083" t="s">
        <v>160</v>
      </c>
      <c r="B2083" t="s">
        <v>162</v>
      </c>
      <c r="C2083">
        <v>1</v>
      </c>
      <c r="D2083">
        <v>1</v>
      </c>
      <c r="E2083">
        <v>6</v>
      </c>
      <c r="F2083">
        <v>11777</v>
      </c>
    </row>
    <row r="2084" spans="1:6" x14ac:dyDescent="0.25">
      <c r="A2084" t="s">
        <v>160</v>
      </c>
      <c r="B2084" t="s">
        <v>162</v>
      </c>
      <c r="C2084">
        <v>1</v>
      </c>
      <c r="D2084">
        <v>2</v>
      </c>
      <c r="E2084">
        <v>1</v>
      </c>
      <c r="F2084">
        <v>19389</v>
      </c>
    </row>
    <row r="2085" spans="1:6" x14ac:dyDescent="0.25">
      <c r="A2085" t="s">
        <v>160</v>
      </c>
      <c r="B2085" t="s">
        <v>162</v>
      </c>
      <c r="C2085">
        <v>1</v>
      </c>
      <c r="D2085">
        <v>2</v>
      </c>
      <c r="E2085">
        <v>2</v>
      </c>
      <c r="F2085">
        <v>832</v>
      </c>
    </row>
    <row r="2086" spans="1:6" x14ac:dyDescent="0.25">
      <c r="A2086" t="s">
        <v>160</v>
      </c>
      <c r="B2086" t="s">
        <v>162</v>
      </c>
      <c r="C2086">
        <v>1</v>
      </c>
      <c r="D2086">
        <v>2</v>
      </c>
      <c r="E2086">
        <v>3</v>
      </c>
      <c r="F2086">
        <v>4382</v>
      </c>
    </row>
    <row r="2087" spans="1:6" x14ac:dyDescent="0.25">
      <c r="A2087" t="s">
        <v>160</v>
      </c>
      <c r="B2087" t="s">
        <v>162</v>
      </c>
      <c r="C2087">
        <v>1</v>
      </c>
      <c r="D2087">
        <v>2</v>
      </c>
      <c r="E2087">
        <v>4</v>
      </c>
      <c r="F2087">
        <v>217</v>
      </c>
    </row>
    <row r="2088" spans="1:6" x14ac:dyDescent="0.25">
      <c r="A2088" t="s">
        <v>160</v>
      </c>
      <c r="B2088" t="s">
        <v>162</v>
      </c>
      <c r="C2088">
        <v>1</v>
      </c>
      <c r="D2088">
        <v>2</v>
      </c>
      <c r="E2088">
        <v>5</v>
      </c>
      <c r="F2088">
        <v>187</v>
      </c>
    </row>
    <row r="2089" spans="1:6" x14ac:dyDescent="0.25">
      <c r="A2089" t="s">
        <v>160</v>
      </c>
      <c r="B2089" t="s">
        <v>162</v>
      </c>
      <c r="C2089">
        <v>1</v>
      </c>
      <c r="D2089">
        <v>2</v>
      </c>
      <c r="E2089">
        <v>6</v>
      </c>
      <c r="F2089">
        <v>1541</v>
      </c>
    </row>
    <row r="2090" spans="1:6" x14ac:dyDescent="0.25">
      <c r="A2090" t="s">
        <v>160</v>
      </c>
      <c r="B2090" t="s">
        <v>162</v>
      </c>
      <c r="C2090">
        <v>2</v>
      </c>
      <c r="D2090">
        <v>0</v>
      </c>
      <c r="E2090">
        <v>1</v>
      </c>
      <c r="F2090">
        <v>381894</v>
      </c>
    </row>
    <row r="2091" spans="1:6" x14ac:dyDescent="0.25">
      <c r="A2091" t="s">
        <v>160</v>
      </c>
      <c r="B2091" t="s">
        <v>162</v>
      </c>
      <c r="C2091">
        <v>2</v>
      </c>
      <c r="D2091">
        <v>0</v>
      </c>
      <c r="E2091">
        <v>2</v>
      </c>
      <c r="F2091">
        <v>10390</v>
      </c>
    </row>
    <row r="2092" spans="1:6" x14ac:dyDescent="0.25">
      <c r="A2092" t="s">
        <v>160</v>
      </c>
      <c r="B2092" t="s">
        <v>162</v>
      </c>
      <c r="C2092">
        <v>2</v>
      </c>
      <c r="D2092">
        <v>0</v>
      </c>
      <c r="E2092">
        <v>3</v>
      </c>
      <c r="F2092">
        <v>39513</v>
      </c>
    </row>
    <row r="2093" spans="1:6" x14ac:dyDescent="0.25">
      <c r="A2093" t="s">
        <v>160</v>
      </c>
      <c r="B2093" t="s">
        <v>162</v>
      </c>
      <c r="C2093">
        <v>2</v>
      </c>
      <c r="D2093">
        <v>0</v>
      </c>
      <c r="E2093">
        <v>4</v>
      </c>
      <c r="F2093">
        <v>8758</v>
      </c>
    </row>
    <row r="2094" spans="1:6" x14ac:dyDescent="0.25">
      <c r="A2094" t="s">
        <v>160</v>
      </c>
      <c r="B2094" t="s">
        <v>162</v>
      </c>
      <c r="C2094">
        <v>2</v>
      </c>
      <c r="D2094">
        <v>0</v>
      </c>
      <c r="E2094">
        <v>5</v>
      </c>
      <c r="F2094">
        <v>672</v>
      </c>
    </row>
    <row r="2095" spans="1:6" x14ac:dyDescent="0.25">
      <c r="A2095" t="s">
        <v>160</v>
      </c>
      <c r="B2095" t="s">
        <v>162</v>
      </c>
      <c r="C2095">
        <v>2</v>
      </c>
      <c r="D2095">
        <v>0</v>
      </c>
      <c r="E2095">
        <v>6</v>
      </c>
      <c r="F2095">
        <v>12807</v>
      </c>
    </row>
    <row r="2096" spans="1:6" x14ac:dyDescent="0.25">
      <c r="A2096" t="s">
        <v>160</v>
      </c>
      <c r="B2096" t="s">
        <v>162</v>
      </c>
      <c r="C2096">
        <v>2</v>
      </c>
      <c r="D2096">
        <v>1</v>
      </c>
      <c r="E2096">
        <v>1</v>
      </c>
      <c r="F2096">
        <v>364988</v>
      </c>
    </row>
    <row r="2097" spans="1:6" x14ac:dyDescent="0.25">
      <c r="A2097" t="s">
        <v>160</v>
      </c>
      <c r="B2097" t="s">
        <v>162</v>
      </c>
      <c r="C2097">
        <v>2</v>
      </c>
      <c r="D2097">
        <v>1</v>
      </c>
      <c r="E2097">
        <v>2</v>
      </c>
      <c r="F2097">
        <v>9766</v>
      </c>
    </row>
    <row r="2098" spans="1:6" x14ac:dyDescent="0.25">
      <c r="A2098" t="s">
        <v>160</v>
      </c>
      <c r="B2098" t="s">
        <v>162</v>
      </c>
      <c r="C2098">
        <v>2</v>
      </c>
      <c r="D2098">
        <v>1</v>
      </c>
      <c r="E2098">
        <v>3</v>
      </c>
      <c r="F2098">
        <v>35404</v>
      </c>
    </row>
    <row r="2099" spans="1:6" x14ac:dyDescent="0.25">
      <c r="A2099" t="s">
        <v>160</v>
      </c>
      <c r="B2099" t="s">
        <v>162</v>
      </c>
      <c r="C2099">
        <v>2</v>
      </c>
      <c r="D2099">
        <v>1</v>
      </c>
      <c r="E2099">
        <v>4</v>
      </c>
      <c r="F2099">
        <v>8534</v>
      </c>
    </row>
    <row r="2100" spans="1:6" x14ac:dyDescent="0.25">
      <c r="A2100" t="s">
        <v>160</v>
      </c>
      <c r="B2100" t="s">
        <v>162</v>
      </c>
      <c r="C2100">
        <v>2</v>
      </c>
      <c r="D2100">
        <v>1</v>
      </c>
      <c r="E2100">
        <v>5</v>
      </c>
      <c r="F2100">
        <v>478</v>
      </c>
    </row>
    <row r="2101" spans="1:6" x14ac:dyDescent="0.25">
      <c r="A2101" t="s">
        <v>160</v>
      </c>
      <c r="B2101" t="s">
        <v>162</v>
      </c>
      <c r="C2101">
        <v>2</v>
      </c>
      <c r="D2101">
        <v>1</v>
      </c>
      <c r="E2101">
        <v>6</v>
      </c>
      <c r="F2101">
        <v>11353</v>
      </c>
    </row>
    <row r="2102" spans="1:6" x14ac:dyDescent="0.25">
      <c r="A2102" t="s">
        <v>160</v>
      </c>
      <c r="B2102" t="s">
        <v>162</v>
      </c>
      <c r="C2102">
        <v>2</v>
      </c>
      <c r="D2102">
        <v>2</v>
      </c>
      <c r="E2102">
        <v>1</v>
      </c>
      <c r="F2102">
        <v>16906</v>
      </c>
    </row>
    <row r="2103" spans="1:6" x14ac:dyDescent="0.25">
      <c r="A2103" t="s">
        <v>160</v>
      </c>
      <c r="B2103" t="s">
        <v>162</v>
      </c>
      <c r="C2103">
        <v>2</v>
      </c>
      <c r="D2103">
        <v>2</v>
      </c>
      <c r="E2103">
        <v>2</v>
      </c>
      <c r="F2103">
        <v>624</v>
      </c>
    </row>
    <row r="2104" spans="1:6" x14ac:dyDescent="0.25">
      <c r="A2104" t="s">
        <v>160</v>
      </c>
      <c r="B2104" t="s">
        <v>162</v>
      </c>
      <c r="C2104">
        <v>2</v>
      </c>
      <c r="D2104">
        <v>2</v>
      </c>
      <c r="E2104">
        <v>3</v>
      </c>
      <c r="F2104">
        <v>4109</v>
      </c>
    </row>
    <row r="2105" spans="1:6" x14ac:dyDescent="0.25">
      <c r="A2105" t="s">
        <v>160</v>
      </c>
      <c r="B2105" t="s">
        <v>162</v>
      </c>
      <c r="C2105">
        <v>2</v>
      </c>
      <c r="D2105">
        <v>2</v>
      </c>
      <c r="E2105">
        <v>4</v>
      </c>
      <c r="F2105">
        <v>224</v>
      </c>
    </row>
    <row r="2106" spans="1:6" x14ac:dyDescent="0.25">
      <c r="A2106" t="s">
        <v>160</v>
      </c>
      <c r="B2106" t="s">
        <v>162</v>
      </c>
      <c r="C2106">
        <v>2</v>
      </c>
      <c r="D2106">
        <v>2</v>
      </c>
      <c r="E2106">
        <v>5</v>
      </c>
      <c r="F2106">
        <v>194</v>
      </c>
    </row>
    <row r="2107" spans="1:6" x14ac:dyDescent="0.25">
      <c r="A2107" t="s">
        <v>160</v>
      </c>
      <c r="B2107" t="s">
        <v>162</v>
      </c>
      <c r="C2107">
        <v>2</v>
      </c>
      <c r="D2107">
        <v>2</v>
      </c>
      <c r="E2107">
        <v>6</v>
      </c>
      <c r="F2107">
        <v>1454</v>
      </c>
    </row>
    <row r="2108" spans="1:6" x14ac:dyDescent="0.25">
      <c r="A2108" t="s">
        <v>163</v>
      </c>
      <c r="B2108" t="s">
        <v>165</v>
      </c>
      <c r="C2108">
        <v>0</v>
      </c>
      <c r="D2108">
        <v>0</v>
      </c>
      <c r="E2108">
        <v>1</v>
      </c>
      <c r="F2108">
        <v>5649772</v>
      </c>
    </row>
    <row r="2109" spans="1:6" x14ac:dyDescent="0.25">
      <c r="A2109" t="s">
        <v>163</v>
      </c>
      <c r="B2109" t="s">
        <v>165</v>
      </c>
      <c r="C2109">
        <v>0</v>
      </c>
      <c r="D2109">
        <v>0</v>
      </c>
      <c r="E2109">
        <v>2</v>
      </c>
      <c r="F2109">
        <v>1187324</v>
      </c>
    </row>
    <row r="2110" spans="1:6" x14ac:dyDescent="0.25">
      <c r="A2110" t="s">
        <v>163</v>
      </c>
      <c r="B2110" t="s">
        <v>165</v>
      </c>
      <c r="C2110">
        <v>0</v>
      </c>
      <c r="D2110">
        <v>0</v>
      </c>
      <c r="E2110">
        <v>3</v>
      </c>
      <c r="F2110">
        <v>44974</v>
      </c>
    </row>
    <row r="2111" spans="1:6" x14ac:dyDescent="0.25">
      <c r="A2111" t="s">
        <v>163</v>
      </c>
      <c r="B2111" t="s">
        <v>165</v>
      </c>
      <c r="C2111">
        <v>0</v>
      </c>
      <c r="D2111">
        <v>0</v>
      </c>
      <c r="E2111">
        <v>4</v>
      </c>
      <c r="F2111">
        <v>164855</v>
      </c>
    </row>
    <row r="2112" spans="1:6" x14ac:dyDescent="0.25">
      <c r="A2112" t="s">
        <v>163</v>
      </c>
      <c r="B2112" t="s">
        <v>165</v>
      </c>
      <c r="C2112">
        <v>0</v>
      </c>
      <c r="D2112">
        <v>0</v>
      </c>
      <c r="E2112">
        <v>5</v>
      </c>
      <c r="F2112">
        <v>9273</v>
      </c>
    </row>
    <row r="2113" spans="1:6" x14ac:dyDescent="0.25">
      <c r="A2113" t="s">
        <v>163</v>
      </c>
      <c r="B2113" t="s">
        <v>165</v>
      </c>
      <c r="C2113">
        <v>0</v>
      </c>
      <c r="D2113">
        <v>0</v>
      </c>
      <c r="E2113">
        <v>6</v>
      </c>
      <c r="F2113">
        <v>171552</v>
      </c>
    </row>
    <row r="2114" spans="1:6" x14ac:dyDescent="0.25">
      <c r="A2114" t="s">
        <v>163</v>
      </c>
      <c r="B2114" t="s">
        <v>165</v>
      </c>
      <c r="C2114">
        <v>0</v>
      </c>
      <c r="D2114">
        <v>1</v>
      </c>
      <c r="E2114">
        <v>1</v>
      </c>
      <c r="F2114">
        <v>5161857</v>
      </c>
    </row>
    <row r="2115" spans="1:6" x14ac:dyDescent="0.25">
      <c r="A2115" t="s">
        <v>163</v>
      </c>
      <c r="B2115" t="s">
        <v>165</v>
      </c>
      <c r="C2115">
        <v>0</v>
      </c>
      <c r="D2115">
        <v>1</v>
      </c>
      <c r="E2115">
        <v>2</v>
      </c>
      <c r="F2115">
        <v>1153707</v>
      </c>
    </row>
    <row r="2116" spans="1:6" x14ac:dyDescent="0.25">
      <c r="A2116" t="s">
        <v>163</v>
      </c>
      <c r="B2116" t="s">
        <v>165</v>
      </c>
      <c r="C2116">
        <v>0</v>
      </c>
      <c r="D2116">
        <v>1</v>
      </c>
      <c r="E2116">
        <v>3</v>
      </c>
      <c r="F2116">
        <v>21022</v>
      </c>
    </row>
    <row r="2117" spans="1:6" x14ac:dyDescent="0.25">
      <c r="A2117" t="s">
        <v>163</v>
      </c>
      <c r="B2117" t="s">
        <v>165</v>
      </c>
      <c r="C2117">
        <v>0</v>
      </c>
      <c r="D2117">
        <v>1</v>
      </c>
      <c r="E2117">
        <v>4</v>
      </c>
      <c r="F2117">
        <v>158490</v>
      </c>
    </row>
    <row r="2118" spans="1:6" x14ac:dyDescent="0.25">
      <c r="A2118" t="s">
        <v>163</v>
      </c>
      <c r="B2118" t="s">
        <v>165</v>
      </c>
      <c r="C2118">
        <v>0</v>
      </c>
      <c r="D2118">
        <v>1</v>
      </c>
      <c r="E2118">
        <v>5</v>
      </c>
      <c r="F2118">
        <v>4608</v>
      </c>
    </row>
    <row r="2119" spans="1:6" x14ac:dyDescent="0.25">
      <c r="A2119" t="s">
        <v>163</v>
      </c>
      <c r="B2119" t="s">
        <v>165</v>
      </c>
      <c r="C2119">
        <v>0</v>
      </c>
      <c r="D2119">
        <v>1</v>
      </c>
      <c r="E2119">
        <v>6</v>
      </c>
      <c r="F2119">
        <v>150163</v>
      </c>
    </row>
    <row r="2120" spans="1:6" x14ac:dyDescent="0.25">
      <c r="A2120" t="s">
        <v>163</v>
      </c>
      <c r="B2120" t="s">
        <v>165</v>
      </c>
      <c r="C2120">
        <v>0</v>
      </c>
      <c r="D2120">
        <v>2</v>
      </c>
      <c r="E2120">
        <v>1</v>
      </c>
      <c r="F2120">
        <v>487915</v>
      </c>
    </row>
    <row r="2121" spans="1:6" x14ac:dyDescent="0.25">
      <c r="A2121" t="s">
        <v>163</v>
      </c>
      <c r="B2121" t="s">
        <v>165</v>
      </c>
      <c r="C2121">
        <v>0</v>
      </c>
      <c r="D2121">
        <v>2</v>
      </c>
      <c r="E2121">
        <v>2</v>
      </c>
      <c r="F2121">
        <v>33617</v>
      </c>
    </row>
    <row r="2122" spans="1:6" x14ac:dyDescent="0.25">
      <c r="A2122" t="s">
        <v>163</v>
      </c>
      <c r="B2122" t="s">
        <v>165</v>
      </c>
      <c r="C2122">
        <v>0</v>
      </c>
      <c r="D2122">
        <v>2</v>
      </c>
      <c r="E2122">
        <v>3</v>
      </c>
      <c r="F2122">
        <v>23952</v>
      </c>
    </row>
    <row r="2123" spans="1:6" x14ac:dyDescent="0.25">
      <c r="A2123" t="s">
        <v>163</v>
      </c>
      <c r="B2123" t="s">
        <v>165</v>
      </c>
      <c r="C2123">
        <v>0</v>
      </c>
      <c r="D2123">
        <v>2</v>
      </c>
      <c r="E2123">
        <v>4</v>
      </c>
      <c r="F2123">
        <v>6365</v>
      </c>
    </row>
    <row r="2124" spans="1:6" x14ac:dyDescent="0.25">
      <c r="A2124" t="s">
        <v>163</v>
      </c>
      <c r="B2124" t="s">
        <v>165</v>
      </c>
      <c r="C2124">
        <v>0</v>
      </c>
      <c r="D2124">
        <v>2</v>
      </c>
      <c r="E2124">
        <v>5</v>
      </c>
      <c r="F2124">
        <v>4665</v>
      </c>
    </row>
    <row r="2125" spans="1:6" x14ac:dyDescent="0.25">
      <c r="A2125" t="s">
        <v>163</v>
      </c>
      <c r="B2125" t="s">
        <v>165</v>
      </c>
      <c r="C2125">
        <v>0</v>
      </c>
      <c r="D2125">
        <v>2</v>
      </c>
      <c r="E2125">
        <v>6</v>
      </c>
      <c r="F2125">
        <v>21389</v>
      </c>
    </row>
    <row r="2126" spans="1:6" x14ac:dyDescent="0.25">
      <c r="A2126" t="s">
        <v>163</v>
      </c>
      <c r="B2126" t="s">
        <v>165</v>
      </c>
      <c r="C2126">
        <v>1</v>
      </c>
      <c r="D2126">
        <v>0</v>
      </c>
      <c r="E2126">
        <v>1</v>
      </c>
      <c r="F2126">
        <v>2791670</v>
      </c>
    </row>
    <row r="2127" spans="1:6" x14ac:dyDescent="0.25">
      <c r="A2127" t="s">
        <v>163</v>
      </c>
      <c r="B2127" t="s">
        <v>165</v>
      </c>
      <c r="C2127">
        <v>1</v>
      </c>
      <c r="D2127">
        <v>0</v>
      </c>
      <c r="E2127">
        <v>2</v>
      </c>
      <c r="F2127">
        <v>561414</v>
      </c>
    </row>
    <row r="2128" spans="1:6" x14ac:dyDescent="0.25">
      <c r="A2128" t="s">
        <v>163</v>
      </c>
      <c r="B2128" t="s">
        <v>165</v>
      </c>
      <c r="C2128">
        <v>1</v>
      </c>
      <c r="D2128">
        <v>0</v>
      </c>
      <c r="E2128">
        <v>3</v>
      </c>
      <c r="F2128">
        <v>23604</v>
      </c>
    </row>
    <row r="2129" spans="1:6" x14ac:dyDescent="0.25">
      <c r="A2129" t="s">
        <v>163</v>
      </c>
      <c r="B2129" t="s">
        <v>165</v>
      </c>
      <c r="C2129">
        <v>1</v>
      </c>
      <c r="D2129">
        <v>0</v>
      </c>
      <c r="E2129">
        <v>4</v>
      </c>
      <c r="F2129">
        <v>79225</v>
      </c>
    </row>
    <row r="2130" spans="1:6" x14ac:dyDescent="0.25">
      <c r="A2130" t="s">
        <v>163</v>
      </c>
      <c r="B2130" t="s">
        <v>165</v>
      </c>
      <c r="C2130">
        <v>1</v>
      </c>
      <c r="D2130">
        <v>0</v>
      </c>
      <c r="E2130">
        <v>5</v>
      </c>
      <c r="F2130">
        <v>4765</v>
      </c>
    </row>
    <row r="2131" spans="1:6" x14ac:dyDescent="0.25">
      <c r="A2131" t="s">
        <v>163</v>
      </c>
      <c r="B2131" t="s">
        <v>165</v>
      </c>
      <c r="C2131">
        <v>1</v>
      </c>
      <c r="D2131">
        <v>0</v>
      </c>
      <c r="E2131">
        <v>6</v>
      </c>
      <c r="F2131">
        <v>85070</v>
      </c>
    </row>
    <row r="2132" spans="1:6" x14ac:dyDescent="0.25">
      <c r="A2132" t="s">
        <v>163</v>
      </c>
      <c r="B2132" t="s">
        <v>165</v>
      </c>
      <c r="C2132">
        <v>1</v>
      </c>
      <c r="D2132">
        <v>1</v>
      </c>
      <c r="E2132">
        <v>1</v>
      </c>
      <c r="F2132">
        <v>2537252</v>
      </c>
    </row>
    <row r="2133" spans="1:6" x14ac:dyDescent="0.25">
      <c r="A2133" t="s">
        <v>163</v>
      </c>
      <c r="B2133" t="s">
        <v>165</v>
      </c>
      <c r="C2133">
        <v>1</v>
      </c>
      <c r="D2133">
        <v>1</v>
      </c>
      <c r="E2133">
        <v>2</v>
      </c>
      <c r="F2133">
        <v>544296</v>
      </c>
    </row>
    <row r="2134" spans="1:6" x14ac:dyDescent="0.25">
      <c r="A2134" t="s">
        <v>163</v>
      </c>
      <c r="B2134" t="s">
        <v>165</v>
      </c>
      <c r="C2134">
        <v>1</v>
      </c>
      <c r="D2134">
        <v>1</v>
      </c>
      <c r="E2134">
        <v>3</v>
      </c>
      <c r="F2134">
        <v>10882</v>
      </c>
    </row>
    <row r="2135" spans="1:6" x14ac:dyDescent="0.25">
      <c r="A2135" t="s">
        <v>163</v>
      </c>
      <c r="B2135" t="s">
        <v>165</v>
      </c>
      <c r="C2135">
        <v>1</v>
      </c>
      <c r="D2135">
        <v>1</v>
      </c>
      <c r="E2135">
        <v>4</v>
      </c>
      <c r="F2135">
        <v>76018</v>
      </c>
    </row>
    <row r="2136" spans="1:6" x14ac:dyDescent="0.25">
      <c r="A2136" t="s">
        <v>163</v>
      </c>
      <c r="B2136" t="s">
        <v>165</v>
      </c>
      <c r="C2136">
        <v>1</v>
      </c>
      <c r="D2136">
        <v>1</v>
      </c>
      <c r="E2136">
        <v>5</v>
      </c>
      <c r="F2136">
        <v>2313</v>
      </c>
    </row>
    <row r="2137" spans="1:6" x14ac:dyDescent="0.25">
      <c r="A2137" t="s">
        <v>163</v>
      </c>
      <c r="B2137" t="s">
        <v>165</v>
      </c>
      <c r="C2137">
        <v>1</v>
      </c>
      <c r="D2137">
        <v>1</v>
      </c>
      <c r="E2137">
        <v>6</v>
      </c>
      <c r="F2137">
        <v>74145</v>
      </c>
    </row>
    <row r="2138" spans="1:6" x14ac:dyDescent="0.25">
      <c r="A2138" t="s">
        <v>163</v>
      </c>
      <c r="B2138" t="s">
        <v>165</v>
      </c>
      <c r="C2138">
        <v>1</v>
      </c>
      <c r="D2138">
        <v>2</v>
      </c>
      <c r="E2138">
        <v>1</v>
      </c>
      <c r="F2138">
        <v>254418</v>
      </c>
    </row>
    <row r="2139" spans="1:6" x14ac:dyDescent="0.25">
      <c r="A2139" t="s">
        <v>163</v>
      </c>
      <c r="B2139" t="s">
        <v>165</v>
      </c>
      <c r="C2139">
        <v>1</v>
      </c>
      <c r="D2139">
        <v>2</v>
      </c>
      <c r="E2139">
        <v>2</v>
      </c>
      <c r="F2139">
        <v>17118</v>
      </c>
    </row>
    <row r="2140" spans="1:6" x14ac:dyDescent="0.25">
      <c r="A2140" t="s">
        <v>163</v>
      </c>
      <c r="B2140" t="s">
        <v>165</v>
      </c>
      <c r="C2140">
        <v>1</v>
      </c>
      <c r="D2140">
        <v>2</v>
      </c>
      <c r="E2140">
        <v>3</v>
      </c>
      <c r="F2140">
        <v>12722</v>
      </c>
    </row>
    <row r="2141" spans="1:6" x14ac:dyDescent="0.25">
      <c r="A2141" t="s">
        <v>163</v>
      </c>
      <c r="B2141" t="s">
        <v>165</v>
      </c>
      <c r="C2141">
        <v>1</v>
      </c>
      <c r="D2141">
        <v>2</v>
      </c>
      <c r="E2141">
        <v>4</v>
      </c>
      <c r="F2141">
        <v>3207</v>
      </c>
    </row>
    <row r="2142" spans="1:6" x14ac:dyDescent="0.25">
      <c r="A2142" t="s">
        <v>163</v>
      </c>
      <c r="B2142" t="s">
        <v>165</v>
      </c>
      <c r="C2142">
        <v>1</v>
      </c>
      <c r="D2142">
        <v>2</v>
      </c>
      <c r="E2142">
        <v>5</v>
      </c>
      <c r="F2142">
        <v>2452</v>
      </c>
    </row>
    <row r="2143" spans="1:6" x14ac:dyDescent="0.25">
      <c r="A2143" t="s">
        <v>163</v>
      </c>
      <c r="B2143" t="s">
        <v>165</v>
      </c>
      <c r="C2143">
        <v>1</v>
      </c>
      <c r="D2143">
        <v>2</v>
      </c>
      <c r="E2143">
        <v>6</v>
      </c>
      <c r="F2143">
        <v>10925</v>
      </c>
    </row>
    <row r="2144" spans="1:6" x14ac:dyDescent="0.25">
      <c r="A2144" t="s">
        <v>163</v>
      </c>
      <c r="B2144" t="s">
        <v>165</v>
      </c>
      <c r="C2144">
        <v>2</v>
      </c>
      <c r="D2144">
        <v>0</v>
      </c>
      <c r="E2144">
        <v>1</v>
      </c>
      <c r="F2144">
        <v>2858102</v>
      </c>
    </row>
    <row r="2145" spans="1:6" x14ac:dyDescent="0.25">
      <c r="A2145" t="s">
        <v>163</v>
      </c>
      <c r="B2145" t="s">
        <v>165</v>
      </c>
      <c r="C2145">
        <v>2</v>
      </c>
      <c r="D2145">
        <v>0</v>
      </c>
      <c r="E2145">
        <v>2</v>
      </c>
      <c r="F2145">
        <v>625910</v>
      </c>
    </row>
    <row r="2146" spans="1:6" x14ac:dyDescent="0.25">
      <c r="A2146" t="s">
        <v>163</v>
      </c>
      <c r="B2146" t="s">
        <v>165</v>
      </c>
      <c r="C2146">
        <v>2</v>
      </c>
      <c r="D2146">
        <v>0</v>
      </c>
      <c r="E2146">
        <v>3</v>
      </c>
      <c r="F2146">
        <v>21370</v>
      </c>
    </row>
    <row r="2147" spans="1:6" x14ac:dyDescent="0.25">
      <c r="A2147" t="s">
        <v>163</v>
      </c>
      <c r="B2147" t="s">
        <v>165</v>
      </c>
      <c r="C2147">
        <v>2</v>
      </c>
      <c r="D2147">
        <v>0</v>
      </c>
      <c r="E2147">
        <v>4</v>
      </c>
      <c r="F2147">
        <v>85630</v>
      </c>
    </row>
    <row r="2148" spans="1:6" x14ac:dyDescent="0.25">
      <c r="A2148" t="s">
        <v>163</v>
      </c>
      <c r="B2148" t="s">
        <v>165</v>
      </c>
      <c r="C2148">
        <v>2</v>
      </c>
      <c r="D2148">
        <v>0</v>
      </c>
      <c r="E2148">
        <v>5</v>
      </c>
      <c r="F2148">
        <v>4508</v>
      </c>
    </row>
    <row r="2149" spans="1:6" x14ac:dyDescent="0.25">
      <c r="A2149" t="s">
        <v>163</v>
      </c>
      <c r="B2149" t="s">
        <v>165</v>
      </c>
      <c r="C2149">
        <v>2</v>
      </c>
      <c r="D2149">
        <v>0</v>
      </c>
      <c r="E2149">
        <v>6</v>
      </c>
      <c r="F2149">
        <v>86482</v>
      </c>
    </row>
    <row r="2150" spans="1:6" x14ac:dyDescent="0.25">
      <c r="A2150" t="s">
        <v>163</v>
      </c>
      <c r="B2150" t="s">
        <v>165</v>
      </c>
      <c r="C2150">
        <v>2</v>
      </c>
      <c r="D2150">
        <v>1</v>
      </c>
      <c r="E2150">
        <v>1</v>
      </c>
      <c r="F2150">
        <v>2624605</v>
      </c>
    </row>
    <row r="2151" spans="1:6" x14ac:dyDescent="0.25">
      <c r="A2151" t="s">
        <v>163</v>
      </c>
      <c r="B2151" t="s">
        <v>165</v>
      </c>
      <c r="C2151">
        <v>2</v>
      </c>
      <c r="D2151">
        <v>1</v>
      </c>
      <c r="E2151">
        <v>2</v>
      </c>
      <c r="F2151">
        <v>609411</v>
      </c>
    </row>
    <row r="2152" spans="1:6" x14ac:dyDescent="0.25">
      <c r="A2152" t="s">
        <v>163</v>
      </c>
      <c r="B2152" t="s">
        <v>165</v>
      </c>
      <c r="C2152">
        <v>2</v>
      </c>
      <c r="D2152">
        <v>1</v>
      </c>
      <c r="E2152">
        <v>3</v>
      </c>
      <c r="F2152">
        <v>10140</v>
      </c>
    </row>
    <row r="2153" spans="1:6" x14ac:dyDescent="0.25">
      <c r="A2153" t="s">
        <v>163</v>
      </c>
      <c r="B2153" t="s">
        <v>165</v>
      </c>
      <c r="C2153">
        <v>2</v>
      </c>
      <c r="D2153">
        <v>1</v>
      </c>
      <c r="E2153">
        <v>4</v>
      </c>
      <c r="F2153">
        <v>82472</v>
      </c>
    </row>
    <row r="2154" spans="1:6" x14ac:dyDescent="0.25">
      <c r="A2154" t="s">
        <v>163</v>
      </c>
      <c r="B2154" t="s">
        <v>165</v>
      </c>
      <c r="C2154">
        <v>2</v>
      </c>
      <c r="D2154">
        <v>1</v>
      </c>
      <c r="E2154">
        <v>5</v>
      </c>
      <c r="F2154">
        <v>2295</v>
      </c>
    </row>
    <row r="2155" spans="1:6" x14ac:dyDescent="0.25">
      <c r="A2155" t="s">
        <v>163</v>
      </c>
      <c r="B2155" t="s">
        <v>165</v>
      </c>
      <c r="C2155">
        <v>2</v>
      </c>
      <c r="D2155">
        <v>1</v>
      </c>
      <c r="E2155">
        <v>6</v>
      </c>
      <c r="F2155">
        <v>76018</v>
      </c>
    </row>
    <row r="2156" spans="1:6" x14ac:dyDescent="0.25">
      <c r="A2156" t="s">
        <v>163</v>
      </c>
      <c r="B2156" t="s">
        <v>165</v>
      </c>
      <c r="C2156">
        <v>2</v>
      </c>
      <c r="D2156">
        <v>2</v>
      </c>
      <c r="E2156">
        <v>1</v>
      </c>
      <c r="F2156">
        <v>233497</v>
      </c>
    </row>
    <row r="2157" spans="1:6" x14ac:dyDescent="0.25">
      <c r="A2157" t="s">
        <v>163</v>
      </c>
      <c r="B2157" t="s">
        <v>165</v>
      </c>
      <c r="C2157">
        <v>2</v>
      </c>
      <c r="D2157">
        <v>2</v>
      </c>
      <c r="E2157">
        <v>2</v>
      </c>
      <c r="F2157">
        <v>16499</v>
      </c>
    </row>
    <row r="2158" spans="1:6" x14ac:dyDescent="0.25">
      <c r="A2158" t="s">
        <v>163</v>
      </c>
      <c r="B2158" t="s">
        <v>165</v>
      </c>
      <c r="C2158">
        <v>2</v>
      </c>
      <c r="D2158">
        <v>2</v>
      </c>
      <c r="E2158">
        <v>3</v>
      </c>
      <c r="F2158">
        <v>11230</v>
      </c>
    </row>
    <row r="2159" spans="1:6" x14ac:dyDescent="0.25">
      <c r="A2159" t="s">
        <v>163</v>
      </c>
      <c r="B2159" t="s">
        <v>165</v>
      </c>
      <c r="C2159">
        <v>2</v>
      </c>
      <c r="D2159">
        <v>2</v>
      </c>
      <c r="E2159">
        <v>4</v>
      </c>
      <c r="F2159">
        <v>3158</v>
      </c>
    </row>
    <row r="2160" spans="1:6" x14ac:dyDescent="0.25">
      <c r="A2160" t="s">
        <v>163</v>
      </c>
      <c r="B2160" t="s">
        <v>165</v>
      </c>
      <c r="C2160">
        <v>2</v>
      </c>
      <c r="D2160">
        <v>2</v>
      </c>
      <c r="E2160">
        <v>5</v>
      </c>
      <c r="F2160">
        <v>2213</v>
      </c>
    </row>
    <row r="2161" spans="1:6" x14ac:dyDescent="0.25">
      <c r="A2161" t="s">
        <v>163</v>
      </c>
      <c r="B2161" t="s">
        <v>165</v>
      </c>
      <c r="C2161">
        <v>2</v>
      </c>
      <c r="D2161">
        <v>2</v>
      </c>
      <c r="E2161">
        <v>6</v>
      </c>
      <c r="F2161">
        <v>10464</v>
      </c>
    </row>
    <row r="2162" spans="1:6" x14ac:dyDescent="0.25">
      <c r="A2162" t="s">
        <v>166</v>
      </c>
      <c r="B2162" t="s">
        <v>168</v>
      </c>
      <c r="C2162">
        <v>0</v>
      </c>
      <c r="D2162">
        <v>0</v>
      </c>
      <c r="E2162">
        <v>1</v>
      </c>
      <c r="F2162">
        <v>23840793</v>
      </c>
    </row>
    <row r="2163" spans="1:6" x14ac:dyDescent="0.25">
      <c r="A2163" t="s">
        <v>166</v>
      </c>
      <c r="B2163" t="s">
        <v>168</v>
      </c>
      <c r="C2163">
        <v>0</v>
      </c>
      <c r="D2163">
        <v>0</v>
      </c>
      <c r="E2163">
        <v>2</v>
      </c>
      <c r="F2163">
        <v>4288977</v>
      </c>
    </row>
    <row r="2164" spans="1:6" x14ac:dyDescent="0.25">
      <c r="A2164" t="s">
        <v>166</v>
      </c>
      <c r="B2164" t="s">
        <v>168</v>
      </c>
      <c r="C2164">
        <v>0</v>
      </c>
      <c r="D2164">
        <v>0</v>
      </c>
      <c r="E2164">
        <v>3</v>
      </c>
      <c r="F2164">
        <v>357871</v>
      </c>
    </row>
    <row r="2165" spans="1:6" x14ac:dyDescent="0.25">
      <c r="A2165" t="s">
        <v>166</v>
      </c>
      <c r="B2165" t="s">
        <v>168</v>
      </c>
      <c r="C2165">
        <v>0</v>
      </c>
      <c r="D2165">
        <v>0</v>
      </c>
      <c r="E2165">
        <v>4</v>
      </c>
      <c r="F2165">
        <v>2005779</v>
      </c>
    </row>
    <row r="2166" spans="1:6" x14ac:dyDescent="0.25">
      <c r="A2166" t="s">
        <v>166</v>
      </c>
      <c r="B2166" t="s">
        <v>168</v>
      </c>
      <c r="C2166">
        <v>0</v>
      </c>
      <c r="D2166">
        <v>0</v>
      </c>
      <c r="E2166">
        <v>5</v>
      </c>
      <c r="F2166">
        <v>52673</v>
      </c>
    </row>
    <row r="2167" spans="1:6" x14ac:dyDescent="0.25">
      <c r="A2167" t="s">
        <v>166</v>
      </c>
      <c r="B2167" t="s">
        <v>168</v>
      </c>
      <c r="C2167">
        <v>0</v>
      </c>
      <c r="D2167">
        <v>0</v>
      </c>
      <c r="E2167">
        <v>6</v>
      </c>
      <c r="F2167">
        <v>744738</v>
      </c>
    </row>
    <row r="2168" spans="1:6" x14ac:dyDescent="0.25">
      <c r="A2168" t="s">
        <v>166</v>
      </c>
      <c r="B2168" t="s">
        <v>168</v>
      </c>
      <c r="C2168">
        <v>0</v>
      </c>
      <c r="D2168">
        <v>1</v>
      </c>
      <c r="E2168">
        <v>1</v>
      </c>
      <c r="F2168">
        <v>12094093</v>
      </c>
    </row>
    <row r="2169" spans="1:6" x14ac:dyDescent="0.25">
      <c r="A2169" t="s">
        <v>166</v>
      </c>
      <c r="B2169" t="s">
        <v>168</v>
      </c>
      <c r="C2169">
        <v>0</v>
      </c>
      <c r="D2169">
        <v>1</v>
      </c>
      <c r="E2169">
        <v>2</v>
      </c>
      <c r="F2169">
        <v>3980643</v>
      </c>
    </row>
    <row r="2170" spans="1:6" x14ac:dyDescent="0.25">
      <c r="A2170" t="s">
        <v>166</v>
      </c>
      <c r="B2170" t="s">
        <v>168</v>
      </c>
      <c r="C2170">
        <v>0</v>
      </c>
      <c r="D2170">
        <v>1</v>
      </c>
      <c r="E2170">
        <v>3</v>
      </c>
      <c r="F2170">
        <v>100940</v>
      </c>
    </row>
    <row r="2171" spans="1:6" x14ac:dyDescent="0.25">
      <c r="A2171" t="s">
        <v>166</v>
      </c>
      <c r="B2171" t="s">
        <v>168</v>
      </c>
      <c r="C2171">
        <v>0</v>
      </c>
      <c r="D2171">
        <v>1</v>
      </c>
      <c r="E2171">
        <v>4</v>
      </c>
      <c r="F2171">
        <v>1935673</v>
      </c>
    </row>
    <row r="2172" spans="1:6" x14ac:dyDescent="0.25">
      <c r="A2172" t="s">
        <v>166</v>
      </c>
      <c r="B2172" t="s">
        <v>168</v>
      </c>
      <c r="C2172">
        <v>0</v>
      </c>
      <c r="D2172">
        <v>1</v>
      </c>
      <c r="E2172">
        <v>5</v>
      </c>
      <c r="F2172">
        <v>30917</v>
      </c>
    </row>
    <row r="2173" spans="1:6" x14ac:dyDescent="0.25">
      <c r="A2173" t="s">
        <v>166</v>
      </c>
      <c r="B2173" t="s">
        <v>168</v>
      </c>
      <c r="C2173">
        <v>0</v>
      </c>
      <c r="D2173">
        <v>1</v>
      </c>
      <c r="E2173">
        <v>6</v>
      </c>
      <c r="F2173">
        <v>546271</v>
      </c>
    </row>
    <row r="2174" spans="1:6" x14ac:dyDescent="0.25">
      <c r="A2174" t="s">
        <v>166</v>
      </c>
      <c r="B2174" t="s">
        <v>168</v>
      </c>
      <c r="C2174">
        <v>0</v>
      </c>
      <c r="D2174">
        <v>2</v>
      </c>
      <c r="E2174">
        <v>1</v>
      </c>
      <c r="F2174">
        <v>11746700</v>
      </c>
    </row>
    <row r="2175" spans="1:6" x14ac:dyDescent="0.25">
      <c r="A2175" t="s">
        <v>166</v>
      </c>
      <c r="B2175" t="s">
        <v>168</v>
      </c>
      <c r="C2175">
        <v>0</v>
      </c>
      <c r="D2175">
        <v>2</v>
      </c>
      <c r="E2175">
        <v>2</v>
      </c>
      <c r="F2175">
        <v>308334</v>
      </c>
    </row>
    <row r="2176" spans="1:6" x14ac:dyDescent="0.25">
      <c r="A2176" t="s">
        <v>166</v>
      </c>
      <c r="B2176" t="s">
        <v>168</v>
      </c>
      <c r="C2176">
        <v>0</v>
      </c>
      <c r="D2176">
        <v>2</v>
      </c>
      <c r="E2176">
        <v>3</v>
      </c>
      <c r="F2176">
        <v>256931</v>
      </c>
    </row>
    <row r="2177" spans="1:6" x14ac:dyDescent="0.25">
      <c r="A2177" t="s">
        <v>166</v>
      </c>
      <c r="B2177" t="s">
        <v>168</v>
      </c>
      <c r="C2177">
        <v>0</v>
      </c>
      <c r="D2177">
        <v>2</v>
      </c>
      <c r="E2177">
        <v>4</v>
      </c>
      <c r="F2177">
        <v>70106</v>
      </c>
    </row>
    <row r="2178" spans="1:6" x14ac:dyDescent="0.25">
      <c r="A2178" t="s">
        <v>166</v>
      </c>
      <c r="B2178" t="s">
        <v>168</v>
      </c>
      <c r="C2178">
        <v>0</v>
      </c>
      <c r="D2178">
        <v>2</v>
      </c>
      <c r="E2178">
        <v>5</v>
      </c>
      <c r="F2178">
        <v>21756</v>
      </c>
    </row>
    <row r="2179" spans="1:6" x14ac:dyDescent="0.25">
      <c r="A2179" t="s">
        <v>166</v>
      </c>
      <c r="B2179" t="s">
        <v>168</v>
      </c>
      <c r="C2179">
        <v>0</v>
      </c>
      <c r="D2179">
        <v>2</v>
      </c>
      <c r="E2179">
        <v>6</v>
      </c>
      <c r="F2179">
        <v>198467</v>
      </c>
    </row>
    <row r="2180" spans="1:6" x14ac:dyDescent="0.25">
      <c r="A2180" t="s">
        <v>166</v>
      </c>
      <c r="B2180" t="s">
        <v>168</v>
      </c>
      <c r="C2180">
        <v>1</v>
      </c>
      <c r="D2180">
        <v>0</v>
      </c>
      <c r="E2180">
        <v>1</v>
      </c>
      <c r="F2180">
        <v>11960108</v>
      </c>
    </row>
    <row r="2181" spans="1:6" x14ac:dyDescent="0.25">
      <c r="A2181" t="s">
        <v>166</v>
      </c>
      <c r="B2181" t="s">
        <v>168</v>
      </c>
      <c r="C2181">
        <v>1</v>
      </c>
      <c r="D2181">
        <v>0</v>
      </c>
      <c r="E2181">
        <v>2</v>
      </c>
      <c r="F2181">
        <v>2081937</v>
      </c>
    </row>
    <row r="2182" spans="1:6" x14ac:dyDescent="0.25">
      <c r="A2182" t="s">
        <v>166</v>
      </c>
      <c r="B2182" t="s">
        <v>168</v>
      </c>
      <c r="C2182">
        <v>1</v>
      </c>
      <c r="D2182">
        <v>0</v>
      </c>
      <c r="E2182">
        <v>3</v>
      </c>
      <c r="F2182">
        <v>185275</v>
      </c>
    </row>
    <row r="2183" spans="1:6" x14ac:dyDescent="0.25">
      <c r="A2183" t="s">
        <v>166</v>
      </c>
      <c r="B2183" t="s">
        <v>168</v>
      </c>
      <c r="C2183">
        <v>1</v>
      </c>
      <c r="D2183">
        <v>0</v>
      </c>
      <c r="E2183">
        <v>4</v>
      </c>
      <c r="F2183">
        <v>990735</v>
      </c>
    </row>
    <row r="2184" spans="1:6" x14ac:dyDescent="0.25">
      <c r="A2184" t="s">
        <v>166</v>
      </c>
      <c r="B2184" t="s">
        <v>168</v>
      </c>
      <c r="C2184">
        <v>1</v>
      </c>
      <c r="D2184">
        <v>0</v>
      </c>
      <c r="E2184">
        <v>5</v>
      </c>
      <c r="F2184">
        <v>26448</v>
      </c>
    </row>
    <row r="2185" spans="1:6" x14ac:dyDescent="0.25">
      <c r="A2185" t="s">
        <v>166</v>
      </c>
      <c r="B2185" t="s">
        <v>168</v>
      </c>
      <c r="C2185">
        <v>1</v>
      </c>
      <c r="D2185">
        <v>0</v>
      </c>
      <c r="E2185">
        <v>6</v>
      </c>
      <c r="F2185">
        <v>373168</v>
      </c>
    </row>
    <row r="2186" spans="1:6" x14ac:dyDescent="0.25">
      <c r="A2186" t="s">
        <v>166</v>
      </c>
      <c r="B2186" t="s">
        <v>168</v>
      </c>
      <c r="C2186">
        <v>1</v>
      </c>
      <c r="D2186">
        <v>1</v>
      </c>
      <c r="E2186">
        <v>1</v>
      </c>
      <c r="F2186">
        <v>6032811</v>
      </c>
    </row>
    <row r="2187" spans="1:6" x14ac:dyDescent="0.25">
      <c r="A2187" t="s">
        <v>166</v>
      </c>
      <c r="B2187" t="s">
        <v>168</v>
      </c>
      <c r="C2187">
        <v>1</v>
      </c>
      <c r="D2187">
        <v>1</v>
      </c>
      <c r="E2187">
        <v>2</v>
      </c>
      <c r="F2187">
        <v>1928988</v>
      </c>
    </row>
    <row r="2188" spans="1:6" x14ac:dyDescent="0.25">
      <c r="A2188" t="s">
        <v>166</v>
      </c>
      <c r="B2188" t="s">
        <v>168</v>
      </c>
      <c r="C2188">
        <v>1</v>
      </c>
      <c r="D2188">
        <v>1</v>
      </c>
      <c r="E2188">
        <v>3</v>
      </c>
      <c r="F2188">
        <v>50513</v>
      </c>
    </row>
    <row r="2189" spans="1:6" x14ac:dyDescent="0.25">
      <c r="A2189" t="s">
        <v>166</v>
      </c>
      <c r="B2189" t="s">
        <v>168</v>
      </c>
      <c r="C2189">
        <v>1</v>
      </c>
      <c r="D2189">
        <v>1</v>
      </c>
      <c r="E2189">
        <v>4</v>
      </c>
      <c r="F2189">
        <v>955226</v>
      </c>
    </row>
    <row r="2190" spans="1:6" x14ac:dyDescent="0.25">
      <c r="A2190" t="s">
        <v>166</v>
      </c>
      <c r="B2190" t="s">
        <v>168</v>
      </c>
      <c r="C2190">
        <v>1</v>
      </c>
      <c r="D2190">
        <v>1</v>
      </c>
      <c r="E2190">
        <v>5</v>
      </c>
      <c r="F2190">
        <v>15149</v>
      </c>
    </row>
    <row r="2191" spans="1:6" x14ac:dyDescent="0.25">
      <c r="A2191" t="s">
        <v>166</v>
      </c>
      <c r="B2191" t="s">
        <v>168</v>
      </c>
      <c r="C2191">
        <v>1</v>
      </c>
      <c r="D2191">
        <v>1</v>
      </c>
      <c r="E2191">
        <v>6</v>
      </c>
      <c r="F2191">
        <v>271845</v>
      </c>
    </row>
    <row r="2192" spans="1:6" x14ac:dyDescent="0.25">
      <c r="A2192" t="s">
        <v>166</v>
      </c>
      <c r="B2192" t="s">
        <v>168</v>
      </c>
      <c r="C2192">
        <v>1</v>
      </c>
      <c r="D2192">
        <v>2</v>
      </c>
      <c r="E2192">
        <v>1</v>
      </c>
      <c r="F2192">
        <v>5927297</v>
      </c>
    </row>
    <row r="2193" spans="1:6" x14ac:dyDescent="0.25">
      <c r="A2193" t="s">
        <v>166</v>
      </c>
      <c r="B2193" t="s">
        <v>168</v>
      </c>
      <c r="C2193">
        <v>1</v>
      </c>
      <c r="D2193">
        <v>2</v>
      </c>
      <c r="E2193">
        <v>2</v>
      </c>
      <c r="F2193">
        <v>152949</v>
      </c>
    </row>
    <row r="2194" spans="1:6" x14ac:dyDescent="0.25">
      <c r="A2194" t="s">
        <v>166</v>
      </c>
      <c r="B2194" t="s">
        <v>168</v>
      </c>
      <c r="C2194">
        <v>1</v>
      </c>
      <c r="D2194">
        <v>2</v>
      </c>
      <c r="E2194">
        <v>3</v>
      </c>
      <c r="F2194">
        <v>134762</v>
      </c>
    </row>
    <row r="2195" spans="1:6" x14ac:dyDescent="0.25">
      <c r="A2195" t="s">
        <v>166</v>
      </c>
      <c r="B2195" t="s">
        <v>168</v>
      </c>
      <c r="C2195">
        <v>1</v>
      </c>
      <c r="D2195">
        <v>2</v>
      </c>
      <c r="E2195">
        <v>4</v>
      </c>
      <c r="F2195">
        <v>35509</v>
      </c>
    </row>
    <row r="2196" spans="1:6" x14ac:dyDescent="0.25">
      <c r="A2196" t="s">
        <v>166</v>
      </c>
      <c r="B2196" t="s">
        <v>168</v>
      </c>
      <c r="C2196">
        <v>1</v>
      </c>
      <c r="D2196">
        <v>2</v>
      </c>
      <c r="E2196">
        <v>5</v>
      </c>
      <c r="F2196">
        <v>11299</v>
      </c>
    </row>
    <row r="2197" spans="1:6" x14ac:dyDescent="0.25">
      <c r="A2197" t="s">
        <v>166</v>
      </c>
      <c r="B2197" t="s">
        <v>168</v>
      </c>
      <c r="C2197">
        <v>1</v>
      </c>
      <c r="D2197">
        <v>2</v>
      </c>
      <c r="E2197">
        <v>6</v>
      </c>
      <c r="F2197">
        <v>101323</v>
      </c>
    </row>
    <row r="2198" spans="1:6" x14ac:dyDescent="0.25">
      <c r="A2198" t="s">
        <v>166</v>
      </c>
      <c r="B2198" t="s">
        <v>168</v>
      </c>
      <c r="C2198">
        <v>2</v>
      </c>
      <c r="D2198">
        <v>0</v>
      </c>
      <c r="E2198">
        <v>1</v>
      </c>
      <c r="F2198">
        <v>11880685</v>
      </c>
    </row>
    <row r="2199" spans="1:6" x14ac:dyDescent="0.25">
      <c r="A2199" t="s">
        <v>166</v>
      </c>
      <c r="B2199" t="s">
        <v>168</v>
      </c>
      <c r="C2199">
        <v>2</v>
      </c>
      <c r="D2199">
        <v>0</v>
      </c>
      <c r="E2199">
        <v>2</v>
      </c>
      <c r="F2199">
        <v>2207040</v>
      </c>
    </row>
    <row r="2200" spans="1:6" x14ac:dyDescent="0.25">
      <c r="A2200" t="s">
        <v>166</v>
      </c>
      <c r="B2200" t="s">
        <v>168</v>
      </c>
      <c r="C2200">
        <v>2</v>
      </c>
      <c r="D2200">
        <v>0</v>
      </c>
      <c r="E2200">
        <v>3</v>
      </c>
      <c r="F2200">
        <v>172596</v>
      </c>
    </row>
    <row r="2201" spans="1:6" x14ac:dyDescent="0.25">
      <c r="A2201" t="s">
        <v>166</v>
      </c>
      <c r="B2201" t="s">
        <v>168</v>
      </c>
      <c r="C2201">
        <v>2</v>
      </c>
      <c r="D2201">
        <v>0</v>
      </c>
      <c r="E2201">
        <v>4</v>
      </c>
      <c r="F2201">
        <v>1015044</v>
      </c>
    </row>
    <row r="2202" spans="1:6" x14ac:dyDescent="0.25">
      <c r="A2202" t="s">
        <v>166</v>
      </c>
      <c r="B2202" t="s">
        <v>168</v>
      </c>
      <c r="C2202">
        <v>2</v>
      </c>
      <c r="D2202">
        <v>0</v>
      </c>
      <c r="E2202">
        <v>5</v>
      </c>
      <c r="F2202">
        <v>26225</v>
      </c>
    </row>
    <row r="2203" spans="1:6" x14ac:dyDescent="0.25">
      <c r="A2203" t="s">
        <v>166</v>
      </c>
      <c r="B2203" t="s">
        <v>168</v>
      </c>
      <c r="C2203">
        <v>2</v>
      </c>
      <c r="D2203">
        <v>0</v>
      </c>
      <c r="E2203">
        <v>6</v>
      </c>
      <c r="F2203">
        <v>371570</v>
      </c>
    </row>
    <row r="2204" spans="1:6" x14ac:dyDescent="0.25">
      <c r="A2204" t="s">
        <v>166</v>
      </c>
      <c r="B2204" t="s">
        <v>168</v>
      </c>
      <c r="C2204">
        <v>2</v>
      </c>
      <c r="D2204">
        <v>1</v>
      </c>
      <c r="E2204">
        <v>1</v>
      </c>
      <c r="F2204">
        <v>6061282</v>
      </c>
    </row>
    <row r="2205" spans="1:6" x14ac:dyDescent="0.25">
      <c r="A2205" t="s">
        <v>166</v>
      </c>
      <c r="B2205" t="s">
        <v>168</v>
      </c>
      <c r="C2205">
        <v>2</v>
      </c>
      <c r="D2205">
        <v>1</v>
      </c>
      <c r="E2205">
        <v>2</v>
      </c>
      <c r="F2205">
        <v>2051655</v>
      </c>
    </row>
    <row r="2206" spans="1:6" x14ac:dyDescent="0.25">
      <c r="A2206" t="s">
        <v>166</v>
      </c>
      <c r="B2206" t="s">
        <v>168</v>
      </c>
      <c r="C2206">
        <v>2</v>
      </c>
      <c r="D2206">
        <v>1</v>
      </c>
      <c r="E2206">
        <v>3</v>
      </c>
      <c r="F2206">
        <v>50427</v>
      </c>
    </row>
    <row r="2207" spans="1:6" x14ac:dyDescent="0.25">
      <c r="A2207" t="s">
        <v>166</v>
      </c>
      <c r="B2207" t="s">
        <v>168</v>
      </c>
      <c r="C2207">
        <v>2</v>
      </c>
      <c r="D2207">
        <v>1</v>
      </c>
      <c r="E2207">
        <v>4</v>
      </c>
      <c r="F2207">
        <v>980447</v>
      </c>
    </row>
    <row r="2208" spans="1:6" x14ac:dyDescent="0.25">
      <c r="A2208" t="s">
        <v>166</v>
      </c>
      <c r="B2208" t="s">
        <v>168</v>
      </c>
      <c r="C2208">
        <v>2</v>
      </c>
      <c r="D2208">
        <v>1</v>
      </c>
      <c r="E2208">
        <v>5</v>
      </c>
      <c r="F2208">
        <v>15768</v>
      </c>
    </row>
    <row r="2209" spans="1:6" x14ac:dyDescent="0.25">
      <c r="A2209" t="s">
        <v>166</v>
      </c>
      <c r="B2209" t="s">
        <v>168</v>
      </c>
      <c r="C2209">
        <v>2</v>
      </c>
      <c r="D2209">
        <v>1</v>
      </c>
      <c r="E2209">
        <v>6</v>
      </c>
      <c r="F2209">
        <v>274426</v>
      </c>
    </row>
    <row r="2210" spans="1:6" x14ac:dyDescent="0.25">
      <c r="A2210" t="s">
        <v>166</v>
      </c>
      <c r="B2210" t="s">
        <v>168</v>
      </c>
      <c r="C2210">
        <v>2</v>
      </c>
      <c r="D2210">
        <v>2</v>
      </c>
      <c r="E2210">
        <v>1</v>
      </c>
      <c r="F2210">
        <v>5819403</v>
      </c>
    </row>
    <row r="2211" spans="1:6" x14ac:dyDescent="0.25">
      <c r="A2211" t="s">
        <v>166</v>
      </c>
      <c r="B2211" t="s">
        <v>168</v>
      </c>
      <c r="C2211">
        <v>2</v>
      </c>
      <c r="D2211">
        <v>2</v>
      </c>
      <c r="E2211">
        <v>2</v>
      </c>
      <c r="F2211">
        <v>155385</v>
      </c>
    </row>
    <row r="2212" spans="1:6" x14ac:dyDescent="0.25">
      <c r="A2212" t="s">
        <v>166</v>
      </c>
      <c r="B2212" t="s">
        <v>168</v>
      </c>
      <c r="C2212">
        <v>2</v>
      </c>
      <c r="D2212">
        <v>2</v>
      </c>
      <c r="E2212">
        <v>3</v>
      </c>
      <c r="F2212">
        <v>122169</v>
      </c>
    </row>
    <row r="2213" spans="1:6" x14ac:dyDescent="0.25">
      <c r="A2213" t="s">
        <v>166</v>
      </c>
      <c r="B2213" t="s">
        <v>168</v>
      </c>
      <c r="C2213">
        <v>2</v>
      </c>
      <c r="D2213">
        <v>2</v>
      </c>
      <c r="E2213">
        <v>4</v>
      </c>
      <c r="F2213">
        <v>34597</v>
      </c>
    </row>
    <row r="2214" spans="1:6" x14ac:dyDescent="0.25">
      <c r="A2214" t="s">
        <v>166</v>
      </c>
      <c r="B2214" t="s">
        <v>168</v>
      </c>
      <c r="C2214">
        <v>2</v>
      </c>
      <c r="D2214">
        <v>2</v>
      </c>
      <c r="E2214">
        <v>5</v>
      </c>
      <c r="F2214">
        <v>10457</v>
      </c>
    </row>
    <row r="2215" spans="1:6" x14ac:dyDescent="0.25">
      <c r="A2215" t="s">
        <v>166</v>
      </c>
      <c r="B2215" t="s">
        <v>168</v>
      </c>
      <c r="C2215">
        <v>2</v>
      </c>
      <c r="D2215">
        <v>2</v>
      </c>
      <c r="E2215">
        <v>6</v>
      </c>
      <c r="F2215">
        <v>97144</v>
      </c>
    </row>
    <row r="2216" spans="1:6" x14ac:dyDescent="0.25">
      <c r="A2216" t="s">
        <v>169</v>
      </c>
      <c r="B2216" t="s">
        <v>171</v>
      </c>
      <c r="C2216">
        <v>0</v>
      </c>
      <c r="D2216">
        <v>0</v>
      </c>
      <c r="E2216">
        <v>1</v>
      </c>
      <c r="F2216">
        <v>3125961</v>
      </c>
    </row>
    <row r="2217" spans="1:6" x14ac:dyDescent="0.25">
      <c r="A2217" t="s">
        <v>169</v>
      </c>
      <c r="B2217" t="s">
        <v>171</v>
      </c>
      <c r="C2217">
        <v>0</v>
      </c>
      <c r="D2217">
        <v>0</v>
      </c>
      <c r="E2217">
        <v>2</v>
      </c>
      <c r="F2217">
        <v>60830</v>
      </c>
    </row>
    <row r="2218" spans="1:6" x14ac:dyDescent="0.25">
      <c r="A2218" t="s">
        <v>169</v>
      </c>
      <c r="B2218" t="s">
        <v>171</v>
      </c>
      <c r="C2218">
        <v>0</v>
      </c>
      <c r="D2218">
        <v>0</v>
      </c>
      <c r="E2218">
        <v>3</v>
      </c>
      <c r="F2218">
        <v>56809</v>
      </c>
    </row>
    <row r="2219" spans="1:6" x14ac:dyDescent="0.25">
      <c r="A2219" t="s">
        <v>169</v>
      </c>
      <c r="B2219" t="s">
        <v>171</v>
      </c>
      <c r="C2219">
        <v>0</v>
      </c>
      <c r="D2219">
        <v>0</v>
      </c>
      <c r="E2219">
        <v>4</v>
      </c>
      <c r="F2219">
        <v>109998</v>
      </c>
    </row>
    <row r="2220" spans="1:6" x14ac:dyDescent="0.25">
      <c r="A2220" t="s">
        <v>169</v>
      </c>
      <c r="B2220" t="s">
        <v>171</v>
      </c>
      <c r="C2220">
        <v>0</v>
      </c>
      <c r="D2220">
        <v>0</v>
      </c>
      <c r="E2220">
        <v>5</v>
      </c>
      <c r="F2220">
        <v>41878</v>
      </c>
    </row>
    <row r="2221" spans="1:6" x14ac:dyDescent="0.25">
      <c r="A2221" t="s">
        <v>169</v>
      </c>
      <c r="B2221" t="s">
        <v>171</v>
      </c>
      <c r="C2221">
        <v>0</v>
      </c>
      <c r="D2221">
        <v>0</v>
      </c>
      <c r="E2221">
        <v>6</v>
      </c>
      <c r="F2221">
        <v>108137</v>
      </c>
    </row>
    <row r="2222" spans="1:6" x14ac:dyDescent="0.25">
      <c r="A2222" t="s">
        <v>169</v>
      </c>
      <c r="B2222" t="s">
        <v>171</v>
      </c>
      <c r="C2222">
        <v>0</v>
      </c>
      <c r="D2222">
        <v>1</v>
      </c>
      <c r="E2222">
        <v>1</v>
      </c>
      <c r="F2222">
        <v>2606049</v>
      </c>
    </row>
    <row r="2223" spans="1:6" x14ac:dyDescent="0.25">
      <c r="A2223" t="s">
        <v>169</v>
      </c>
      <c r="B2223" t="s">
        <v>171</v>
      </c>
      <c r="C2223">
        <v>0</v>
      </c>
      <c r="D2223">
        <v>1</v>
      </c>
      <c r="E2223">
        <v>2</v>
      </c>
      <c r="F2223">
        <v>46897</v>
      </c>
    </row>
    <row r="2224" spans="1:6" x14ac:dyDescent="0.25">
      <c r="A2224" t="s">
        <v>169</v>
      </c>
      <c r="B2224" t="s">
        <v>171</v>
      </c>
      <c r="C2224">
        <v>0</v>
      </c>
      <c r="D2224">
        <v>1</v>
      </c>
      <c r="E2224">
        <v>3</v>
      </c>
      <c r="F2224">
        <v>30404</v>
      </c>
    </row>
    <row r="2225" spans="1:6" x14ac:dyDescent="0.25">
      <c r="A2225" t="s">
        <v>169</v>
      </c>
      <c r="B2225" t="s">
        <v>171</v>
      </c>
      <c r="C2225">
        <v>0</v>
      </c>
      <c r="D2225">
        <v>1</v>
      </c>
      <c r="E2225">
        <v>4</v>
      </c>
      <c r="F2225">
        <v>103763</v>
      </c>
    </row>
    <row r="2226" spans="1:6" x14ac:dyDescent="0.25">
      <c r="A2226" t="s">
        <v>169</v>
      </c>
      <c r="B2226" t="s">
        <v>171</v>
      </c>
      <c r="C2226">
        <v>0</v>
      </c>
      <c r="D2226">
        <v>1</v>
      </c>
      <c r="E2226">
        <v>5</v>
      </c>
      <c r="F2226">
        <v>38241</v>
      </c>
    </row>
    <row r="2227" spans="1:6" x14ac:dyDescent="0.25">
      <c r="A2227" t="s">
        <v>169</v>
      </c>
      <c r="B2227" t="s">
        <v>171</v>
      </c>
      <c r="C2227">
        <v>0</v>
      </c>
      <c r="D2227">
        <v>1</v>
      </c>
      <c r="E2227">
        <v>6</v>
      </c>
      <c r="F2227">
        <v>85846</v>
      </c>
    </row>
    <row r="2228" spans="1:6" x14ac:dyDescent="0.25">
      <c r="A2228" t="s">
        <v>169</v>
      </c>
      <c r="B2228" t="s">
        <v>171</v>
      </c>
      <c r="C2228">
        <v>0</v>
      </c>
      <c r="D2228">
        <v>2</v>
      </c>
      <c r="E2228">
        <v>1</v>
      </c>
      <c r="F2228">
        <v>519912</v>
      </c>
    </row>
    <row r="2229" spans="1:6" x14ac:dyDescent="0.25">
      <c r="A2229" t="s">
        <v>169</v>
      </c>
      <c r="B2229" t="s">
        <v>171</v>
      </c>
      <c r="C2229">
        <v>0</v>
      </c>
      <c r="D2229">
        <v>2</v>
      </c>
      <c r="E2229">
        <v>2</v>
      </c>
      <c r="F2229">
        <v>13933</v>
      </c>
    </row>
    <row r="2230" spans="1:6" x14ac:dyDescent="0.25">
      <c r="A2230" t="s">
        <v>169</v>
      </c>
      <c r="B2230" t="s">
        <v>171</v>
      </c>
      <c r="C2230">
        <v>0</v>
      </c>
      <c r="D2230">
        <v>2</v>
      </c>
      <c r="E2230">
        <v>3</v>
      </c>
      <c r="F2230">
        <v>26405</v>
      </c>
    </row>
    <row r="2231" spans="1:6" x14ac:dyDescent="0.25">
      <c r="A2231" t="s">
        <v>169</v>
      </c>
      <c r="B2231" t="s">
        <v>171</v>
      </c>
      <c r="C2231">
        <v>0</v>
      </c>
      <c r="D2231">
        <v>2</v>
      </c>
      <c r="E2231">
        <v>4</v>
      </c>
      <c r="F2231">
        <v>6235</v>
      </c>
    </row>
    <row r="2232" spans="1:6" x14ac:dyDescent="0.25">
      <c r="A2232" t="s">
        <v>169</v>
      </c>
      <c r="B2232" t="s">
        <v>171</v>
      </c>
      <c r="C2232">
        <v>0</v>
      </c>
      <c r="D2232">
        <v>2</v>
      </c>
      <c r="E2232">
        <v>5</v>
      </c>
      <c r="F2232">
        <v>3637</v>
      </c>
    </row>
    <row r="2233" spans="1:6" x14ac:dyDescent="0.25">
      <c r="A2233" t="s">
        <v>169</v>
      </c>
      <c r="B2233" t="s">
        <v>171</v>
      </c>
      <c r="C2233">
        <v>0</v>
      </c>
      <c r="D2233">
        <v>2</v>
      </c>
      <c r="E2233">
        <v>6</v>
      </c>
      <c r="F2233">
        <v>22291</v>
      </c>
    </row>
    <row r="2234" spans="1:6" x14ac:dyDescent="0.25">
      <c r="A2234" t="s">
        <v>169</v>
      </c>
      <c r="B2234" t="s">
        <v>171</v>
      </c>
      <c r="C2234">
        <v>1</v>
      </c>
      <c r="D2234">
        <v>0</v>
      </c>
      <c r="E2234">
        <v>1</v>
      </c>
      <c r="F2234">
        <v>1584274</v>
      </c>
    </row>
    <row r="2235" spans="1:6" x14ac:dyDescent="0.25">
      <c r="A2235" t="s">
        <v>169</v>
      </c>
      <c r="B2235" t="s">
        <v>171</v>
      </c>
      <c r="C2235">
        <v>1</v>
      </c>
      <c r="D2235">
        <v>0</v>
      </c>
      <c r="E2235">
        <v>2</v>
      </c>
      <c r="F2235">
        <v>34478</v>
      </c>
    </row>
    <row r="2236" spans="1:6" x14ac:dyDescent="0.25">
      <c r="A2236" t="s">
        <v>169</v>
      </c>
      <c r="B2236" t="s">
        <v>171</v>
      </c>
      <c r="C2236">
        <v>1</v>
      </c>
      <c r="D2236">
        <v>0</v>
      </c>
      <c r="E2236">
        <v>3</v>
      </c>
      <c r="F2236">
        <v>28419</v>
      </c>
    </row>
    <row r="2237" spans="1:6" x14ac:dyDescent="0.25">
      <c r="A2237" t="s">
        <v>169</v>
      </c>
      <c r="B2237" t="s">
        <v>171</v>
      </c>
      <c r="C2237">
        <v>1</v>
      </c>
      <c r="D2237">
        <v>0</v>
      </c>
      <c r="E2237">
        <v>4</v>
      </c>
      <c r="F2237">
        <v>51722</v>
      </c>
    </row>
    <row r="2238" spans="1:6" x14ac:dyDescent="0.25">
      <c r="A2238" t="s">
        <v>169</v>
      </c>
      <c r="B2238" t="s">
        <v>171</v>
      </c>
      <c r="C2238">
        <v>1</v>
      </c>
      <c r="D2238">
        <v>0</v>
      </c>
      <c r="E2238">
        <v>5</v>
      </c>
      <c r="F2238">
        <v>22049</v>
      </c>
    </row>
    <row r="2239" spans="1:6" x14ac:dyDescent="0.25">
      <c r="A2239" t="s">
        <v>169</v>
      </c>
      <c r="B2239" t="s">
        <v>171</v>
      </c>
      <c r="C2239">
        <v>1</v>
      </c>
      <c r="D2239">
        <v>0</v>
      </c>
      <c r="E2239">
        <v>6</v>
      </c>
      <c r="F2239">
        <v>55255</v>
      </c>
    </row>
    <row r="2240" spans="1:6" x14ac:dyDescent="0.25">
      <c r="A2240" t="s">
        <v>169</v>
      </c>
      <c r="B2240" t="s">
        <v>171</v>
      </c>
      <c r="C2240">
        <v>1</v>
      </c>
      <c r="D2240">
        <v>1</v>
      </c>
      <c r="E2240">
        <v>1</v>
      </c>
      <c r="F2240">
        <v>1317397</v>
      </c>
    </row>
    <row r="2241" spans="1:6" x14ac:dyDescent="0.25">
      <c r="A2241" t="s">
        <v>169</v>
      </c>
      <c r="B2241" t="s">
        <v>171</v>
      </c>
      <c r="C2241">
        <v>1</v>
      </c>
      <c r="D2241">
        <v>1</v>
      </c>
      <c r="E2241">
        <v>2</v>
      </c>
      <c r="F2241">
        <v>27112</v>
      </c>
    </row>
    <row r="2242" spans="1:6" x14ac:dyDescent="0.25">
      <c r="A2242" t="s">
        <v>169</v>
      </c>
      <c r="B2242" t="s">
        <v>171</v>
      </c>
      <c r="C2242">
        <v>1</v>
      </c>
      <c r="D2242">
        <v>1</v>
      </c>
      <c r="E2242">
        <v>3</v>
      </c>
      <c r="F2242">
        <v>14978</v>
      </c>
    </row>
    <row r="2243" spans="1:6" x14ac:dyDescent="0.25">
      <c r="A2243" t="s">
        <v>169</v>
      </c>
      <c r="B2243" t="s">
        <v>171</v>
      </c>
      <c r="C2243">
        <v>1</v>
      </c>
      <c r="D2243">
        <v>1</v>
      </c>
      <c r="E2243">
        <v>4</v>
      </c>
      <c r="F2243">
        <v>48491</v>
      </c>
    </row>
    <row r="2244" spans="1:6" x14ac:dyDescent="0.25">
      <c r="A2244" t="s">
        <v>169</v>
      </c>
      <c r="B2244" t="s">
        <v>171</v>
      </c>
      <c r="C2244">
        <v>1</v>
      </c>
      <c r="D2244">
        <v>1</v>
      </c>
      <c r="E2244">
        <v>5</v>
      </c>
      <c r="F2244">
        <v>20167</v>
      </c>
    </row>
    <row r="2245" spans="1:6" x14ac:dyDescent="0.25">
      <c r="A2245" t="s">
        <v>169</v>
      </c>
      <c r="B2245" t="s">
        <v>171</v>
      </c>
      <c r="C2245">
        <v>1</v>
      </c>
      <c r="D2245">
        <v>1</v>
      </c>
      <c r="E2245">
        <v>6</v>
      </c>
      <c r="F2245">
        <v>43980</v>
      </c>
    </row>
    <row r="2246" spans="1:6" x14ac:dyDescent="0.25">
      <c r="A2246" t="s">
        <v>169</v>
      </c>
      <c r="B2246" t="s">
        <v>171</v>
      </c>
      <c r="C2246">
        <v>1</v>
      </c>
      <c r="D2246">
        <v>2</v>
      </c>
      <c r="E2246">
        <v>1</v>
      </c>
      <c r="F2246">
        <v>266877</v>
      </c>
    </row>
    <row r="2247" spans="1:6" x14ac:dyDescent="0.25">
      <c r="A2247" t="s">
        <v>169</v>
      </c>
      <c r="B2247" t="s">
        <v>171</v>
      </c>
      <c r="C2247">
        <v>1</v>
      </c>
      <c r="D2247">
        <v>2</v>
      </c>
      <c r="E2247">
        <v>2</v>
      </c>
      <c r="F2247">
        <v>7366</v>
      </c>
    </row>
    <row r="2248" spans="1:6" x14ac:dyDescent="0.25">
      <c r="A2248" t="s">
        <v>169</v>
      </c>
      <c r="B2248" t="s">
        <v>171</v>
      </c>
      <c r="C2248">
        <v>1</v>
      </c>
      <c r="D2248">
        <v>2</v>
      </c>
      <c r="E2248">
        <v>3</v>
      </c>
      <c r="F2248">
        <v>13441</v>
      </c>
    </row>
    <row r="2249" spans="1:6" x14ac:dyDescent="0.25">
      <c r="A2249" t="s">
        <v>169</v>
      </c>
      <c r="B2249" t="s">
        <v>171</v>
      </c>
      <c r="C2249">
        <v>1</v>
      </c>
      <c r="D2249">
        <v>2</v>
      </c>
      <c r="E2249">
        <v>4</v>
      </c>
      <c r="F2249">
        <v>3231</v>
      </c>
    </row>
    <row r="2250" spans="1:6" x14ac:dyDescent="0.25">
      <c r="A2250" t="s">
        <v>169</v>
      </c>
      <c r="B2250" t="s">
        <v>171</v>
      </c>
      <c r="C2250">
        <v>1</v>
      </c>
      <c r="D2250">
        <v>2</v>
      </c>
      <c r="E2250">
        <v>5</v>
      </c>
      <c r="F2250">
        <v>1882</v>
      </c>
    </row>
    <row r="2251" spans="1:6" x14ac:dyDescent="0.25">
      <c r="A2251" t="s">
        <v>169</v>
      </c>
      <c r="B2251" t="s">
        <v>171</v>
      </c>
      <c r="C2251">
        <v>1</v>
      </c>
      <c r="D2251">
        <v>2</v>
      </c>
      <c r="E2251">
        <v>6</v>
      </c>
      <c r="F2251">
        <v>11275</v>
      </c>
    </row>
    <row r="2252" spans="1:6" x14ac:dyDescent="0.25">
      <c r="A2252" t="s">
        <v>169</v>
      </c>
      <c r="B2252" t="s">
        <v>171</v>
      </c>
      <c r="C2252">
        <v>2</v>
      </c>
      <c r="D2252">
        <v>0</v>
      </c>
      <c r="E2252">
        <v>1</v>
      </c>
      <c r="F2252">
        <v>1541687</v>
      </c>
    </row>
    <row r="2253" spans="1:6" x14ac:dyDescent="0.25">
      <c r="A2253" t="s">
        <v>169</v>
      </c>
      <c r="B2253" t="s">
        <v>171</v>
      </c>
      <c r="C2253">
        <v>2</v>
      </c>
      <c r="D2253">
        <v>0</v>
      </c>
      <c r="E2253">
        <v>2</v>
      </c>
      <c r="F2253">
        <v>26352</v>
      </c>
    </row>
    <row r="2254" spans="1:6" x14ac:dyDescent="0.25">
      <c r="A2254" t="s">
        <v>169</v>
      </c>
      <c r="B2254" t="s">
        <v>171</v>
      </c>
      <c r="C2254">
        <v>2</v>
      </c>
      <c r="D2254">
        <v>0</v>
      </c>
      <c r="E2254">
        <v>3</v>
      </c>
      <c r="F2254">
        <v>28390</v>
      </c>
    </row>
    <row r="2255" spans="1:6" x14ac:dyDescent="0.25">
      <c r="A2255" t="s">
        <v>169</v>
      </c>
      <c r="B2255" t="s">
        <v>171</v>
      </c>
      <c r="C2255">
        <v>2</v>
      </c>
      <c r="D2255">
        <v>0</v>
      </c>
      <c r="E2255">
        <v>4</v>
      </c>
      <c r="F2255">
        <v>58276</v>
      </c>
    </row>
    <row r="2256" spans="1:6" x14ac:dyDescent="0.25">
      <c r="A2256" t="s">
        <v>169</v>
      </c>
      <c r="B2256" t="s">
        <v>171</v>
      </c>
      <c r="C2256">
        <v>2</v>
      </c>
      <c r="D2256">
        <v>0</v>
      </c>
      <c r="E2256">
        <v>5</v>
      </c>
      <c r="F2256">
        <v>19829</v>
      </c>
    </row>
    <row r="2257" spans="1:6" x14ac:dyDescent="0.25">
      <c r="A2257" t="s">
        <v>169</v>
      </c>
      <c r="B2257" t="s">
        <v>171</v>
      </c>
      <c r="C2257">
        <v>2</v>
      </c>
      <c r="D2257">
        <v>0</v>
      </c>
      <c r="E2257">
        <v>6</v>
      </c>
      <c r="F2257">
        <v>52882</v>
      </c>
    </row>
    <row r="2258" spans="1:6" x14ac:dyDescent="0.25">
      <c r="A2258" t="s">
        <v>169</v>
      </c>
      <c r="B2258" t="s">
        <v>171</v>
      </c>
      <c r="C2258">
        <v>2</v>
      </c>
      <c r="D2258">
        <v>1</v>
      </c>
      <c r="E2258">
        <v>1</v>
      </c>
      <c r="F2258">
        <v>1288652</v>
      </c>
    </row>
    <row r="2259" spans="1:6" x14ac:dyDescent="0.25">
      <c r="A2259" t="s">
        <v>169</v>
      </c>
      <c r="B2259" t="s">
        <v>171</v>
      </c>
      <c r="C2259">
        <v>2</v>
      </c>
      <c r="D2259">
        <v>1</v>
      </c>
      <c r="E2259">
        <v>2</v>
      </c>
      <c r="F2259">
        <v>19785</v>
      </c>
    </row>
    <row r="2260" spans="1:6" x14ac:dyDescent="0.25">
      <c r="A2260" t="s">
        <v>169</v>
      </c>
      <c r="B2260" t="s">
        <v>171</v>
      </c>
      <c r="C2260">
        <v>2</v>
      </c>
      <c r="D2260">
        <v>1</v>
      </c>
      <c r="E2260">
        <v>3</v>
      </c>
      <c r="F2260">
        <v>15426</v>
      </c>
    </row>
    <row r="2261" spans="1:6" x14ac:dyDescent="0.25">
      <c r="A2261" t="s">
        <v>169</v>
      </c>
      <c r="B2261" t="s">
        <v>171</v>
      </c>
      <c r="C2261">
        <v>2</v>
      </c>
      <c r="D2261">
        <v>1</v>
      </c>
      <c r="E2261">
        <v>4</v>
      </c>
      <c r="F2261">
        <v>55272</v>
      </c>
    </row>
    <row r="2262" spans="1:6" x14ac:dyDescent="0.25">
      <c r="A2262" t="s">
        <v>169</v>
      </c>
      <c r="B2262" t="s">
        <v>171</v>
      </c>
      <c r="C2262">
        <v>2</v>
      </c>
      <c r="D2262">
        <v>1</v>
      </c>
      <c r="E2262">
        <v>5</v>
      </c>
      <c r="F2262">
        <v>18074</v>
      </c>
    </row>
    <row r="2263" spans="1:6" x14ac:dyDescent="0.25">
      <c r="A2263" t="s">
        <v>169</v>
      </c>
      <c r="B2263" t="s">
        <v>171</v>
      </c>
      <c r="C2263">
        <v>2</v>
      </c>
      <c r="D2263">
        <v>1</v>
      </c>
      <c r="E2263">
        <v>6</v>
      </c>
      <c r="F2263">
        <v>41866</v>
      </c>
    </row>
    <row r="2264" spans="1:6" x14ac:dyDescent="0.25">
      <c r="A2264" t="s">
        <v>169</v>
      </c>
      <c r="B2264" t="s">
        <v>171</v>
      </c>
      <c r="C2264">
        <v>2</v>
      </c>
      <c r="D2264">
        <v>2</v>
      </c>
      <c r="E2264">
        <v>1</v>
      </c>
      <c r="F2264">
        <v>253035</v>
      </c>
    </row>
    <row r="2265" spans="1:6" x14ac:dyDescent="0.25">
      <c r="A2265" t="s">
        <v>169</v>
      </c>
      <c r="B2265" t="s">
        <v>171</v>
      </c>
      <c r="C2265">
        <v>2</v>
      </c>
      <c r="D2265">
        <v>2</v>
      </c>
      <c r="E2265">
        <v>2</v>
      </c>
      <c r="F2265">
        <v>6567</v>
      </c>
    </row>
    <row r="2266" spans="1:6" x14ac:dyDescent="0.25">
      <c r="A2266" t="s">
        <v>169</v>
      </c>
      <c r="B2266" t="s">
        <v>171</v>
      </c>
      <c r="C2266">
        <v>2</v>
      </c>
      <c r="D2266">
        <v>2</v>
      </c>
      <c r="E2266">
        <v>3</v>
      </c>
      <c r="F2266">
        <v>12964</v>
      </c>
    </row>
    <row r="2267" spans="1:6" x14ac:dyDescent="0.25">
      <c r="A2267" t="s">
        <v>169</v>
      </c>
      <c r="B2267" t="s">
        <v>171</v>
      </c>
      <c r="C2267">
        <v>2</v>
      </c>
      <c r="D2267">
        <v>2</v>
      </c>
      <c r="E2267">
        <v>4</v>
      </c>
      <c r="F2267">
        <v>3004</v>
      </c>
    </row>
    <row r="2268" spans="1:6" x14ac:dyDescent="0.25">
      <c r="A2268" t="s">
        <v>169</v>
      </c>
      <c r="B2268" t="s">
        <v>171</v>
      </c>
      <c r="C2268">
        <v>2</v>
      </c>
      <c r="D2268">
        <v>2</v>
      </c>
      <c r="E2268">
        <v>5</v>
      </c>
      <c r="F2268">
        <v>1755</v>
      </c>
    </row>
    <row r="2269" spans="1:6" x14ac:dyDescent="0.25">
      <c r="A2269" t="s">
        <v>169</v>
      </c>
      <c r="B2269" t="s">
        <v>171</v>
      </c>
      <c r="C2269">
        <v>2</v>
      </c>
      <c r="D2269">
        <v>2</v>
      </c>
      <c r="E2269">
        <v>6</v>
      </c>
      <c r="F2269">
        <v>11016</v>
      </c>
    </row>
    <row r="2270" spans="1:6" x14ac:dyDescent="0.25">
      <c r="A2270" t="s">
        <v>172</v>
      </c>
      <c r="B2270" t="s">
        <v>174</v>
      </c>
      <c r="C2270">
        <v>0</v>
      </c>
      <c r="D2270">
        <v>0</v>
      </c>
      <c r="E2270">
        <v>1</v>
      </c>
      <c r="F2270">
        <v>604630</v>
      </c>
    </row>
    <row r="2271" spans="1:6" x14ac:dyDescent="0.25">
      <c r="A2271" t="s">
        <v>172</v>
      </c>
      <c r="B2271" t="s">
        <v>174</v>
      </c>
      <c r="C2271">
        <v>0</v>
      </c>
      <c r="D2271">
        <v>0</v>
      </c>
      <c r="E2271">
        <v>2</v>
      </c>
      <c r="F2271">
        <v>11277</v>
      </c>
    </row>
    <row r="2272" spans="1:6" x14ac:dyDescent="0.25">
      <c r="A2272" t="s">
        <v>172</v>
      </c>
      <c r="B2272" t="s">
        <v>174</v>
      </c>
      <c r="C2272">
        <v>0</v>
      </c>
      <c r="D2272">
        <v>0</v>
      </c>
      <c r="E2272">
        <v>3</v>
      </c>
      <c r="F2272">
        <v>2628</v>
      </c>
    </row>
    <row r="2273" spans="1:6" x14ac:dyDescent="0.25">
      <c r="A2273" t="s">
        <v>172</v>
      </c>
      <c r="B2273" t="s">
        <v>174</v>
      </c>
      <c r="C2273">
        <v>0</v>
      </c>
      <c r="D2273">
        <v>0</v>
      </c>
      <c r="E2273">
        <v>4</v>
      </c>
      <c r="F2273">
        <v>15085</v>
      </c>
    </row>
    <row r="2274" spans="1:6" x14ac:dyDescent="0.25">
      <c r="A2274" t="s">
        <v>172</v>
      </c>
      <c r="B2274" t="s">
        <v>174</v>
      </c>
      <c r="C2274">
        <v>0</v>
      </c>
      <c r="D2274">
        <v>0</v>
      </c>
      <c r="E2274">
        <v>5</v>
      </c>
      <c r="F2274">
        <v>253</v>
      </c>
    </row>
    <row r="2275" spans="1:6" x14ac:dyDescent="0.25">
      <c r="A2275" t="s">
        <v>172</v>
      </c>
      <c r="B2275" t="s">
        <v>174</v>
      </c>
      <c r="C2275">
        <v>0</v>
      </c>
      <c r="D2275">
        <v>0</v>
      </c>
      <c r="E2275">
        <v>6</v>
      </c>
      <c r="F2275">
        <v>14620</v>
      </c>
    </row>
    <row r="2276" spans="1:6" x14ac:dyDescent="0.25">
      <c r="A2276" t="s">
        <v>172</v>
      </c>
      <c r="B2276" t="s">
        <v>174</v>
      </c>
      <c r="C2276">
        <v>0</v>
      </c>
      <c r="D2276">
        <v>1</v>
      </c>
      <c r="E2276">
        <v>1</v>
      </c>
      <c r="F2276">
        <v>590186</v>
      </c>
    </row>
    <row r="2277" spans="1:6" x14ac:dyDescent="0.25">
      <c r="A2277" t="s">
        <v>172</v>
      </c>
      <c r="B2277" t="s">
        <v>174</v>
      </c>
      <c r="C2277">
        <v>0</v>
      </c>
      <c r="D2277">
        <v>1</v>
      </c>
      <c r="E2277">
        <v>2</v>
      </c>
      <c r="F2277">
        <v>10394</v>
      </c>
    </row>
    <row r="2278" spans="1:6" x14ac:dyDescent="0.25">
      <c r="A2278" t="s">
        <v>172</v>
      </c>
      <c r="B2278" t="s">
        <v>174</v>
      </c>
      <c r="C2278">
        <v>0</v>
      </c>
      <c r="D2278">
        <v>1</v>
      </c>
      <c r="E2278">
        <v>3</v>
      </c>
      <c r="F2278">
        <v>2064</v>
      </c>
    </row>
    <row r="2279" spans="1:6" x14ac:dyDescent="0.25">
      <c r="A2279" t="s">
        <v>172</v>
      </c>
      <c r="B2279" t="s">
        <v>174</v>
      </c>
      <c r="C2279">
        <v>0</v>
      </c>
      <c r="D2279">
        <v>1</v>
      </c>
      <c r="E2279">
        <v>4</v>
      </c>
      <c r="F2279">
        <v>14854</v>
      </c>
    </row>
    <row r="2280" spans="1:6" x14ac:dyDescent="0.25">
      <c r="A2280" t="s">
        <v>172</v>
      </c>
      <c r="B2280" t="s">
        <v>174</v>
      </c>
      <c r="C2280">
        <v>0</v>
      </c>
      <c r="D2280">
        <v>1</v>
      </c>
      <c r="E2280">
        <v>5</v>
      </c>
      <c r="F2280">
        <v>190</v>
      </c>
    </row>
    <row r="2281" spans="1:6" x14ac:dyDescent="0.25">
      <c r="A2281" t="s">
        <v>172</v>
      </c>
      <c r="B2281" t="s">
        <v>174</v>
      </c>
      <c r="C2281">
        <v>0</v>
      </c>
      <c r="D2281">
        <v>1</v>
      </c>
      <c r="E2281">
        <v>6</v>
      </c>
      <c r="F2281">
        <v>13404</v>
      </c>
    </row>
    <row r="2282" spans="1:6" x14ac:dyDescent="0.25">
      <c r="A2282" t="s">
        <v>172</v>
      </c>
      <c r="B2282" t="s">
        <v>174</v>
      </c>
      <c r="C2282">
        <v>0</v>
      </c>
      <c r="D2282">
        <v>2</v>
      </c>
      <c r="E2282">
        <v>1</v>
      </c>
      <c r="F2282">
        <v>14444</v>
      </c>
    </row>
    <row r="2283" spans="1:6" x14ac:dyDescent="0.25">
      <c r="A2283" t="s">
        <v>172</v>
      </c>
      <c r="B2283" t="s">
        <v>174</v>
      </c>
      <c r="C2283">
        <v>0</v>
      </c>
      <c r="D2283">
        <v>2</v>
      </c>
      <c r="E2283">
        <v>2</v>
      </c>
      <c r="F2283">
        <v>883</v>
      </c>
    </row>
    <row r="2284" spans="1:6" x14ac:dyDescent="0.25">
      <c r="A2284" t="s">
        <v>172</v>
      </c>
      <c r="B2284" t="s">
        <v>174</v>
      </c>
      <c r="C2284">
        <v>0</v>
      </c>
      <c r="D2284">
        <v>2</v>
      </c>
      <c r="E2284">
        <v>3</v>
      </c>
      <c r="F2284">
        <v>564</v>
      </c>
    </row>
    <row r="2285" spans="1:6" x14ac:dyDescent="0.25">
      <c r="A2285" t="s">
        <v>172</v>
      </c>
      <c r="B2285" t="s">
        <v>174</v>
      </c>
      <c r="C2285">
        <v>0</v>
      </c>
      <c r="D2285">
        <v>2</v>
      </c>
      <c r="E2285">
        <v>4</v>
      </c>
      <c r="F2285">
        <v>231</v>
      </c>
    </row>
    <row r="2286" spans="1:6" x14ac:dyDescent="0.25">
      <c r="A2286" t="s">
        <v>172</v>
      </c>
      <c r="B2286" t="s">
        <v>174</v>
      </c>
      <c r="C2286">
        <v>0</v>
      </c>
      <c r="D2286">
        <v>2</v>
      </c>
      <c r="E2286">
        <v>5</v>
      </c>
      <c r="F2286">
        <v>63</v>
      </c>
    </row>
    <row r="2287" spans="1:6" x14ac:dyDescent="0.25">
      <c r="A2287" t="s">
        <v>172</v>
      </c>
      <c r="B2287" t="s">
        <v>174</v>
      </c>
      <c r="C2287">
        <v>0</v>
      </c>
      <c r="D2287">
        <v>2</v>
      </c>
      <c r="E2287">
        <v>6</v>
      </c>
      <c r="F2287">
        <v>1216</v>
      </c>
    </row>
    <row r="2288" spans="1:6" x14ac:dyDescent="0.25">
      <c r="A2288" t="s">
        <v>172</v>
      </c>
      <c r="B2288" t="s">
        <v>174</v>
      </c>
      <c r="C2288">
        <v>1</v>
      </c>
      <c r="D2288">
        <v>0</v>
      </c>
      <c r="E2288">
        <v>1</v>
      </c>
      <c r="F2288">
        <v>299591</v>
      </c>
    </row>
    <row r="2289" spans="1:6" x14ac:dyDescent="0.25">
      <c r="A2289" t="s">
        <v>172</v>
      </c>
      <c r="B2289" t="s">
        <v>174</v>
      </c>
      <c r="C2289">
        <v>1</v>
      </c>
      <c r="D2289">
        <v>0</v>
      </c>
      <c r="E2289">
        <v>2</v>
      </c>
      <c r="F2289">
        <v>6505</v>
      </c>
    </row>
    <row r="2290" spans="1:6" x14ac:dyDescent="0.25">
      <c r="A2290" t="s">
        <v>172</v>
      </c>
      <c r="B2290" t="s">
        <v>174</v>
      </c>
      <c r="C2290">
        <v>1</v>
      </c>
      <c r="D2290">
        <v>0</v>
      </c>
      <c r="E2290">
        <v>3</v>
      </c>
      <c r="F2290">
        <v>1341</v>
      </c>
    </row>
    <row r="2291" spans="1:6" x14ac:dyDescent="0.25">
      <c r="A2291" t="s">
        <v>172</v>
      </c>
      <c r="B2291" t="s">
        <v>174</v>
      </c>
      <c r="C2291">
        <v>1</v>
      </c>
      <c r="D2291">
        <v>0</v>
      </c>
      <c r="E2291">
        <v>4</v>
      </c>
      <c r="F2291">
        <v>6895</v>
      </c>
    </row>
    <row r="2292" spans="1:6" x14ac:dyDescent="0.25">
      <c r="A2292" t="s">
        <v>172</v>
      </c>
      <c r="B2292" t="s">
        <v>174</v>
      </c>
      <c r="C2292">
        <v>1</v>
      </c>
      <c r="D2292">
        <v>0</v>
      </c>
      <c r="E2292">
        <v>5</v>
      </c>
      <c r="F2292">
        <v>138</v>
      </c>
    </row>
    <row r="2293" spans="1:6" x14ac:dyDescent="0.25">
      <c r="A2293" t="s">
        <v>172</v>
      </c>
      <c r="B2293" t="s">
        <v>174</v>
      </c>
      <c r="C2293">
        <v>1</v>
      </c>
      <c r="D2293">
        <v>0</v>
      </c>
      <c r="E2293">
        <v>6</v>
      </c>
      <c r="F2293">
        <v>7328</v>
      </c>
    </row>
    <row r="2294" spans="1:6" x14ac:dyDescent="0.25">
      <c r="A2294" t="s">
        <v>172</v>
      </c>
      <c r="B2294" t="s">
        <v>174</v>
      </c>
      <c r="C2294">
        <v>1</v>
      </c>
      <c r="D2294">
        <v>1</v>
      </c>
      <c r="E2294">
        <v>1</v>
      </c>
      <c r="F2294">
        <v>292334</v>
      </c>
    </row>
    <row r="2295" spans="1:6" x14ac:dyDescent="0.25">
      <c r="A2295" t="s">
        <v>172</v>
      </c>
      <c r="B2295" t="s">
        <v>174</v>
      </c>
      <c r="C2295">
        <v>1</v>
      </c>
      <c r="D2295">
        <v>1</v>
      </c>
      <c r="E2295">
        <v>2</v>
      </c>
      <c r="F2295">
        <v>6041</v>
      </c>
    </row>
    <row r="2296" spans="1:6" x14ac:dyDescent="0.25">
      <c r="A2296" t="s">
        <v>172</v>
      </c>
      <c r="B2296" t="s">
        <v>174</v>
      </c>
      <c r="C2296">
        <v>1</v>
      </c>
      <c r="D2296">
        <v>1</v>
      </c>
      <c r="E2296">
        <v>3</v>
      </c>
      <c r="F2296">
        <v>1040</v>
      </c>
    </row>
    <row r="2297" spans="1:6" x14ac:dyDescent="0.25">
      <c r="A2297" t="s">
        <v>172</v>
      </c>
      <c r="B2297" t="s">
        <v>174</v>
      </c>
      <c r="C2297">
        <v>1</v>
      </c>
      <c r="D2297">
        <v>1</v>
      </c>
      <c r="E2297">
        <v>4</v>
      </c>
      <c r="F2297">
        <v>6783</v>
      </c>
    </row>
    <row r="2298" spans="1:6" x14ac:dyDescent="0.25">
      <c r="A2298" t="s">
        <v>172</v>
      </c>
      <c r="B2298" t="s">
        <v>174</v>
      </c>
      <c r="C2298">
        <v>1</v>
      </c>
      <c r="D2298">
        <v>1</v>
      </c>
      <c r="E2298">
        <v>5</v>
      </c>
      <c r="F2298">
        <v>106</v>
      </c>
    </row>
    <row r="2299" spans="1:6" x14ac:dyDescent="0.25">
      <c r="A2299" t="s">
        <v>172</v>
      </c>
      <c r="B2299" t="s">
        <v>174</v>
      </c>
      <c r="C2299">
        <v>1</v>
      </c>
      <c r="D2299">
        <v>1</v>
      </c>
      <c r="E2299">
        <v>6</v>
      </c>
      <c r="F2299">
        <v>6707</v>
      </c>
    </row>
    <row r="2300" spans="1:6" x14ac:dyDescent="0.25">
      <c r="A2300" t="s">
        <v>172</v>
      </c>
      <c r="B2300" t="s">
        <v>174</v>
      </c>
      <c r="C2300">
        <v>1</v>
      </c>
      <c r="D2300">
        <v>2</v>
      </c>
      <c r="E2300">
        <v>1</v>
      </c>
      <c r="F2300">
        <v>7257</v>
      </c>
    </row>
    <row r="2301" spans="1:6" x14ac:dyDescent="0.25">
      <c r="A2301" t="s">
        <v>172</v>
      </c>
      <c r="B2301" t="s">
        <v>174</v>
      </c>
      <c r="C2301">
        <v>1</v>
      </c>
      <c r="D2301">
        <v>2</v>
      </c>
      <c r="E2301">
        <v>2</v>
      </c>
      <c r="F2301">
        <v>464</v>
      </c>
    </row>
    <row r="2302" spans="1:6" x14ac:dyDescent="0.25">
      <c r="A2302" t="s">
        <v>172</v>
      </c>
      <c r="B2302" t="s">
        <v>174</v>
      </c>
      <c r="C2302">
        <v>1</v>
      </c>
      <c r="D2302">
        <v>2</v>
      </c>
      <c r="E2302">
        <v>3</v>
      </c>
      <c r="F2302">
        <v>301</v>
      </c>
    </row>
    <row r="2303" spans="1:6" x14ac:dyDescent="0.25">
      <c r="A2303" t="s">
        <v>172</v>
      </c>
      <c r="B2303" t="s">
        <v>174</v>
      </c>
      <c r="C2303">
        <v>1</v>
      </c>
      <c r="D2303">
        <v>2</v>
      </c>
      <c r="E2303">
        <v>4</v>
      </c>
      <c r="F2303">
        <v>112</v>
      </c>
    </row>
    <row r="2304" spans="1:6" x14ac:dyDescent="0.25">
      <c r="A2304" t="s">
        <v>172</v>
      </c>
      <c r="B2304" t="s">
        <v>174</v>
      </c>
      <c r="C2304">
        <v>1</v>
      </c>
      <c r="D2304">
        <v>2</v>
      </c>
      <c r="E2304">
        <v>5</v>
      </c>
      <c r="F2304">
        <v>32</v>
      </c>
    </row>
    <row r="2305" spans="1:6" x14ac:dyDescent="0.25">
      <c r="A2305" t="s">
        <v>172</v>
      </c>
      <c r="B2305" t="s">
        <v>174</v>
      </c>
      <c r="C2305">
        <v>1</v>
      </c>
      <c r="D2305">
        <v>2</v>
      </c>
      <c r="E2305">
        <v>6</v>
      </c>
      <c r="F2305">
        <v>621</v>
      </c>
    </row>
    <row r="2306" spans="1:6" x14ac:dyDescent="0.25">
      <c r="A2306" t="s">
        <v>172</v>
      </c>
      <c r="B2306" t="s">
        <v>174</v>
      </c>
      <c r="C2306">
        <v>2</v>
      </c>
      <c r="D2306">
        <v>0</v>
      </c>
      <c r="E2306">
        <v>1</v>
      </c>
      <c r="F2306">
        <v>305039</v>
      </c>
    </row>
    <row r="2307" spans="1:6" x14ac:dyDescent="0.25">
      <c r="A2307" t="s">
        <v>172</v>
      </c>
      <c r="B2307" t="s">
        <v>174</v>
      </c>
      <c r="C2307">
        <v>2</v>
      </c>
      <c r="D2307">
        <v>0</v>
      </c>
      <c r="E2307">
        <v>2</v>
      </c>
      <c r="F2307">
        <v>4772</v>
      </c>
    </row>
    <row r="2308" spans="1:6" x14ac:dyDescent="0.25">
      <c r="A2308" t="s">
        <v>172</v>
      </c>
      <c r="B2308" t="s">
        <v>174</v>
      </c>
      <c r="C2308">
        <v>2</v>
      </c>
      <c r="D2308">
        <v>0</v>
      </c>
      <c r="E2308">
        <v>3</v>
      </c>
      <c r="F2308">
        <v>1287</v>
      </c>
    </row>
    <row r="2309" spans="1:6" x14ac:dyDescent="0.25">
      <c r="A2309" t="s">
        <v>172</v>
      </c>
      <c r="B2309" t="s">
        <v>174</v>
      </c>
      <c r="C2309">
        <v>2</v>
      </c>
      <c r="D2309">
        <v>0</v>
      </c>
      <c r="E2309">
        <v>4</v>
      </c>
      <c r="F2309">
        <v>8190</v>
      </c>
    </row>
    <row r="2310" spans="1:6" x14ac:dyDescent="0.25">
      <c r="A2310" t="s">
        <v>172</v>
      </c>
      <c r="B2310" t="s">
        <v>174</v>
      </c>
      <c r="C2310">
        <v>2</v>
      </c>
      <c r="D2310">
        <v>0</v>
      </c>
      <c r="E2310">
        <v>5</v>
      </c>
      <c r="F2310">
        <v>115</v>
      </c>
    </row>
    <row r="2311" spans="1:6" x14ac:dyDescent="0.25">
      <c r="A2311" t="s">
        <v>172</v>
      </c>
      <c r="B2311" t="s">
        <v>174</v>
      </c>
      <c r="C2311">
        <v>2</v>
      </c>
      <c r="D2311">
        <v>0</v>
      </c>
      <c r="E2311">
        <v>6</v>
      </c>
      <c r="F2311">
        <v>7292</v>
      </c>
    </row>
    <row r="2312" spans="1:6" x14ac:dyDescent="0.25">
      <c r="A2312" t="s">
        <v>172</v>
      </c>
      <c r="B2312" t="s">
        <v>174</v>
      </c>
      <c r="C2312">
        <v>2</v>
      </c>
      <c r="D2312">
        <v>1</v>
      </c>
      <c r="E2312">
        <v>1</v>
      </c>
      <c r="F2312">
        <v>297852</v>
      </c>
    </row>
    <row r="2313" spans="1:6" x14ac:dyDescent="0.25">
      <c r="A2313" t="s">
        <v>172</v>
      </c>
      <c r="B2313" t="s">
        <v>174</v>
      </c>
      <c r="C2313">
        <v>2</v>
      </c>
      <c r="D2313">
        <v>1</v>
      </c>
      <c r="E2313">
        <v>2</v>
      </c>
      <c r="F2313">
        <v>4353</v>
      </c>
    </row>
    <row r="2314" spans="1:6" x14ac:dyDescent="0.25">
      <c r="A2314" t="s">
        <v>172</v>
      </c>
      <c r="B2314" t="s">
        <v>174</v>
      </c>
      <c r="C2314">
        <v>2</v>
      </c>
      <c r="D2314">
        <v>1</v>
      </c>
      <c r="E2314">
        <v>3</v>
      </c>
      <c r="F2314">
        <v>1024</v>
      </c>
    </row>
    <row r="2315" spans="1:6" x14ac:dyDescent="0.25">
      <c r="A2315" t="s">
        <v>172</v>
      </c>
      <c r="B2315" t="s">
        <v>174</v>
      </c>
      <c r="C2315">
        <v>2</v>
      </c>
      <c r="D2315">
        <v>1</v>
      </c>
      <c r="E2315">
        <v>4</v>
      </c>
      <c r="F2315">
        <v>8071</v>
      </c>
    </row>
    <row r="2316" spans="1:6" x14ac:dyDescent="0.25">
      <c r="A2316" t="s">
        <v>172</v>
      </c>
      <c r="B2316" t="s">
        <v>174</v>
      </c>
      <c r="C2316">
        <v>2</v>
      </c>
      <c r="D2316">
        <v>1</v>
      </c>
      <c r="E2316">
        <v>5</v>
      </c>
      <c r="F2316">
        <v>84</v>
      </c>
    </row>
    <row r="2317" spans="1:6" x14ac:dyDescent="0.25">
      <c r="A2317" t="s">
        <v>172</v>
      </c>
      <c r="B2317" t="s">
        <v>174</v>
      </c>
      <c r="C2317">
        <v>2</v>
      </c>
      <c r="D2317">
        <v>1</v>
      </c>
      <c r="E2317">
        <v>6</v>
      </c>
      <c r="F2317">
        <v>6697</v>
      </c>
    </row>
    <row r="2318" spans="1:6" x14ac:dyDescent="0.25">
      <c r="A2318" t="s">
        <v>172</v>
      </c>
      <c r="B2318" t="s">
        <v>174</v>
      </c>
      <c r="C2318">
        <v>2</v>
      </c>
      <c r="D2318">
        <v>2</v>
      </c>
      <c r="E2318">
        <v>1</v>
      </c>
      <c r="F2318">
        <v>7187</v>
      </c>
    </row>
    <row r="2319" spans="1:6" x14ac:dyDescent="0.25">
      <c r="A2319" t="s">
        <v>172</v>
      </c>
      <c r="B2319" t="s">
        <v>174</v>
      </c>
      <c r="C2319">
        <v>2</v>
      </c>
      <c r="D2319">
        <v>2</v>
      </c>
      <c r="E2319">
        <v>2</v>
      </c>
      <c r="F2319">
        <v>419</v>
      </c>
    </row>
    <row r="2320" spans="1:6" x14ac:dyDescent="0.25">
      <c r="A2320" t="s">
        <v>172</v>
      </c>
      <c r="B2320" t="s">
        <v>174</v>
      </c>
      <c r="C2320">
        <v>2</v>
      </c>
      <c r="D2320">
        <v>2</v>
      </c>
      <c r="E2320">
        <v>3</v>
      </c>
      <c r="F2320">
        <v>263</v>
      </c>
    </row>
    <row r="2321" spans="1:6" x14ac:dyDescent="0.25">
      <c r="A2321" t="s">
        <v>172</v>
      </c>
      <c r="B2321" t="s">
        <v>174</v>
      </c>
      <c r="C2321">
        <v>2</v>
      </c>
      <c r="D2321">
        <v>2</v>
      </c>
      <c r="E2321">
        <v>4</v>
      </c>
      <c r="F2321">
        <v>119</v>
      </c>
    </row>
    <row r="2322" spans="1:6" x14ac:dyDescent="0.25">
      <c r="A2322" t="s">
        <v>172</v>
      </c>
      <c r="B2322" t="s">
        <v>174</v>
      </c>
      <c r="C2322">
        <v>2</v>
      </c>
      <c r="D2322">
        <v>2</v>
      </c>
      <c r="E2322">
        <v>5</v>
      </c>
      <c r="F2322">
        <v>31</v>
      </c>
    </row>
    <row r="2323" spans="1:6" x14ac:dyDescent="0.25">
      <c r="A2323" t="s">
        <v>172</v>
      </c>
      <c r="B2323" t="s">
        <v>174</v>
      </c>
      <c r="C2323">
        <v>2</v>
      </c>
      <c r="D2323">
        <v>2</v>
      </c>
      <c r="E2323">
        <v>6</v>
      </c>
      <c r="F2323">
        <v>595</v>
      </c>
    </row>
    <row r="2324" spans="1:6" x14ac:dyDescent="0.25">
      <c r="A2324" t="s">
        <v>175</v>
      </c>
      <c r="B2324" t="s">
        <v>177</v>
      </c>
      <c r="C2324">
        <v>0</v>
      </c>
      <c r="D2324">
        <v>0</v>
      </c>
      <c r="E2324">
        <v>1</v>
      </c>
      <c r="F2324">
        <v>5987047</v>
      </c>
    </row>
    <row r="2325" spans="1:6" x14ac:dyDescent="0.25">
      <c r="A2325" t="s">
        <v>175</v>
      </c>
      <c r="B2325" t="s">
        <v>177</v>
      </c>
      <c r="C2325">
        <v>0</v>
      </c>
      <c r="D2325">
        <v>0</v>
      </c>
      <c r="E2325">
        <v>2</v>
      </c>
      <c r="F2325">
        <v>1759626</v>
      </c>
    </row>
    <row r="2326" spans="1:6" x14ac:dyDescent="0.25">
      <c r="A2326" t="s">
        <v>175</v>
      </c>
      <c r="B2326" t="s">
        <v>177</v>
      </c>
      <c r="C2326">
        <v>0</v>
      </c>
      <c r="D2326">
        <v>0</v>
      </c>
      <c r="E2326">
        <v>3</v>
      </c>
      <c r="F2326">
        <v>57593</v>
      </c>
    </row>
    <row r="2327" spans="1:6" x14ac:dyDescent="0.25">
      <c r="A2327" t="s">
        <v>175</v>
      </c>
      <c r="B2327" t="s">
        <v>177</v>
      </c>
      <c r="C2327">
        <v>0</v>
      </c>
      <c r="D2327">
        <v>0</v>
      </c>
      <c r="E2327">
        <v>4</v>
      </c>
      <c r="F2327">
        <v>675783</v>
      </c>
    </row>
    <row r="2328" spans="1:6" x14ac:dyDescent="0.25">
      <c r="A2328" t="s">
        <v>175</v>
      </c>
      <c r="B2328" t="s">
        <v>177</v>
      </c>
      <c r="C2328">
        <v>0</v>
      </c>
      <c r="D2328">
        <v>0</v>
      </c>
      <c r="E2328">
        <v>5</v>
      </c>
      <c r="F2328">
        <v>12383</v>
      </c>
    </row>
    <row r="2329" spans="1:6" x14ac:dyDescent="0.25">
      <c r="A2329" t="s">
        <v>175</v>
      </c>
      <c r="B2329" t="s">
        <v>177</v>
      </c>
      <c r="C2329">
        <v>0</v>
      </c>
      <c r="D2329">
        <v>0</v>
      </c>
      <c r="E2329">
        <v>6</v>
      </c>
      <c r="F2329">
        <v>318763</v>
      </c>
    </row>
    <row r="2330" spans="1:6" x14ac:dyDescent="0.25">
      <c r="A2330" t="s">
        <v>175</v>
      </c>
      <c r="B2330" t="s">
        <v>177</v>
      </c>
      <c r="C2330">
        <v>0</v>
      </c>
      <c r="D2330">
        <v>1</v>
      </c>
      <c r="E2330">
        <v>1</v>
      </c>
      <c r="F2330">
        <v>5148629</v>
      </c>
    </row>
    <row r="2331" spans="1:6" x14ac:dyDescent="0.25">
      <c r="A2331" t="s">
        <v>175</v>
      </c>
      <c r="B2331" t="s">
        <v>177</v>
      </c>
      <c r="C2331">
        <v>0</v>
      </c>
      <c r="D2331">
        <v>1</v>
      </c>
      <c r="E2331">
        <v>2</v>
      </c>
      <c r="F2331">
        <v>1676551</v>
      </c>
    </row>
    <row r="2332" spans="1:6" x14ac:dyDescent="0.25">
      <c r="A2332" t="s">
        <v>175</v>
      </c>
      <c r="B2332" t="s">
        <v>177</v>
      </c>
      <c r="C2332">
        <v>0</v>
      </c>
      <c r="D2332">
        <v>1</v>
      </c>
      <c r="E2332">
        <v>3</v>
      </c>
      <c r="F2332">
        <v>23396</v>
      </c>
    </row>
    <row r="2333" spans="1:6" x14ac:dyDescent="0.25">
      <c r="A2333" t="s">
        <v>175</v>
      </c>
      <c r="B2333" t="s">
        <v>177</v>
      </c>
      <c r="C2333">
        <v>0</v>
      </c>
      <c r="D2333">
        <v>1</v>
      </c>
      <c r="E2333">
        <v>4</v>
      </c>
      <c r="F2333">
        <v>660737</v>
      </c>
    </row>
    <row r="2334" spans="1:6" x14ac:dyDescent="0.25">
      <c r="A2334" t="s">
        <v>175</v>
      </c>
      <c r="B2334" t="s">
        <v>177</v>
      </c>
      <c r="C2334">
        <v>0</v>
      </c>
      <c r="D2334">
        <v>1</v>
      </c>
      <c r="E2334">
        <v>5</v>
      </c>
      <c r="F2334">
        <v>6756</v>
      </c>
    </row>
    <row r="2335" spans="1:6" x14ac:dyDescent="0.25">
      <c r="A2335" t="s">
        <v>175</v>
      </c>
      <c r="B2335" t="s">
        <v>177</v>
      </c>
      <c r="C2335">
        <v>0</v>
      </c>
      <c r="D2335">
        <v>1</v>
      </c>
      <c r="E2335">
        <v>6</v>
      </c>
      <c r="F2335">
        <v>273501</v>
      </c>
    </row>
    <row r="2336" spans="1:6" x14ac:dyDescent="0.25">
      <c r="A2336" t="s">
        <v>175</v>
      </c>
      <c r="B2336" t="s">
        <v>177</v>
      </c>
      <c r="C2336">
        <v>0</v>
      </c>
      <c r="D2336">
        <v>2</v>
      </c>
      <c r="E2336">
        <v>1</v>
      </c>
      <c r="F2336">
        <v>838418</v>
      </c>
    </row>
    <row r="2337" spans="1:6" x14ac:dyDescent="0.25">
      <c r="A2337" t="s">
        <v>175</v>
      </c>
      <c r="B2337" t="s">
        <v>177</v>
      </c>
      <c r="C2337">
        <v>0</v>
      </c>
      <c r="D2337">
        <v>2</v>
      </c>
      <c r="E2337">
        <v>2</v>
      </c>
      <c r="F2337">
        <v>83075</v>
      </c>
    </row>
    <row r="2338" spans="1:6" x14ac:dyDescent="0.25">
      <c r="A2338" t="s">
        <v>175</v>
      </c>
      <c r="B2338" t="s">
        <v>177</v>
      </c>
      <c r="C2338">
        <v>0</v>
      </c>
      <c r="D2338">
        <v>2</v>
      </c>
      <c r="E2338">
        <v>3</v>
      </c>
      <c r="F2338">
        <v>34197</v>
      </c>
    </row>
    <row r="2339" spans="1:6" x14ac:dyDescent="0.25">
      <c r="A2339" t="s">
        <v>175</v>
      </c>
      <c r="B2339" t="s">
        <v>177</v>
      </c>
      <c r="C2339">
        <v>0</v>
      </c>
      <c r="D2339">
        <v>2</v>
      </c>
      <c r="E2339">
        <v>4</v>
      </c>
      <c r="F2339">
        <v>15046</v>
      </c>
    </row>
    <row r="2340" spans="1:6" x14ac:dyDescent="0.25">
      <c r="A2340" t="s">
        <v>175</v>
      </c>
      <c r="B2340" t="s">
        <v>177</v>
      </c>
      <c r="C2340">
        <v>0</v>
      </c>
      <c r="D2340">
        <v>2</v>
      </c>
      <c r="E2340">
        <v>5</v>
      </c>
      <c r="F2340">
        <v>5627</v>
      </c>
    </row>
    <row r="2341" spans="1:6" x14ac:dyDescent="0.25">
      <c r="A2341" t="s">
        <v>175</v>
      </c>
      <c r="B2341" t="s">
        <v>177</v>
      </c>
      <c r="C2341">
        <v>0</v>
      </c>
      <c r="D2341">
        <v>2</v>
      </c>
      <c r="E2341">
        <v>6</v>
      </c>
      <c r="F2341">
        <v>45262</v>
      </c>
    </row>
    <row r="2342" spans="1:6" x14ac:dyDescent="0.25">
      <c r="A2342" t="s">
        <v>175</v>
      </c>
      <c r="B2342" t="s">
        <v>177</v>
      </c>
      <c r="C2342">
        <v>1</v>
      </c>
      <c r="D2342">
        <v>0</v>
      </c>
      <c r="E2342">
        <v>1</v>
      </c>
      <c r="F2342">
        <v>2985231</v>
      </c>
    </row>
    <row r="2343" spans="1:6" x14ac:dyDescent="0.25">
      <c r="A2343" t="s">
        <v>175</v>
      </c>
      <c r="B2343" t="s">
        <v>177</v>
      </c>
      <c r="C2343">
        <v>1</v>
      </c>
      <c r="D2343">
        <v>0</v>
      </c>
      <c r="E2343">
        <v>2</v>
      </c>
      <c r="F2343">
        <v>849489</v>
      </c>
    </row>
    <row r="2344" spans="1:6" x14ac:dyDescent="0.25">
      <c r="A2344" t="s">
        <v>175</v>
      </c>
      <c r="B2344" t="s">
        <v>177</v>
      </c>
      <c r="C2344">
        <v>1</v>
      </c>
      <c r="D2344">
        <v>0</v>
      </c>
      <c r="E2344">
        <v>3</v>
      </c>
      <c r="F2344">
        <v>30065</v>
      </c>
    </row>
    <row r="2345" spans="1:6" x14ac:dyDescent="0.25">
      <c r="A2345" t="s">
        <v>175</v>
      </c>
      <c r="B2345" t="s">
        <v>177</v>
      </c>
      <c r="C2345">
        <v>1</v>
      </c>
      <c r="D2345">
        <v>0</v>
      </c>
      <c r="E2345">
        <v>4</v>
      </c>
      <c r="F2345">
        <v>320722</v>
      </c>
    </row>
    <row r="2346" spans="1:6" x14ac:dyDescent="0.25">
      <c r="A2346" t="s">
        <v>175</v>
      </c>
      <c r="B2346" t="s">
        <v>177</v>
      </c>
      <c r="C2346">
        <v>1</v>
      </c>
      <c r="D2346">
        <v>0</v>
      </c>
      <c r="E2346">
        <v>5</v>
      </c>
      <c r="F2346">
        <v>6232</v>
      </c>
    </row>
    <row r="2347" spans="1:6" x14ac:dyDescent="0.25">
      <c r="A2347" t="s">
        <v>175</v>
      </c>
      <c r="B2347" t="s">
        <v>177</v>
      </c>
      <c r="C2347">
        <v>1</v>
      </c>
      <c r="D2347">
        <v>0</v>
      </c>
      <c r="E2347">
        <v>6</v>
      </c>
      <c r="F2347">
        <v>158827</v>
      </c>
    </row>
    <row r="2348" spans="1:6" x14ac:dyDescent="0.25">
      <c r="A2348" t="s">
        <v>175</v>
      </c>
      <c r="B2348" t="s">
        <v>177</v>
      </c>
      <c r="C2348">
        <v>1</v>
      </c>
      <c r="D2348">
        <v>1</v>
      </c>
      <c r="E2348">
        <v>1</v>
      </c>
      <c r="F2348">
        <v>2554709</v>
      </c>
    </row>
    <row r="2349" spans="1:6" x14ac:dyDescent="0.25">
      <c r="A2349" t="s">
        <v>175</v>
      </c>
      <c r="B2349" t="s">
        <v>177</v>
      </c>
      <c r="C2349">
        <v>1</v>
      </c>
      <c r="D2349">
        <v>1</v>
      </c>
      <c r="E2349">
        <v>2</v>
      </c>
      <c r="F2349">
        <v>808028</v>
      </c>
    </row>
    <row r="2350" spans="1:6" x14ac:dyDescent="0.25">
      <c r="A2350" t="s">
        <v>175</v>
      </c>
      <c r="B2350" t="s">
        <v>177</v>
      </c>
      <c r="C2350">
        <v>1</v>
      </c>
      <c r="D2350">
        <v>1</v>
      </c>
      <c r="E2350">
        <v>3</v>
      </c>
      <c r="F2350">
        <v>11685</v>
      </c>
    </row>
    <row r="2351" spans="1:6" x14ac:dyDescent="0.25">
      <c r="A2351" t="s">
        <v>175</v>
      </c>
      <c r="B2351" t="s">
        <v>177</v>
      </c>
      <c r="C2351">
        <v>1</v>
      </c>
      <c r="D2351">
        <v>1</v>
      </c>
      <c r="E2351">
        <v>4</v>
      </c>
      <c r="F2351">
        <v>313118</v>
      </c>
    </row>
    <row r="2352" spans="1:6" x14ac:dyDescent="0.25">
      <c r="A2352" t="s">
        <v>175</v>
      </c>
      <c r="B2352" t="s">
        <v>177</v>
      </c>
      <c r="C2352">
        <v>1</v>
      </c>
      <c r="D2352">
        <v>1</v>
      </c>
      <c r="E2352">
        <v>5</v>
      </c>
      <c r="F2352">
        <v>3287</v>
      </c>
    </row>
    <row r="2353" spans="1:6" x14ac:dyDescent="0.25">
      <c r="A2353" t="s">
        <v>175</v>
      </c>
      <c r="B2353" t="s">
        <v>177</v>
      </c>
      <c r="C2353">
        <v>1</v>
      </c>
      <c r="D2353">
        <v>1</v>
      </c>
      <c r="E2353">
        <v>6</v>
      </c>
      <c r="F2353">
        <v>136211</v>
      </c>
    </row>
    <row r="2354" spans="1:6" x14ac:dyDescent="0.25">
      <c r="A2354" t="s">
        <v>175</v>
      </c>
      <c r="B2354" t="s">
        <v>177</v>
      </c>
      <c r="C2354">
        <v>1</v>
      </c>
      <c r="D2354">
        <v>2</v>
      </c>
      <c r="E2354">
        <v>1</v>
      </c>
      <c r="F2354">
        <v>430522</v>
      </c>
    </row>
    <row r="2355" spans="1:6" x14ac:dyDescent="0.25">
      <c r="A2355" t="s">
        <v>175</v>
      </c>
      <c r="B2355" t="s">
        <v>177</v>
      </c>
      <c r="C2355">
        <v>1</v>
      </c>
      <c r="D2355">
        <v>2</v>
      </c>
      <c r="E2355">
        <v>2</v>
      </c>
      <c r="F2355">
        <v>41461</v>
      </c>
    </row>
    <row r="2356" spans="1:6" x14ac:dyDescent="0.25">
      <c r="A2356" t="s">
        <v>175</v>
      </c>
      <c r="B2356" t="s">
        <v>177</v>
      </c>
      <c r="C2356">
        <v>1</v>
      </c>
      <c r="D2356">
        <v>2</v>
      </c>
      <c r="E2356">
        <v>3</v>
      </c>
      <c r="F2356">
        <v>18380</v>
      </c>
    </row>
    <row r="2357" spans="1:6" x14ac:dyDescent="0.25">
      <c r="A2357" t="s">
        <v>175</v>
      </c>
      <c r="B2357" t="s">
        <v>177</v>
      </c>
      <c r="C2357">
        <v>1</v>
      </c>
      <c r="D2357">
        <v>2</v>
      </c>
      <c r="E2357">
        <v>4</v>
      </c>
      <c r="F2357">
        <v>7604</v>
      </c>
    </row>
    <row r="2358" spans="1:6" x14ac:dyDescent="0.25">
      <c r="A2358" t="s">
        <v>175</v>
      </c>
      <c r="B2358" t="s">
        <v>177</v>
      </c>
      <c r="C2358">
        <v>1</v>
      </c>
      <c r="D2358">
        <v>2</v>
      </c>
      <c r="E2358">
        <v>5</v>
      </c>
      <c r="F2358">
        <v>2945</v>
      </c>
    </row>
    <row r="2359" spans="1:6" x14ac:dyDescent="0.25">
      <c r="A2359" t="s">
        <v>175</v>
      </c>
      <c r="B2359" t="s">
        <v>177</v>
      </c>
      <c r="C2359">
        <v>1</v>
      </c>
      <c r="D2359">
        <v>2</v>
      </c>
      <c r="E2359">
        <v>6</v>
      </c>
      <c r="F2359">
        <v>22616</v>
      </c>
    </row>
    <row r="2360" spans="1:6" x14ac:dyDescent="0.25">
      <c r="A2360" t="s">
        <v>175</v>
      </c>
      <c r="B2360" t="s">
        <v>177</v>
      </c>
      <c r="C2360">
        <v>2</v>
      </c>
      <c r="D2360">
        <v>0</v>
      </c>
      <c r="E2360">
        <v>1</v>
      </c>
      <c r="F2360">
        <v>3001816</v>
      </c>
    </row>
    <row r="2361" spans="1:6" x14ac:dyDescent="0.25">
      <c r="A2361" t="s">
        <v>175</v>
      </c>
      <c r="B2361" t="s">
        <v>177</v>
      </c>
      <c r="C2361">
        <v>2</v>
      </c>
      <c r="D2361">
        <v>0</v>
      </c>
      <c r="E2361">
        <v>2</v>
      </c>
      <c r="F2361">
        <v>910137</v>
      </c>
    </row>
    <row r="2362" spans="1:6" x14ac:dyDescent="0.25">
      <c r="A2362" t="s">
        <v>175</v>
      </c>
      <c r="B2362" t="s">
        <v>177</v>
      </c>
      <c r="C2362">
        <v>2</v>
      </c>
      <c r="D2362">
        <v>0</v>
      </c>
      <c r="E2362">
        <v>3</v>
      </c>
      <c r="F2362">
        <v>27528</v>
      </c>
    </row>
    <row r="2363" spans="1:6" x14ac:dyDescent="0.25">
      <c r="A2363" t="s">
        <v>175</v>
      </c>
      <c r="B2363" t="s">
        <v>177</v>
      </c>
      <c r="C2363">
        <v>2</v>
      </c>
      <c r="D2363">
        <v>0</v>
      </c>
      <c r="E2363">
        <v>4</v>
      </c>
      <c r="F2363">
        <v>355061</v>
      </c>
    </row>
    <row r="2364" spans="1:6" x14ac:dyDescent="0.25">
      <c r="A2364" t="s">
        <v>175</v>
      </c>
      <c r="B2364" t="s">
        <v>177</v>
      </c>
      <c r="C2364">
        <v>2</v>
      </c>
      <c r="D2364">
        <v>0</v>
      </c>
      <c r="E2364">
        <v>5</v>
      </c>
      <c r="F2364">
        <v>6151</v>
      </c>
    </row>
    <row r="2365" spans="1:6" x14ac:dyDescent="0.25">
      <c r="A2365" t="s">
        <v>175</v>
      </c>
      <c r="B2365" t="s">
        <v>177</v>
      </c>
      <c r="C2365">
        <v>2</v>
      </c>
      <c r="D2365">
        <v>0</v>
      </c>
      <c r="E2365">
        <v>6</v>
      </c>
      <c r="F2365">
        <v>159936</v>
      </c>
    </row>
    <row r="2366" spans="1:6" x14ac:dyDescent="0.25">
      <c r="A2366" t="s">
        <v>175</v>
      </c>
      <c r="B2366" t="s">
        <v>177</v>
      </c>
      <c r="C2366">
        <v>2</v>
      </c>
      <c r="D2366">
        <v>1</v>
      </c>
      <c r="E2366">
        <v>1</v>
      </c>
      <c r="F2366">
        <v>2593920</v>
      </c>
    </row>
    <row r="2367" spans="1:6" x14ac:dyDescent="0.25">
      <c r="A2367" t="s">
        <v>175</v>
      </c>
      <c r="B2367" t="s">
        <v>177</v>
      </c>
      <c r="C2367">
        <v>2</v>
      </c>
      <c r="D2367">
        <v>1</v>
      </c>
      <c r="E2367">
        <v>2</v>
      </c>
      <c r="F2367">
        <v>868523</v>
      </c>
    </row>
    <row r="2368" spans="1:6" x14ac:dyDescent="0.25">
      <c r="A2368" t="s">
        <v>175</v>
      </c>
      <c r="B2368" t="s">
        <v>177</v>
      </c>
      <c r="C2368">
        <v>2</v>
      </c>
      <c r="D2368">
        <v>1</v>
      </c>
      <c r="E2368">
        <v>3</v>
      </c>
      <c r="F2368">
        <v>11711</v>
      </c>
    </row>
    <row r="2369" spans="1:6" x14ac:dyDescent="0.25">
      <c r="A2369" t="s">
        <v>175</v>
      </c>
      <c r="B2369" t="s">
        <v>177</v>
      </c>
      <c r="C2369">
        <v>2</v>
      </c>
      <c r="D2369">
        <v>1</v>
      </c>
      <c r="E2369">
        <v>4</v>
      </c>
      <c r="F2369">
        <v>347619</v>
      </c>
    </row>
    <row r="2370" spans="1:6" x14ac:dyDescent="0.25">
      <c r="A2370" t="s">
        <v>175</v>
      </c>
      <c r="B2370" t="s">
        <v>177</v>
      </c>
      <c r="C2370">
        <v>2</v>
      </c>
      <c r="D2370">
        <v>1</v>
      </c>
      <c r="E2370">
        <v>5</v>
      </c>
      <c r="F2370">
        <v>3469</v>
      </c>
    </row>
    <row r="2371" spans="1:6" x14ac:dyDescent="0.25">
      <c r="A2371" t="s">
        <v>175</v>
      </c>
      <c r="B2371" t="s">
        <v>177</v>
      </c>
      <c r="C2371">
        <v>2</v>
      </c>
      <c r="D2371">
        <v>1</v>
      </c>
      <c r="E2371">
        <v>6</v>
      </c>
      <c r="F2371">
        <v>137290</v>
      </c>
    </row>
    <row r="2372" spans="1:6" x14ac:dyDescent="0.25">
      <c r="A2372" t="s">
        <v>175</v>
      </c>
      <c r="B2372" t="s">
        <v>177</v>
      </c>
      <c r="C2372">
        <v>2</v>
      </c>
      <c r="D2372">
        <v>2</v>
      </c>
      <c r="E2372">
        <v>1</v>
      </c>
      <c r="F2372">
        <v>407896</v>
      </c>
    </row>
    <row r="2373" spans="1:6" x14ac:dyDescent="0.25">
      <c r="A2373" t="s">
        <v>175</v>
      </c>
      <c r="B2373" t="s">
        <v>177</v>
      </c>
      <c r="C2373">
        <v>2</v>
      </c>
      <c r="D2373">
        <v>2</v>
      </c>
      <c r="E2373">
        <v>2</v>
      </c>
      <c r="F2373">
        <v>41614</v>
      </c>
    </row>
    <row r="2374" spans="1:6" x14ac:dyDescent="0.25">
      <c r="A2374" t="s">
        <v>175</v>
      </c>
      <c r="B2374" t="s">
        <v>177</v>
      </c>
      <c r="C2374">
        <v>2</v>
      </c>
      <c r="D2374">
        <v>2</v>
      </c>
      <c r="E2374">
        <v>3</v>
      </c>
      <c r="F2374">
        <v>15817</v>
      </c>
    </row>
    <row r="2375" spans="1:6" x14ac:dyDescent="0.25">
      <c r="A2375" t="s">
        <v>175</v>
      </c>
      <c r="B2375" t="s">
        <v>177</v>
      </c>
      <c r="C2375">
        <v>2</v>
      </c>
      <c r="D2375">
        <v>2</v>
      </c>
      <c r="E2375">
        <v>4</v>
      </c>
      <c r="F2375">
        <v>7442</v>
      </c>
    </row>
    <row r="2376" spans="1:6" x14ac:dyDescent="0.25">
      <c r="A2376" t="s">
        <v>175</v>
      </c>
      <c r="B2376" t="s">
        <v>177</v>
      </c>
      <c r="C2376">
        <v>2</v>
      </c>
      <c r="D2376">
        <v>2</v>
      </c>
      <c r="E2376">
        <v>5</v>
      </c>
      <c r="F2376">
        <v>2682</v>
      </c>
    </row>
    <row r="2377" spans="1:6" x14ac:dyDescent="0.25">
      <c r="A2377" t="s">
        <v>175</v>
      </c>
      <c r="B2377" t="s">
        <v>177</v>
      </c>
      <c r="C2377">
        <v>2</v>
      </c>
      <c r="D2377">
        <v>2</v>
      </c>
      <c r="E2377">
        <v>6</v>
      </c>
      <c r="F2377">
        <v>22646</v>
      </c>
    </row>
    <row r="2378" spans="1:6" x14ac:dyDescent="0.25">
      <c r="A2378" t="s">
        <v>178</v>
      </c>
      <c r="B2378" t="s">
        <v>180</v>
      </c>
      <c r="C2378">
        <v>0</v>
      </c>
      <c r="D2378">
        <v>0</v>
      </c>
      <c r="E2378">
        <v>1</v>
      </c>
      <c r="F2378">
        <v>5997386</v>
      </c>
    </row>
    <row r="2379" spans="1:6" x14ac:dyDescent="0.25">
      <c r="A2379" t="s">
        <v>178</v>
      </c>
      <c r="B2379" t="s">
        <v>180</v>
      </c>
      <c r="C2379">
        <v>0</v>
      </c>
      <c r="D2379">
        <v>0</v>
      </c>
      <c r="E2379">
        <v>2</v>
      </c>
      <c r="F2379">
        <v>380439</v>
      </c>
    </row>
    <row r="2380" spans="1:6" x14ac:dyDescent="0.25">
      <c r="A2380" t="s">
        <v>178</v>
      </c>
      <c r="B2380" t="s">
        <v>180</v>
      </c>
      <c r="C2380">
        <v>0</v>
      </c>
      <c r="D2380">
        <v>0</v>
      </c>
      <c r="E2380">
        <v>3</v>
      </c>
      <c r="F2380">
        <v>163476</v>
      </c>
    </row>
    <row r="2381" spans="1:6" x14ac:dyDescent="0.25">
      <c r="A2381" t="s">
        <v>178</v>
      </c>
      <c r="B2381" t="s">
        <v>180</v>
      </c>
      <c r="C2381">
        <v>0</v>
      </c>
      <c r="D2381">
        <v>0</v>
      </c>
      <c r="E2381">
        <v>4</v>
      </c>
      <c r="F2381">
        <v>911228</v>
      </c>
    </row>
    <row r="2382" spans="1:6" x14ac:dyDescent="0.25">
      <c r="A2382" t="s">
        <v>178</v>
      </c>
      <c r="B2382" t="s">
        <v>180</v>
      </c>
      <c r="C2382">
        <v>0</v>
      </c>
      <c r="D2382">
        <v>0</v>
      </c>
      <c r="E2382">
        <v>5</v>
      </c>
      <c r="F2382">
        <v>72852</v>
      </c>
    </row>
    <row r="2383" spans="1:6" x14ac:dyDescent="0.25">
      <c r="A2383" t="s">
        <v>178</v>
      </c>
      <c r="B2383" t="s">
        <v>180</v>
      </c>
      <c r="C2383">
        <v>0</v>
      </c>
      <c r="D2383">
        <v>0</v>
      </c>
      <c r="E2383">
        <v>6</v>
      </c>
      <c r="F2383">
        <v>432799</v>
      </c>
    </row>
    <row r="2384" spans="1:6" x14ac:dyDescent="0.25">
      <c r="A2384" t="s">
        <v>178</v>
      </c>
      <c r="B2384" t="s">
        <v>180</v>
      </c>
      <c r="C2384">
        <v>0</v>
      </c>
      <c r="D2384">
        <v>1</v>
      </c>
      <c r="E2384">
        <v>1</v>
      </c>
      <c r="F2384">
        <v>5010531</v>
      </c>
    </row>
    <row r="2385" spans="1:6" x14ac:dyDescent="0.25">
      <c r="A2385" t="s">
        <v>178</v>
      </c>
      <c r="B2385" t="s">
        <v>180</v>
      </c>
      <c r="C2385">
        <v>0</v>
      </c>
      <c r="D2385">
        <v>1</v>
      </c>
      <c r="E2385">
        <v>2</v>
      </c>
      <c r="F2385">
        <v>343179</v>
      </c>
    </row>
    <row r="2386" spans="1:6" x14ac:dyDescent="0.25">
      <c r="A2386" t="s">
        <v>178</v>
      </c>
      <c r="B2386" t="s">
        <v>180</v>
      </c>
      <c r="C2386">
        <v>0</v>
      </c>
      <c r="D2386">
        <v>1</v>
      </c>
      <c r="E2386">
        <v>3</v>
      </c>
      <c r="F2386">
        <v>93165</v>
      </c>
    </row>
    <row r="2387" spans="1:6" x14ac:dyDescent="0.25">
      <c r="A2387" t="s">
        <v>178</v>
      </c>
      <c r="B2387" t="s">
        <v>180</v>
      </c>
      <c r="C2387">
        <v>0</v>
      </c>
      <c r="D2387">
        <v>1</v>
      </c>
      <c r="E2387">
        <v>4</v>
      </c>
      <c r="F2387">
        <v>888336</v>
      </c>
    </row>
    <row r="2388" spans="1:6" x14ac:dyDescent="0.25">
      <c r="A2388" t="s">
        <v>178</v>
      </c>
      <c r="B2388" t="s">
        <v>180</v>
      </c>
      <c r="C2388">
        <v>0</v>
      </c>
      <c r="D2388">
        <v>1</v>
      </c>
      <c r="E2388">
        <v>5</v>
      </c>
      <c r="F2388">
        <v>65217</v>
      </c>
    </row>
    <row r="2389" spans="1:6" x14ac:dyDescent="0.25">
      <c r="A2389" t="s">
        <v>178</v>
      </c>
      <c r="B2389" t="s">
        <v>180</v>
      </c>
      <c r="C2389">
        <v>0</v>
      </c>
      <c r="D2389">
        <v>1</v>
      </c>
      <c r="E2389">
        <v>6</v>
      </c>
      <c r="F2389">
        <v>363231</v>
      </c>
    </row>
    <row r="2390" spans="1:6" x14ac:dyDescent="0.25">
      <c r="A2390" t="s">
        <v>178</v>
      </c>
      <c r="B2390" t="s">
        <v>180</v>
      </c>
      <c r="C2390">
        <v>0</v>
      </c>
      <c r="D2390">
        <v>2</v>
      </c>
      <c r="E2390">
        <v>1</v>
      </c>
      <c r="F2390">
        <v>986855</v>
      </c>
    </row>
    <row r="2391" spans="1:6" x14ac:dyDescent="0.25">
      <c r="A2391" t="s">
        <v>178</v>
      </c>
      <c r="B2391" t="s">
        <v>180</v>
      </c>
      <c r="C2391">
        <v>0</v>
      </c>
      <c r="D2391">
        <v>2</v>
      </c>
      <c r="E2391">
        <v>2</v>
      </c>
      <c r="F2391">
        <v>37260</v>
      </c>
    </row>
    <row r="2392" spans="1:6" x14ac:dyDescent="0.25">
      <c r="A2392" t="s">
        <v>178</v>
      </c>
      <c r="B2392" t="s">
        <v>180</v>
      </c>
      <c r="C2392">
        <v>0</v>
      </c>
      <c r="D2392">
        <v>2</v>
      </c>
      <c r="E2392">
        <v>3</v>
      </c>
      <c r="F2392">
        <v>70311</v>
      </c>
    </row>
    <row r="2393" spans="1:6" x14ac:dyDescent="0.25">
      <c r="A2393" t="s">
        <v>178</v>
      </c>
      <c r="B2393" t="s">
        <v>180</v>
      </c>
      <c r="C2393">
        <v>0</v>
      </c>
      <c r="D2393">
        <v>2</v>
      </c>
      <c r="E2393">
        <v>4</v>
      </c>
      <c r="F2393">
        <v>22892</v>
      </c>
    </row>
    <row r="2394" spans="1:6" x14ac:dyDescent="0.25">
      <c r="A2394" t="s">
        <v>178</v>
      </c>
      <c r="B2394" t="s">
        <v>180</v>
      </c>
      <c r="C2394">
        <v>0</v>
      </c>
      <c r="D2394">
        <v>2</v>
      </c>
      <c r="E2394">
        <v>5</v>
      </c>
      <c r="F2394">
        <v>7635</v>
      </c>
    </row>
    <row r="2395" spans="1:6" x14ac:dyDescent="0.25">
      <c r="A2395" t="s">
        <v>178</v>
      </c>
      <c r="B2395" t="s">
        <v>180</v>
      </c>
      <c r="C2395">
        <v>0</v>
      </c>
      <c r="D2395">
        <v>2</v>
      </c>
      <c r="E2395">
        <v>6</v>
      </c>
      <c r="F2395">
        <v>69568</v>
      </c>
    </row>
    <row r="2396" spans="1:6" x14ac:dyDescent="0.25">
      <c r="A2396" t="s">
        <v>178</v>
      </c>
      <c r="B2396" t="s">
        <v>180</v>
      </c>
      <c r="C2396">
        <v>1</v>
      </c>
      <c r="D2396">
        <v>0</v>
      </c>
      <c r="E2396">
        <v>1</v>
      </c>
      <c r="F2396">
        <v>3026136</v>
      </c>
    </row>
    <row r="2397" spans="1:6" x14ac:dyDescent="0.25">
      <c r="A2397" t="s">
        <v>178</v>
      </c>
      <c r="B2397" t="s">
        <v>180</v>
      </c>
      <c r="C2397">
        <v>1</v>
      </c>
      <c r="D2397">
        <v>0</v>
      </c>
      <c r="E2397">
        <v>2</v>
      </c>
      <c r="F2397">
        <v>204694</v>
      </c>
    </row>
    <row r="2398" spans="1:6" x14ac:dyDescent="0.25">
      <c r="A2398" t="s">
        <v>178</v>
      </c>
      <c r="B2398" t="s">
        <v>180</v>
      </c>
      <c r="C2398">
        <v>1</v>
      </c>
      <c r="D2398">
        <v>0</v>
      </c>
      <c r="E2398">
        <v>3</v>
      </c>
      <c r="F2398">
        <v>83203</v>
      </c>
    </row>
    <row r="2399" spans="1:6" x14ac:dyDescent="0.25">
      <c r="A2399" t="s">
        <v>178</v>
      </c>
      <c r="B2399" t="s">
        <v>180</v>
      </c>
      <c r="C2399">
        <v>1</v>
      </c>
      <c r="D2399">
        <v>0</v>
      </c>
      <c r="E2399">
        <v>4</v>
      </c>
      <c r="F2399">
        <v>438579</v>
      </c>
    </row>
    <row r="2400" spans="1:6" x14ac:dyDescent="0.25">
      <c r="A2400" t="s">
        <v>178</v>
      </c>
      <c r="B2400" t="s">
        <v>180</v>
      </c>
      <c r="C2400">
        <v>1</v>
      </c>
      <c r="D2400">
        <v>0</v>
      </c>
      <c r="E2400">
        <v>5</v>
      </c>
      <c r="F2400">
        <v>36559</v>
      </c>
    </row>
    <row r="2401" spans="1:6" x14ac:dyDescent="0.25">
      <c r="A2401" t="s">
        <v>178</v>
      </c>
      <c r="B2401" t="s">
        <v>180</v>
      </c>
      <c r="C2401">
        <v>1</v>
      </c>
      <c r="D2401">
        <v>0</v>
      </c>
      <c r="E2401">
        <v>6</v>
      </c>
      <c r="F2401">
        <v>217751</v>
      </c>
    </row>
    <row r="2402" spans="1:6" x14ac:dyDescent="0.25">
      <c r="A2402" t="s">
        <v>178</v>
      </c>
      <c r="B2402" t="s">
        <v>180</v>
      </c>
      <c r="C2402">
        <v>1</v>
      </c>
      <c r="D2402">
        <v>1</v>
      </c>
      <c r="E2402">
        <v>1</v>
      </c>
      <c r="F2402">
        <v>2513672</v>
      </c>
    </row>
    <row r="2403" spans="1:6" x14ac:dyDescent="0.25">
      <c r="A2403" t="s">
        <v>178</v>
      </c>
      <c r="B2403" t="s">
        <v>180</v>
      </c>
      <c r="C2403">
        <v>1</v>
      </c>
      <c r="D2403">
        <v>1</v>
      </c>
      <c r="E2403">
        <v>2</v>
      </c>
      <c r="F2403">
        <v>185220</v>
      </c>
    </row>
    <row r="2404" spans="1:6" x14ac:dyDescent="0.25">
      <c r="A2404" t="s">
        <v>178</v>
      </c>
      <c r="B2404" t="s">
        <v>180</v>
      </c>
      <c r="C2404">
        <v>1</v>
      </c>
      <c r="D2404">
        <v>1</v>
      </c>
      <c r="E2404">
        <v>3</v>
      </c>
      <c r="F2404">
        <v>46305</v>
      </c>
    </row>
    <row r="2405" spans="1:6" x14ac:dyDescent="0.25">
      <c r="A2405" t="s">
        <v>178</v>
      </c>
      <c r="B2405" t="s">
        <v>180</v>
      </c>
      <c r="C2405">
        <v>1</v>
      </c>
      <c r="D2405">
        <v>1</v>
      </c>
      <c r="E2405">
        <v>4</v>
      </c>
      <c r="F2405">
        <v>426775</v>
      </c>
    </row>
    <row r="2406" spans="1:6" x14ac:dyDescent="0.25">
      <c r="A2406" t="s">
        <v>178</v>
      </c>
      <c r="B2406" t="s">
        <v>180</v>
      </c>
      <c r="C2406">
        <v>1</v>
      </c>
      <c r="D2406">
        <v>1</v>
      </c>
      <c r="E2406">
        <v>5</v>
      </c>
      <c r="F2406">
        <v>32625</v>
      </c>
    </row>
    <row r="2407" spans="1:6" x14ac:dyDescent="0.25">
      <c r="A2407" t="s">
        <v>178</v>
      </c>
      <c r="B2407" t="s">
        <v>180</v>
      </c>
      <c r="C2407">
        <v>1</v>
      </c>
      <c r="D2407">
        <v>1</v>
      </c>
      <c r="E2407">
        <v>6</v>
      </c>
      <c r="F2407">
        <v>182432</v>
      </c>
    </row>
    <row r="2408" spans="1:6" x14ac:dyDescent="0.25">
      <c r="A2408" t="s">
        <v>178</v>
      </c>
      <c r="B2408" t="s">
        <v>180</v>
      </c>
      <c r="C2408">
        <v>1</v>
      </c>
      <c r="D2408">
        <v>2</v>
      </c>
      <c r="E2408">
        <v>1</v>
      </c>
      <c r="F2408">
        <v>512464</v>
      </c>
    </row>
    <row r="2409" spans="1:6" x14ac:dyDescent="0.25">
      <c r="A2409" t="s">
        <v>178</v>
      </c>
      <c r="B2409" t="s">
        <v>180</v>
      </c>
      <c r="C2409">
        <v>1</v>
      </c>
      <c r="D2409">
        <v>2</v>
      </c>
      <c r="E2409">
        <v>2</v>
      </c>
      <c r="F2409">
        <v>19474</v>
      </c>
    </row>
    <row r="2410" spans="1:6" x14ac:dyDescent="0.25">
      <c r="A2410" t="s">
        <v>178</v>
      </c>
      <c r="B2410" t="s">
        <v>180</v>
      </c>
      <c r="C2410">
        <v>1</v>
      </c>
      <c r="D2410">
        <v>2</v>
      </c>
      <c r="E2410">
        <v>3</v>
      </c>
      <c r="F2410">
        <v>36898</v>
      </c>
    </row>
    <row r="2411" spans="1:6" x14ac:dyDescent="0.25">
      <c r="A2411" t="s">
        <v>178</v>
      </c>
      <c r="B2411" t="s">
        <v>180</v>
      </c>
      <c r="C2411">
        <v>1</v>
      </c>
      <c r="D2411">
        <v>2</v>
      </c>
      <c r="E2411">
        <v>4</v>
      </c>
      <c r="F2411">
        <v>11804</v>
      </c>
    </row>
    <row r="2412" spans="1:6" x14ac:dyDescent="0.25">
      <c r="A2412" t="s">
        <v>178</v>
      </c>
      <c r="B2412" t="s">
        <v>180</v>
      </c>
      <c r="C2412">
        <v>1</v>
      </c>
      <c r="D2412">
        <v>2</v>
      </c>
      <c r="E2412">
        <v>5</v>
      </c>
      <c r="F2412">
        <v>3934</v>
      </c>
    </row>
    <row r="2413" spans="1:6" x14ac:dyDescent="0.25">
      <c r="A2413" t="s">
        <v>178</v>
      </c>
      <c r="B2413" t="s">
        <v>180</v>
      </c>
      <c r="C2413">
        <v>1</v>
      </c>
      <c r="D2413">
        <v>2</v>
      </c>
      <c r="E2413">
        <v>6</v>
      </c>
      <c r="F2413">
        <v>35319</v>
      </c>
    </row>
    <row r="2414" spans="1:6" x14ac:dyDescent="0.25">
      <c r="A2414" t="s">
        <v>178</v>
      </c>
      <c r="B2414" t="s">
        <v>180</v>
      </c>
      <c r="C2414">
        <v>2</v>
      </c>
      <c r="D2414">
        <v>0</v>
      </c>
      <c r="E2414">
        <v>1</v>
      </c>
      <c r="F2414">
        <v>2971250</v>
      </c>
    </row>
    <row r="2415" spans="1:6" x14ac:dyDescent="0.25">
      <c r="A2415" t="s">
        <v>178</v>
      </c>
      <c r="B2415" t="s">
        <v>180</v>
      </c>
      <c r="C2415">
        <v>2</v>
      </c>
      <c r="D2415">
        <v>0</v>
      </c>
      <c r="E2415">
        <v>2</v>
      </c>
      <c r="F2415">
        <v>175745</v>
      </c>
    </row>
    <row r="2416" spans="1:6" x14ac:dyDescent="0.25">
      <c r="A2416" t="s">
        <v>178</v>
      </c>
      <c r="B2416" t="s">
        <v>180</v>
      </c>
      <c r="C2416">
        <v>2</v>
      </c>
      <c r="D2416">
        <v>0</v>
      </c>
      <c r="E2416">
        <v>3</v>
      </c>
      <c r="F2416">
        <v>80273</v>
      </c>
    </row>
    <row r="2417" spans="1:6" x14ac:dyDescent="0.25">
      <c r="A2417" t="s">
        <v>178</v>
      </c>
      <c r="B2417" t="s">
        <v>180</v>
      </c>
      <c r="C2417">
        <v>2</v>
      </c>
      <c r="D2417">
        <v>0</v>
      </c>
      <c r="E2417">
        <v>4</v>
      </c>
      <c r="F2417">
        <v>472649</v>
      </c>
    </row>
    <row r="2418" spans="1:6" x14ac:dyDescent="0.25">
      <c r="A2418" t="s">
        <v>178</v>
      </c>
      <c r="B2418" t="s">
        <v>180</v>
      </c>
      <c r="C2418">
        <v>2</v>
      </c>
      <c r="D2418">
        <v>0</v>
      </c>
      <c r="E2418">
        <v>5</v>
      </c>
      <c r="F2418">
        <v>36293</v>
      </c>
    </row>
    <row r="2419" spans="1:6" x14ac:dyDescent="0.25">
      <c r="A2419" t="s">
        <v>178</v>
      </c>
      <c r="B2419" t="s">
        <v>180</v>
      </c>
      <c r="C2419">
        <v>2</v>
      </c>
      <c r="D2419">
        <v>0</v>
      </c>
      <c r="E2419">
        <v>6</v>
      </c>
      <c r="F2419">
        <v>215048</v>
      </c>
    </row>
    <row r="2420" spans="1:6" x14ac:dyDescent="0.25">
      <c r="A2420" t="s">
        <v>178</v>
      </c>
      <c r="B2420" t="s">
        <v>180</v>
      </c>
      <c r="C2420">
        <v>2</v>
      </c>
      <c r="D2420">
        <v>1</v>
      </c>
      <c r="E2420">
        <v>1</v>
      </c>
      <c r="F2420">
        <v>2496859</v>
      </c>
    </row>
    <row r="2421" spans="1:6" x14ac:dyDescent="0.25">
      <c r="A2421" t="s">
        <v>178</v>
      </c>
      <c r="B2421" t="s">
        <v>180</v>
      </c>
      <c r="C2421">
        <v>2</v>
      </c>
      <c r="D2421">
        <v>1</v>
      </c>
      <c r="E2421">
        <v>2</v>
      </c>
      <c r="F2421">
        <v>157959</v>
      </c>
    </row>
    <row r="2422" spans="1:6" x14ac:dyDescent="0.25">
      <c r="A2422" t="s">
        <v>178</v>
      </c>
      <c r="B2422" t="s">
        <v>180</v>
      </c>
      <c r="C2422">
        <v>2</v>
      </c>
      <c r="D2422">
        <v>1</v>
      </c>
      <c r="E2422">
        <v>3</v>
      </c>
      <c r="F2422">
        <v>46860</v>
      </c>
    </row>
    <row r="2423" spans="1:6" x14ac:dyDescent="0.25">
      <c r="A2423" t="s">
        <v>178</v>
      </c>
      <c r="B2423" t="s">
        <v>180</v>
      </c>
      <c r="C2423">
        <v>2</v>
      </c>
      <c r="D2423">
        <v>1</v>
      </c>
      <c r="E2423">
        <v>4</v>
      </c>
      <c r="F2423">
        <v>461561</v>
      </c>
    </row>
    <row r="2424" spans="1:6" x14ac:dyDescent="0.25">
      <c r="A2424" t="s">
        <v>178</v>
      </c>
      <c r="B2424" t="s">
        <v>180</v>
      </c>
      <c r="C2424">
        <v>2</v>
      </c>
      <c r="D2424">
        <v>1</v>
      </c>
      <c r="E2424">
        <v>5</v>
      </c>
      <c r="F2424">
        <v>32592</v>
      </c>
    </row>
    <row r="2425" spans="1:6" x14ac:dyDescent="0.25">
      <c r="A2425" t="s">
        <v>178</v>
      </c>
      <c r="B2425" t="s">
        <v>180</v>
      </c>
      <c r="C2425">
        <v>2</v>
      </c>
      <c r="D2425">
        <v>1</v>
      </c>
      <c r="E2425">
        <v>6</v>
      </c>
      <c r="F2425">
        <v>180799</v>
      </c>
    </row>
    <row r="2426" spans="1:6" x14ac:dyDescent="0.25">
      <c r="A2426" t="s">
        <v>178</v>
      </c>
      <c r="B2426" t="s">
        <v>180</v>
      </c>
      <c r="C2426">
        <v>2</v>
      </c>
      <c r="D2426">
        <v>2</v>
      </c>
      <c r="E2426">
        <v>1</v>
      </c>
      <c r="F2426">
        <v>474391</v>
      </c>
    </row>
    <row r="2427" spans="1:6" x14ac:dyDescent="0.25">
      <c r="A2427" t="s">
        <v>178</v>
      </c>
      <c r="B2427" t="s">
        <v>180</v>
      </c>
      <c r="C2427">
        <v>2</v>
      </c>
      <c r="D2427">
        <v>2</v>
      </c>
      <c r="E2427">
        <v>2</v>
      </c>
      <c r="F2427">
        <v>17786</v>
      </c>
    </row>
    <row r="2428" spans="1:6" x14ac:dyDescent="0.25">
      <c r="A2428" t="s">
        <v>178</v>
      </c>
      <c r="B2428" t="s">
        <v>180</v>
      </c>
      <c r="C2428">
        <v>2</v>
      </c>
      <c r="D2428">
        <v>2</v>
      </c>
      <c r="E2428">
        <v>3</v>
      </c>
      <c r="F2428">
        <v>33413</v>
      </c>
    </row>
    <row r="2429" spans="1:6" x14ac:dyDescent="0.25">
      <c r="A2429" t="s">
        <v>178</v>
      </c>
      <c r="B2429" t="s">
        <v>180</v>
      </c>
      <c r="C2429">
        <v>2</v>
      </c>
      <c r="D2429">
        <v>2</v>
      </c>
      <c r="E2429">
        <v>4</v>
      </c>
      <c r="F2429">
        <v>11088</v>
      </c>
    </row>
    <row r="2430" spans="1:6" x14ac:dyDescent="0.25">
      <c r="A2430" t="s">
        <v>178</v>
      </c>
      <c r="B2430" t="s">
        <v>180</v>
      </c>
      <c r="C2430">
        <v>2</v>
      </c>
      <c r="D2430">
        <v>2</v>
      </c>
      <c r="E2430">
        <v>5</v>
      </c>
      <c r="F2430">
        <v>3701</v>
      </c>
    </row>
    <row r="2431" spans="1:6" x14ac:dyDescent="0.25">
      <c r="A2431" t="s">
        <v>178</v>
      </c>
      <c r="B2431" t="s">
        <v>180</v>
      </c>
      <c r="C2431">
        <v>2</v>
      </c>
      <c r="D2431">
        <v>2</v>
      </c>
      <c r="E2431">
        <v>6</v>
      </c>
      <c r="F2431">
        <v>34249</v>
      </c>
    </row>
    <row r="2432" spans="1:6" x14ac:dyDescent="0.25">
      <c r="A2432" t="s">
        <v>181</v>
      </c>
      <c r="B2432" t="s">
        <v>183</v>
      </c>
      <c r="C2432">
        <v>0</v>
      </c>
      <c r="D2432">
        <v>0</v>
      </c>
      <c r="E2432">
        <v>1</v>
      </c>
      <c r="F2432">
        <v>1638139</v>
      </c>
    </row>
    <row r="2433" spans="1:6" x14ac:dyDescent="0.25">
      <c r="A2433" t="s">
        <v>181</v>
      </c>
      <c r="B2433" t="s">
        <v>183</v>
      </c>
      <c r="C2433">
        <v>0</v>
      </c>
      <c r="D2433">
        <v>0</v>
      </c>
      <c r="E2433">
        <v>2</v>
      </c>
      <c r="F2433">
        <v>68826</v>
      </c>
    </row>
    <row r="2434" spans="1:6" x14ac:dyDescent="0.25">
      <c r="A2434" t="s">
        <v>181</v>
      </c>
      <c r="B2434" t="s">
        <v>183</v>
      </c>
      <c r="C2434">
        <v>0</v>
      </c>
      <c r="D2434">
        <v>0</v>
      </c>
      <c r="E2434">
        <v>3</v>
      </c>
      <c r="F2434">
        <v>5370</v>
      </c>
    </row>
    <row r="2435" spans="1:6" x14ac:dyDescent="0.25">
      <c r="A2435" t="s">
        <v>181</v>
      </c>
      <c r="B2435" t="s">
        <v>183</v>
      </c>
      <c r="C2435">
        <v>0</v>
      </c>
      <c r="D2435">
        <v>0</v>
      </c>
      <c r="E2435">
        <v>4</v>
      </c>
      <c r="F2435">
        <v>17777</v>
      </c>
    </row>
    <row r="2436" spans="1:6" x14ac:dyDescent="0.25">
      <c r="A2436" t="s">
        <v>181</v>
      </c>
      <c r="B2436" t="s">
        <v>183</v>
      </c>
      <c r="C2436">
        <v>0</v>
      </c>
      <c r="D2436">
        <v>0</v>
      </c>
      <c r="E2436">
        <v>5</v>
      </c>
      <c r="F2436">
        <v>632</v>
      </c>
    </row>
    <row r="2437" spans="1:6" x14ac:dyDescent="0.25">
      <c r="A2437" t="s">
        <v>181</v>
      </c>
      <c r="B2437" t="s">
        <v>183</v>
      </c>
      <c r="C2437">
        <v>0</v>
      </c>
      <c r="D2437">
        <v>0</v>
      </c>
      <c r="E2437">
        <v>6</v>
      </c>
      <c r="F2437">
        <v>39235</v>
      </c>
    </row>
    <row r="2438" spans="1:6" x14ac:dyDescent="0.25">
      <c r="A2438" t="s">
        <v>181</v>
      </c>
      <c r="B2438" t="s">
        <v>183</v>
      </c>
      <c r="C2438">
        <v>0</v>
      </c>
      <c r="D2438">
        <v>1</v>
      </c>
      <c r="E2438">
        <v>1</v>
      </c>
      <c r="F2438">
        <v>1602726</v>
      </c>
    </row>
    <row r="2439" spans="1:6" x14ac:dyDescent="0.25">
      <c r="A2439" t="s">
        <v>181</v>
      </c>
      <c r="B2439" t="s">
        <v>183</v>
      </c>
      <c r="C2439">
        <v>0</v>
      </c>
      <c r="D2439">
        <v>1</v>
      </c>
      <c r="E2439">
        <v>2</v>
      </c>
      <c r="F2439">
        <v>66206</v>
      </c>
    </row>
    <row r="2440" spans="1:6" x14ac:dyDescent="0.25">
      <c r="A2440" t="s">
        <v>181</v>
      </c>
      <c r="B2440" t="s">
        <v>183</v>
      </c>
      <c r="C2440">
        <v>0</v>
      </c>
      <c r="D2440">
        <v>1</v>
      </c>
      <c r="E2440">
        <v>3</v>
      </c>
      <c r="F2440">
        <v>3900</v>
      </c>
    </row>
    <row r="2441" spans="1:6" x14ac:dyDescent="0.25">
      <c r="A2441" t="s">
        <v>181</v>
      </c>
      <c r="B2441" t="s">
        <v>183</v>
      </c>
      <c r="C2441">
        <v>0</v>
      </c>
      <c r="D2441">
        <v>1</v>
      </c>
      <c r="E2441">
        <v>4</v>
      </c>
      <c r="F2441">
        <v>17347</v>
      </c>
    </row>
    <row r="2442" spans="1:6" x14ac:dyDescent="0.25">
      <c r="A2442" t="s">
        <v>181</v>
      </c>
      <c r="B2442" t="s">
        <v>183</v>
      </c>
      <c r="C2442">
        <v>0</v>
      </c>
      <c r="D2442">
        <v>1</v>
      </c>
      <c r="E2442">
        <v>5</v>
      </c>
      <c r="F2442">
        <v>456</v>
      </c>
    </row>
    <row r="2443" spans="1:6" x14ac:dyDescent="0.25">
      <c r="A2443" t="s">
        <v>181</v>
      </c>
      <c r="B2443" t="s">
        <v>183</v>
      </c>
      <c r="C2443">
        <v>0</v>
      </c>
      <c r="D2443">
        <v>1</v>
      </c>
      <c r="E2443">
        <v>6</v>
      </c>
      <c r="F2443">
        <v>36752</v>
      </c>
    </row>
    <row r="2444" spans="1:6" x14ac:dyDescent="0.25">
      <c r="A2444" t="s">
        <v>181</v>
      </c>
      <c r="B2444" t="s">
        <v>183</v>
      </c>
      <c r="C2444">
        <v>0</v>
      </c>
      <c r="D2444">
        <v>2</v>
      </c>
      <c r="E2444">
        <v>1</v>
      </c>
      <c r="F2444">
        <v>35413</v>
      </c>
    </row>
    <row r="2445" spans="1:6" x14ac:dyDescent="0.25">
      <c r="A2445" t="s">
        <v>181</v>
      </c>
      <c r="B2445" t="s">
        <v>183</v>
      </c>
      <c r="C2445">
        <v>0</v>
      </c>
      <c r="D2445">
        <v>2</v>
      </c>
      <c r="E2445">
        <v>2</v>
      </c>
      <c r="F2445">
        <v>2620</v>
      </c>
    </row>
    <row r="2446" spans="1:6" x14ac:dyDescent="0.25">
      <c r="A2446" t="s">
        <v>181</v>
      </c>
      <c r="B2446" t="s">
        <v>183</v>
      </c>
      <c r="C2446">
        <v>0</v>
      </c>
      <c r="D2446">
        <v>2</v>
      </c>
      <c r="E2446">
        <v>3</v>
      </c>
      <c r="F2446">
        <v>1470</v>
      </c>
    </row>
    <row r="2447" spans="1:6" x14ac:dyDescent="0.25">
      <c r="A2447" t="s">
        <v>181</v>
      </c>
      <c r="B2447" t="s">
        <v>183</v>
      </c>
      <c r="C2447">
        <v>0</v>
      </c>
      <c r="D2447">
        <v>2</v>
      </c>
      <c r="E2447">
        <v>4</v>
      </c>
      <c r="F2447">
        <v>430</v>
      </c>
    </row>
    <row r="2448" spans="1:6" x14ac:dyDescent="0.25">
      <c r="A2448" t="s">
        <v>181</v>
      </c>
      <c r="B2448" t="s">
        <v>183</v>
      </c>
      <c r="C2448">
        <v>0</v>
      </c>
      <c r="D2448">
        <v>2</v>
      </c>
      <c r="E2448">
        <v>5</v>
      </c>
      <c r="F2448">
        <v>176</v>
      </c>
    </row>
    <row r="2449" spans="1:6" x14ac:dyDescent="0.25">
      <c r="A2449" t="s">
        <v>181</v>
      </c>
      <c r="B2449" t="s">
        <v>183</v>
      </c>
      <c r="C2449">
        <v>0</v>
      </c>
      <c r="D2449">
        <v>2</v>
      </c>
      <c r="E2449">
        <v>6</v>
      </c>
      <c r="F2449">
        <v>2483</v>
      </c>
    </row>
    <row r="2450" spans="1:6" x14ac:dyDescent="0.25">
      <c r="A2450" t="s">
        <v>181</v>
      </c>
      <c r="B2450" t="s">
        <v>183</v>
      </c>
      <c r="C2450">
        <v>1</v>
      </c>
      <c r="D2450">
        <v>0</v>
      </c>
      <c r="E2450">
        <v>1</v>
      </c>
      <c r="F2450">
        <v>814816</v>
      </c>
    </row>
    <row r="2451" spans="1:6" x14ac:dyDescent="0.25">
      <c r="A2451" t="s">
        <v>181</v>
      </c>
      <c r="B2451" t="s">
        <v>183</v>
      </c>
      <c r="C2451">
        <v>1</v>
      </c>
      <c r="D2451">
        <v>0</v>
      </c>
      <c r="E2451">
        <v>2</v>
      </c>
      <c r="F2451">
        <v>37554</v>
      </c>
    </row>
    <row r="2452" spans="1:6" x14ac:dyDescent="0.25">
      <c r="A2452" t="s">
        <v>181</v>
      </c>
      <c r="B2452" t="s">
        <v>183</v>
      </c>
      <c r="C2452">
        <v>1</v>
      </c>
      <c r="D2452">
        <v>0</v>
      </c>
      <c r="E2452">
        <v>3</v>
      </c>
      <c r="F2452">
        <v>2888</v>
      </c>
    </row>
    <row r="2453" spans="1:6" x14ac:dyDescent="0.25">
      <c r="A2453" t="s">
        <v>181</v>
      </c>
      <c r="B2453" t="s">
        <v>183</v>
      </c>
      <c r="C2453">
        <v>1</v>
      </c>
      <c r="D2453">
        <v>0</v>
      </c>
      <c r="E2453">
        <v>4</v>
      </c>
      <c r="F2453">
        <v>8444</v>
      </c>
    </row>
    <row r="2454" spans="1:6" x14ac:dyDescent="0.25">
      <c r="A2454" t="s">
        <v>181</v>
      </c>
      <c r="B2454" t="s">
        <v>183</v>
      </c>
      <c r="C2454">
        <v>1</v>
      </c>
      <c r="D2454">
        <v>0</v>
      </c>
      <c r="E2454">
        <v>5</v>
      </c>
      <c r="F2454">
        <v>320</v>
      </c>
    </row>
    <row r="2455" spans="1:6" x14ac:dyDescent="0.25">
      <c r="A2455" t="s">
        <v>181</v>
      </c>
      <c r="B2455" t="s">
        <v>183</v>
      </c>
      <c r="C2455">
        <v>1</v>
      </c>
      <c r="D2455">
        <v>0</v>
      </c>
      <c r="E2455">
        <v>6</v>
      </c>
      <c r="F2455">
        <v>19795</v>
      </c>
    </row>
    <row r="2456" spans="1:6" x14ac:dyDescent="0.25">
      <c r="A2456" t="s">
        <v>181</v>
      </c>
      <c r="B2456" t="s">
        <v>183</v>
      </c>
      <c r="C2456">
        <v>1</v>
      </c>
      <c r="D2456">
        <v>1</v>
      </c>
      <c r="E2456">
        <v>1</v>
      </c>
      <c r="F2456">
        <v>796118</v>
      </c>
    </row>
    <row r="2457" spans="1:6" x14ac:dyDescent="0.25">
      <c r="A2457" t="s">
        <v>181</v>
      </c>
      <c r="B2457" t="s">
        <v>183</v>
      </c>
      <c r="C2457">
        <v>1</v>
      </c>
      <c r="D2457">
        <v>1</v>
      </c>
      <c r="E2457">
        <v>2</v>
      </c>
      <c r="F2457">
        <v>36148</v>
      </c>
    </row>
    <row r="2458" spans="1:6" x14ac:dyDescent="0.25">
      <c r="A2458" t="s">
        <v>181</v>
      </c>
      <c r="B2458" t="s">
        <v>183</v>
      </c>
      <c r="C2458">
        <v>1</v>
      </c>
      <c r="D2458">
        <v>1</v>
      </c>
      <c r="E2458">
        <v>3</v>
      </c>
      <c r="F2458">
        <v>2031</v>
      </c>
    </row>
    <row r="2459" spans="1:6" x14ac:dyDescent="0.25">
      <c r="A2459" t="s">
        <v>181</v>
      </c>
      <c r="B2459" t="s">
        <v>183</v>
      </c>
      <c r="C2459">
        <v>1</v>
      </c>
      <c r="D2459">
        <v>1</v>
      </c>
      <c r="E2459">
        <v>4</v>
      </c>
      <c r="F2459">
        <v>8182</v>
      </c>
    </row>
    <row r="2460" spans="1:6" x14ac:dyDescent="0.25">
      <c r="A2460" t="s">
        <v>181</v>
      </c>
      <c r="B2460" t="s">
        <v>183</v>
      </c>
      <c r="C2460">
        <v>1</v>
      </c>
      <c r="D2460">
        <v>1</v>
      </c>
      <c r="E2460">
        <v>5</v>
      </c>
      <c r="F2460">
        <v>242</v>
      </c>
    </row>
    <row r="2461" spans="1:6" x14ac:dyDescent="0.25">
      <c r="A2461" t="s">
        <v>181</v>
      </c>
      <c r="B2461" t="s">
        <v>183</v>
      </c>
      <c r="C2461">
        <v>1</v>
      </c>
      <c r="D2461">
        <v>1</v>
      </c>
      <c r="E2461">
        <v>6</v>
      </c>
      <c r="F2461">
        <v>18537</v>
      </c>
    </row>
    <row r="2462" spans="1:6" x14ac:dyDescent="0.25">
      <c r="A2462" t="s">
        <v>181</v>
      </c>
      <c r="B2462" t="s">
        <v>183</v>
      </c>
      <c r="C2462">
        <v>1</v>
      </c>
      <c r="D2462">
        <v>2</v>
      </c>
      <c r="E2462">
        <v>1</v>
      </c>
      <c r="F2462">
        <v>18698</v>
      </c>
    </row>
    <row r="2463" spans="1:6" x14ac:dyDescent="0.25">
      <c r="A2463" t="s">
        <v>181</v>
      </c>
      <c r="B2463" t="s">
        <v>183</v>
      </c>
      <c r="C2463">
        <v>1</v>
      </c>
      <c r="D2463">
        <v>2</v>
      </c>
      <c r="E2463">
        <v>2</v>
      </c>
      <c r="F2463">
        <v>1406</v>
      </c>
    </row>
    <row r="2464" spans="1:6" x14ac:dyDescent="0.25">
      <c r="A2464" t="s">
        <v>181</v>
      </c>
      <c r="B2464" t="s">
        <v>183</v>
      </c>
      <c r="C2464">
        <v>1</v>
      </c>
      <c r="D2464">
        <v>2</v>
      </c>
      <c r="E2464">
        <v>3</v>
      </c>
      <c r="F2464">
        <v>857</v>
      </c>
    </row>
    <row r="2465" spans="1:6" x14ac:dyDescent="0.25">
      <c r="A2465" t="s">
        <v>181</v>
      </c>
      <c r="B2465" t="s">
        <v>183</v>
      </c>
      <c r="C2465">
        <v>1</v>
      </c>
      <c r="D2465">
        <v>2</v>
      </c>
      <c r="E2465">
        <v>4</v>
      </c>
      <c r="F2465">
        <v>262</v>
      </c>
    </row>
    <row r="2466" spans="1:6" x14ac:dyDescent="0.25">
      <c r="A2466" t="s">
        <v>181</v>
      </c>
      <c r="B2466" t="s">
        <v>183</v>
      </c>
      <c r="C2466">
        <v>1</v>
      </c>
      <c r="D2466">
        <v>2</v>
      </c>
      <c r="E2466">
        <v>5</v>
      </c>
      <c r="F2466">
        <v>78</v>
      </c>
    </row>
    <row r="2467" spans="1:6" x14ac:dyDescent="0.25">
      <c r="A2467" t="s">
        <v>181</v>
      </c>
      <c r="B2467" t="s">
        <v>183</v>
      </c>
      <c r="C2467">
        <v>1</v>
      </c>
      <c r="D2467">
        <v>2</v>
      </c>
      <c r="E2467">
        <v>6</v>
      </c>
      <c r="F2467">
        <v>1258</v>
      </c>
    </row>
    <row r="2468" spans="1:6" x14ac:dyDescent="0.25">
      <c r="A2468" t="s">
        <v>181</v>
      </c>
      <c r="B2468" t="s">
        <v>183</v>
      </c>
      <c r="C2468">
        <v>2</v>
      </c>
      <c r="D2468">
        <v>0</v>
      </c>
      <c r="E2468">
        <v>1</v>
      </c>
      <c r="F2468">
        <v>823323</v>
      </c>
    </row>
    <row r="2469" spans="1:6" x14ac:dyDescent="0.25">
      <c r="A2469" t="s">
        <v>181</v>
      </c>
      <c r="B2469" t="s">
        <v>183</v>
      </c>
      <c r="C2469">
        <v>2</v>
      </c>
      <c r="D2469">
        <v>0</v>
      </c>
      <c r="E2469">
        <v>2</v>
      </c>
      <c r="F2469">
        <v>31272</v>
      </c>
    </row>
    <row r="2470" spans="1:6" x14ac:dyDescent="0.25">
      <c r="A2470" t="s">
        <v>181</v>
      </c>
      <c r="B2470" t="s">
        <v>183</v>
      </c>
      <c r="C2470">
        <v>2</v>
      </c>
      <c r="D2470">
        <v>0</v>
      </c>
      <c r="E2470">
        <v>3</v>
      </c>
      <c r="F2470">
        <v>2482</v>
      </c>
    </row>
    <row r="2471" spans="1:6" x14ac:dyDescent="0.25">
      <c r="A2471" t="s">
        <v>181</v>
      </c>
      <c r="B2471" t="s">
        <v>183</v>
      </c>
      <c r="C2471">
        <v>2</v>
      </c>
      <c r="D2471">
        <v>0</v>
      </c>
      <c r="E2471">
        <v>4</v>
      </c>
      <c r="F2471">
        <v>9333</v>
      </c>
    </row>
    <row r="2472" spans="1:6" x14ac:dyDescent="0.25">
      <c r="A2472" t="s">
        <v>181</v>
      </c>
      <c r="B2472" t="s">
        <v>183</v>
      </c>
      <c r="C2472">
        <v>2</v>
      </c>
      <c r="D2472">
        <v>0</v>
      </c>
      <c r="E2472">
        <v>5</v>
      </c>
      <c r="F2472">
        <v>312</v>
      </c>
    </row>
    <row r="2473" spans="1:6" x14ac:dyDescent="0.25">
      <c r="A2473" t="s">
        <v>181</v>
      </c>
      <c r="B2473" t="s">
        <v>183</v>
      </c>
      <c r="C2473">
        <v>2</v>
      </c>
      <c r="D2473">
        <v>0</v>
      </c>
      <c r="E2473">
        <v>6</v>
      </c>
      <c r="F2473">
        <v>19440</v>
      </c>
    </row>
    <row r="2474" spans="1:6" x14ac:dyDescent="0.25">
      <c r="A2474" t="s">
        <v>181</v>
      </c>
      <c r="B2474" t="s">
        <v>183</v>
      </c>
      <c r="C2474">
        <v>2</v>
      </c>
      <c r="D2474">
        <v>1</v>
      </c>
      <c r="E2474">
        <v>1</v>
      </c>
      <c r="F2474">
        <v>806608</v>
      </c>
    </row>
    <row r="2475" spans="1:6" x14ac:dyDescent="0.25">
      <c r="A2475" t="s">
        <v>181</v>
      </c>
      <c r="B2475" t="s">
        <v>183</v>
      </c>
      <c r="C2475">
        <v>2</v>
      </c>
      <c r="D2475">
        <v>1</v>
      </c>
      <c r="E2475">
        <v>2</v>
      </c>
      <c r="F2475">
        <v>30058</v>
      </c>
    </row>
    <row r="2476" spans="1:6" x14ac:dyDescent="0.25">
      <c r="A2476" t="s">
        <v>181</v>
      </c>
      <c r="B2476" t="s">
        <v>183</v>
      </c>
      <c r="C2476">
        <v>2</v>
      </c>
      <c r="D2476">
        <v>1</v>
      </c>
      <c r="E2476">
        <v>3</v>
      </c>
      <c r="F2476">
        <v>1869</v>
      </c>
    </row>
    <row r="2477" spans="1:6" x14ac:dyDescent="0.25">
      <c r="A2477" t="s">
        <v>181</v>
      </c>
      <c r="B2477" t="s">
        <v>183</v>
      </c>
      <c r="C2477">
        <v>2</v>
      </c>
      <c r="D2477">
        <v>1</v>
      </c>
      <c r="E2477">
        <v>4</v>
      </c>
      <c r="F2477">
        <v>9165</v>
      </c>
    </row>
    <row r="2478" spans="1:6" x14ac:dyDescent="0.25">
      <c r="A2478" t="s">
        <v>181</v>
      </c>
      <c r="B2478" t="s">
        <v>183</v>
      </c>
      <c r="C2478">
        <v>2</v>
      </c>
      <c r="D2478">
        <v>1</v>
      </c>
      <c r="E2478">
        <v>5</v>
      </c>
      <c r="F2478">
        <v>214</v>
      </c>
    </row>
    <row r="2479" spans="1:6" x14ac:dyDescent="0.25">
      <c r="A2479" t="s">
        <v>181</v>
      </c>
      <c r="B2479" t="s">
        <v>183</v>
      </c>
      <c r="C2479">
        <v>2</v>
      </c>
      <c r="D2479">
        <v>1</v>
      </c>
      <c r="E2479">
        <v>6</v>
      </c>
      <c r="F2479">
        <v>18215</v>
      </c>
    </row>
    <row r="2480" spans="1:6" x14ac:dyDescent="0.25">
      <c r="A2480" t="s">
        <v>181</v>
      </c>
      <c r="B2480" t="s">
        <v>183</v>
      </c>
      <c r="C2480">
        <v>2</v>
      </c>
      <c r="D2480">
        <v>2</v>
      </c>
      <c r="E2480">
        <v>1</v>
      </c>
      <c r="F2480">
        <v>16715</v>
      </c>
    </row>
    <row r="2481" spans="1:6" x14ac:dyDescent="0.25">
      <c r="A2481" t="s">
        <v>181</v>
      </c>
      <c r="B2481" t="s">
        <v>183</v>
      </c>
      <c r="C2481">
        <v>2</v>
      </c>
      <c r="D2481">
        <v>2</v>
      </c>
      <c r="E2481">
        <v>2</v>
      </c>
      <c r="F2481">
        <v>1214</v>
      </c>
    </row>
    <row r="2482" spans="1:6" x14ac:dyDescent="0.25">
      <c r="A2482" t="s">
        <v>181</v>
      </c>
      <c r="B2482" t="s">
        <v>183</v>
      </c>
      <c r="C2482">
        <v>2</v>
      </c>
      <c r="D2482">
        <v>2</v>
      </c>
      <c r="E2482">
        <v>3</v>
      </c>
      <c r="F2482">
        <v>613</v>
      </c>
    </row>
    <row r="2483" spans="1:6" x14ac:dyDescent="0.25">
      <c r="A2483" t="s">
        <v>181</v>
      </c>
      <c r="B2483" t="s">
        <v>183</v>
      </c>
      <c r="C2483">
        <v>2</v>
      </c>
      <c r="D2483">
        <v>2</v>
      </c>
      <c r="E2483">
        <v>4</v>
      </c>
      <c r="F2483">
        <v>168</v>
      </c>
    </row>
    <row r="2484" spans="1:6" x14ac:dyDescent="0.25">
      <c r="A2484" t="s">
        <v>181</v>
      </c>
      <c r="B2484" t="s">
        <v>183</v>
      </c>
      <c r="C2484">
        <v>2</v>
      </c>
      <c r="D2484">
        <v>2</v>
      </c>
      <c r="E2484">
        <v>5</v>
      </c>
      <c r="F2484">
        <v>98</v>
      </c>
    </row>
    <row r="2485" spans="1:6" x14ac:dyDescent="0.25">
      <c r="A2485" t="s">
        <v>181</v>
      </c>
      <c r="B2485" t="s">
        <v>183</v>
      </c>
      <c r="C2485">
        <v>2</v>
      </c>
      <c r="D2485">
        <v>2</v>
      </c>
      <c r="E2485">
        <v>6</v>
      </c>
      <c r="F2485">
        <v>1225</v>
      </c>
    </row>
    <row r="2486" spans="1:6" x14ac:dyDescent="0.25">
      <c r="A2486" t="s">
        <v>184</v>
      </c>
      <c r="B2486" t="s">
        <v>186</v>
      </c>
      <c r="C2486">
        <v>0</v>
      </c>
      <c r="D2486">
        <v>0</v>
      </c>
      <c r="E2486">
        <v>1</v>
      </c>
      <c r="F2486">
        <v>5132525</v>
      </c>
    </row>
    <row r="2487" spans="1:6" x14ac:dyDescent="0.25">
      <c r="A2487" t="s">
        <v>184</v>
      </c>
      <c r="B2487" t="s">
        <v>186</v>
      </c>
      <c r="C2487">
        <v>0</v>
      </c>
      <c r="D2487">
        <v>0</v>
      </c>
      <c r="E2487">
        <v>2</v>
      </c>
      <c r="F2487">
        <v>399186</v>
      </c>
    </row>
    <row r="2488" spans="1:6" x14ac:dyDescent="0.25">
      <c r="A2488" t="s">
        <v>184</v>
      </c>
      <c r="B2488" t="s">
        <v>186</v>
      </c>
      <c r="C2488">
        <v>0</v>
      </c>
      <c r="D2488">
        <v>0</v>
      </c>
      <c r="E2488">
        <v>3</v>
      </c>
      <c r="F2488">
        <v>74341</v>
      </c>
    </row>
    <row r="2489" spans="1:6" x14ac:dyDescent="0.25">
      <c r="A2489" t="s">
        <v>184</v>
      </c>
      <c r="B2489" t="s">
        <v>186</v>
      </c>
      <c r="C2489">
        <v>0</v>
      </c>
      <c r="D2489">
        <v>0</v>
      </c>
      <c r="E2489">
        <v>4</v>
      </c>
      <c r="F2489">
        <v>210750</v>
      </c>
    </row>
    <row r="2490" spans="1:6" x14ac:dyDescent="0.25">
      <c r="A2490" t="s">
        <v>184</v>
      </c>
      <c r="B2490" t="s">
        <v>186</v>
      </c>
      <c r="C2490">
        <v>0</v>
      </c>
      <c r="D2490">
        <v>0</v>
      </c>
      <c r="E2490">
        <v>5</v>
      </c>
      <c r="F2490">
        <v>3782</v>
      </c>
    </row>
    <row r="2491" spans="1:6" x14ac:dyDescent="0.25">
      <c r="A2491" t="s">
        <v>184</v>
      </c>
      <c r="B2491" t="s">
        <v>186</v>
      </c>
      <c r="C2491">
        <v>0</v>
      </c>
      <c r="D2491">
        <v>0</v>
      </c>
      <c r="E2491">
        <v>6</v>
      </c>
      <c r="F2491">
        <v>140391</v>
      </c>
    </row>
    <row r="2492" spans="1:6" x14ac:dyDescent="0.25">
      <c r="A2492" t="s">
        <v>184</v>
      </c>
      <c r="B2492" t="s">
        <v>186</v>
      </c>
      <c r="C2492">
        <v>0</v>
      </c>
      <c r="D2492">
        <v>1</v>
      </c>
      <c r="E2492">
        <v>1</v>
      </c>
      <c r="F2492">
        <v>4704156</v>
      </c>
    </row>
    <row r="2493" spans="1:6" x14ac:dyDescent="0.25">
      <c r="A2493" t="s">
        <v>184</v>
      </c>
      <c r="B2493" t="s">
        <v>186</v>
      </c>
      <c r="C2493">
        <v>0</v>
      </c>
      <c r="D2493">
        <v>1</v>
      </c>
      <c r="E2493">
        <v>2</v>
      </c>
      <c r="F2493">
        <v>376518</v>
      </c>
    </row>
    <row r="2494" spans="1:6" x14ac:dyDescent="0.25">
      <c r="A2494" t="s">
        <v>184</v>
      </c>
      <c r="B2494" t="s">
        <v>186</v>
      </c>
      <c r="C2494">
        <v>0</v>
      </c>
      <c r="D2494">
        <v>1</v>
      </c>
      <c r="E2494">
        <v>3</v>
      </c>
      <c r="F2494">
        <v>52129</v>
      </c>
    </row>
    <row r="2495" spans="1:6" x14ac:dyDescent="0.25">
      <c r="A2495" t="s">
        <v>184</v>
      </c>
      <c r="B2495" t="s">
        <v>186</v>
      </c>
      <c r="C2495">
        <v>0</v>
      </c>
      <c r="D2495">
        <v>1</v>
      </c>
      <c r="E2495">
        <v>4</v>
      </c>
      <c r="F2495">
        <v>206457</v>
      </c>
    </row>
    <row r="2496" spans="1:6" x14ac:dyDescent="0.25">
      <c r="A2496" t="s">
        <v>184</v>
      </c>
      <c r="B2496" t="s">
        <v>186</v>
      </c>
      <c r="C2496">
        <v>0</v>
      </c>
      <c r="D2496">
        <v>1</v>
      </c>
      <c r="E2496">
        <v>5</v>
      </c>
      <c r="F2496">
        <v>2518</v>
      </c>
    </row>
    <row r="2497" spans="1:6" x14ac:dyDescent="0.25">
      <c r="A2497" t="s">
        <v>184</v>
      </c>
      <c r="B2497" t="s">
        <v>186</v>
      </c>
      <c r="C2497">
        <v>0</v>
      </c>
      <c r="D2497">
        <v>1</v>
      </c>
      <c r="E2497">
        <v>6</v>
      </c>
      <c r="F2497">
        <v>118928</v>
      </c>
    </row>
    <row r="2498" spans="1:6" x14ac:dyDescent="0.25">
      <c r="A2498" t="s">
        <v>184</v>
      </c>
      <c r="B2498" t="s">
        <v>186</v>
      </c>
      <c r="C2498">
        <v>0</v>
      </c>
      <c r="D2498">
        <v>2</v>
      </c>
      <c r="E2498">
        <v>1</v>
      </c>
      <c r="F2498">
        <v>428369</v>
      </c>
    </row>
    <row r="2499" spans="1:6" x14ac:dyDescent="0.25">
      <c r="A2499" t="s">
        <v>184</v>
      </c>
      <c r="B2499" t="s">
        <v>186</v>
      </c>
      <c r="C2499">
        <v>0</v>
      </c>
      <c r="D2499">
        <v>2</v>
      </c>
      <c r="E2499">
        <v>2</v>
      </c>
      <c r="F2499">
        <v>22668</v>
      </c>
    </row>
    <row r="2500" spans="1:6" x14ac:dyDescent="0.25">
      <c r="A2500" t="s">
        <v>184</v>
      </c>
      <c r="B2500" t="s">
        <v>186</v>
      </c>
      <c r="C2500">
        <v>0</v>
      </c>
      <c r="D2500">
        <v>2</v>
      </c>
      <c r="E2500">
        <v>3</v>
      </c>
      <c r="F2500">
        <v>22212</v>
      </c>
    </row>
    <row r="2501" spans="1:6" x14ac:dyDescent="0.25">
      <c r="A2501" t="s">
        <v>184</v>
      </c>
      <c r="B2501" t="s">
        <v>186</v>
      </c>
      <c r="C2501">
        <v>0</v>
      </c>
      <c r="D2501">
        <v>2</v>
      </c>
      <c r="E2501">
        <v>4</v>
      </c>
      <c r="F2501">
        <v>4293</v>
      </c>
    </row>
    <row r="2502" spans="1:6" x14ac:dyDescent="0.25">
      <c r="A2502" t="s">
        <v>184</v>
      </c>
      <c r="B2502" t="s">
        <v>186</v>
      </c>
      <c r="C2502">
        <v>0</v>
      </c>
      <c r="D2502">
        <v>2</v>
      </c>
      <c r="E2502">
        <v>5</v>
      </c>
      <c r="F2502">
        <v>1264</v>
      </c>
    </row>
    <row r="2503" spans="1:6" x14ac:dyDescent="0.25">
      <c r="A2503" t="s">
        <v>184</v>
      </c>
      <c r="B2503" t="s">
        <v>186</v>
      </c>
      <c r="C2503">
        <v>0</v>
      </c>
      <c r="D2503">
        <v>2</v>
      </c>
      <c r="E2503">
        <v>6</v>
      </c>
      <c r="F2503">
        <v>21463</v>
      </c>
    </row>
    <row r="2504" spans="1:6" x14ac:dyDescent="0.25">
      <c r="A2504" t="s">
        <v>184</v>
      </c>
      <c r="B2504" t="s">
        <v>186</v>
      </c>
      <c r="C2504">
        <v>1</v>
      </c>
      <c r="D2504">
        <v>0</v>
      </c>
      <c r="E2504">
        <v>1</v>
      </c>
      <c r="F2504">
        <v>2575954</v>
      </c>
    </row>
    <row r="2505" spans="1:6" x14ac:dyDescent="0.25">
      <c r="A2505" t="s">
        <v>184</v>
      </c>
      <c r="B2505" t="s">
        <v>186</v>
      </c>
      <c r="C2505">
        <v>1</v>
      </c>
      <c r="D2505">
        <v>0</v>
      </c>
      <c r="E2505">
        <v>2</v>
      </c>
      <c r="F2505">
        <v>196839</v>
      </c>
    </row>
    <row r="2506" spans="1:6" x14ac:dyDescent="0.25">
      <c r="A2506" t="s">
        <v>184</v>
      </c>
      <c r="B2506" t="s">
        <v>186</v>
      </c>
      <c r="C2506">
        <v>1</v>
      </c>
      <c r="D2506">
        <v>0</v>
      </c>
      <c r="E2506">
        <v>3</v>
      </c>
      <c r="F2506">
        <v>37174</v>
      </c>
    </row>
    <row r="2507" spans="1:6" x14ac:dyDescent="0.25">
      <c r="A2507" t="s">
        <v>184</v>
      </c>
      <c r="B2507" t="s">
        <v>186</v>
      </c>
      <c r="C2507">
        <v>1</v>
      </c>
      <c r="D2507">
        <v>0</v>
      </c>
      <c r="E2507">
        <v>4</v>
      </c>
      <c r="F2507">
        <v>103213</v>
      </c>
    </row>
    <row r="2508" spans="1:6" x14ac:dyDescent="0.25">
      <c r="A2508" t="s">
        <v>184</v>
      </c>
      <c r="B2508" t="s">
        <v>186</v>
      </c>
      <c r="C2508">
        <v>1</v>
      </c>
      <c r="D2508">
        <v>0</v>
      </c>
      <c r="E2508">
        <v>5</v>
      </c>
      <c r="F2508">
        <v>1994</v>
      </c>
    </row>
    <row r="2509" spans="1:6" x14ac:dyDescent="0.25">
      <c r="A2509" t="s">
        <v>184</v>
      </c>
      <c r="B2509" t="s">
        <v>186</v>
      </c>
      <c r="C2509">
        <v>1</v>
      </c>
      <c r="D2509">
        <v>0</v>
      </c>
      <c r="E2509">
        <v>6</v>
      </c>
      <c r="F2509">
        <v>70268</v>
      </c>
    </row>
    <row r="2510" spans="1:6" x14ac:dyDescent="0.25">
      <c r="A2510" t="s">
        <v>184</v>
      </c>
      <c r="B2510" t="s">
        <v>186</v>
      </c>
      <c r="C2510">
        <v>1</v>
      </c>
      <c r="D2510">
        <v>1</v>
      </c>
      <c r="E2510">
        <v>1</v>
      </c>
      <c r="F2510">
        <v>2355077</v>
      </c>
    </row>
    <row r="2511" spans="1:6" x14ac:dyDescent="0.25">
      <c r="A2511" t="s">
        <v>184</v>
      </c>
      <c r="B2511" t="s">
        <v>186</v>
      </c>
      <c r="C2511">
        <v>1</v>
      </c>
      <c r="D2511">
        <v>1</v>
      </c>
      <c r="E2511">
        <v>2</v>
      </c>
      <c r="F2511">
        <v>185152</v>
      </c>
    </row>
    <row r="2512" spans="1:6" x14ac:dyDescent="0.25">
      <c r="A2512" t="s">
        <v>184</v>
      </c>
      <c r="B2512" t="s">
        <v>186</v>
      </c>
      <c r="C2512">
        <v>1</v>
      </c>
      <c r="D2512">
        <v>1</v>
      </c>
      <c r="E2512">
        <v>3</v>
      </c>
      <c r="F2512">
        <v>26016</v>
      </c>
    </row>
    <row r="2513" spans="1:6" x14ac:dyDescent="0.25">
      <c r="A2513" t="s">
        <v>184</v>
      </c>
      <c r="B2513" t="s">
        <v>186</v>
      </c>
      <c r="C2513">
        <v>1</v>
      </c>
      <c r="D2513">
        <v>1</v>
      </c>
      <c r="E2513">
        <v>4</v>
      </c>
      <c r="F2513">
        <v>101047</v>
      </c>
    </row>
    <row r="2514" spans="1:6" x14ac:dyDescent="0.25">
      <c r="A2514" t="s">
        <v>184</v>
      </c>
      <c r="B2514" t="s">
        <v>186</v>
      </c>
      <c r="C2514">
        <v>1</v>
      </c>
      <c r="D2514">
        <v>1</v>
      </c>
      <c r="E2514">
        <v>5</v>
      </c>
      <c r="F2514">
        <v>1309</v>
      </c>
    </row>
    <row r="2515" spans="1:6" x14ac:dyDescent="0.25">
      <c r="A2515" t="s">
        <v>184</v>
      </c>
      <c r="B2515" t="s">
        <v>186</v>
      </c>
      <c r="C2515">
        <v>1</v>
      </c>
      <c r="D2515">
        <v>1</v>
      </c>
      <c r="E2515">
        <v>6</v>
      </c>
      <c r="F2515">
        <v>59432</v>
      </c>
    </row>
    <row r="2516" spans="1:6" x14ac:dyDescent="0.25">
      <c r="A2516" t="s">
        <v>184</v>
      </c>
      <c r="B2516" t="s">
        <v>186</v>
      </c>
      <c r="C2516">
        <v>1</v>
      </c>
      <c r="D2516">
        <v>2</v>
      </c>
      <c r="E2516">
        <v>1</v>
      </c>
      <c r="F2516">
        <v>220877</v>
      </c>
    </row>
    <row r="2517" spans="1:6" x14ac:dyDescent="0.25">
      <c r="A2517" t="s">
        <v>184</v>
      </c>
      <c r="B2517" t="s">
        <v>186</v>
      </c>
      <c r="C2517">
        <v>1</v>
      </c>
      <c r="D2517">
        <v>2</v>
      </c>
      <c r="E2517">
        <v>2</v>
      </c>
      <c r="F2517">
        <v>11687</v>
      </c>
    </row>
    <row r="2518" spans="1:6" x14ac:dyDescent="0.25">
      <c r="A2518" t="s">
        <v>184</v>
      </c>
      <c r="B2518" t="s">
        <v>186</v>
      </c>
      <c r="C2518">
        <v>1</v>
      </c>
      <c r="D2518">
        <v>2</v>
      </c>
      <c r="E2518">
        <v>3</v>
      </c>
      <c r="F2518">
        <v>11158</v>
      </c>
    </row>
    <row r="2519" spans="1:6" x14ac:dyDescent="0.25">
      <c r="A2519" t="s">
        <v>184</v>
      </c>
      <c r="B2519" t="s">
        <v>186</v>
      </c>
      <c r="C2519">
        <v>1</v>
      </c>
      <c r="D2519">
        <v>2</v>
      </c>
      <c r="E2519">
        <v>4</v>
      </c>
      <c r="F2519">
        <v>2166</v>
      </c>
    </row>
    <row r="2520" spans="1:6" x14ac:dyDescent="0.25">
      <c r="A2520" t="s">
        <v>184</v>
      </c>
      <c r="B2520" t="s">
        <v>186</v>
      </c>
      <c r="C2520">
        <v>1</v>
      </c>
      <c r="D2520">
        <v>2</v>
      </c>
      <c r="E2520">
        <v>5</v>
      </c>
      <c r="F2520">
        <v>685</v>
      </c>
    </row>
    <row r="2521" spans="1:6" x14ac:dyDescent="0.25">
      <c r="A2521" t="s">
        <v>184</v>
      </c>
      <c r="B2521" t="s">
        <v>186</v>
      </c>
      <c r="C2521">
        <v>1</v>
      </c>
      <c r="D2521">
        <v>2</v>
      </c>
      <c r="E2521">
        <v>6</v>
      </c>
      <c r="F2521">
        <v>10836</v>
      </c>
    </row>
    <row r="2522" spans="1:6" x14ac:dyDescent="0.25">
      <c r="A2522" t="s">
        <v>184</v>
      </c>
      <c r="B2522" t="s">
        <v>186</v>
      </c>
      <c r="C2522">
        <v>2</v>
      </c>
      <c r="D2522">
        <v>0</v>
      </c>
      <c r="E2522">
        <v>1</v>
      </c>
      <c r="F2522">
        <v>2556571</v>
      </c>
    </row>
    <row r="2523" spans="1:6" x14ac:dyDescent="0.25">
      <c r="A2523" t="s">
        <v>184</v>
      </c>
      <c r="B2523" t="s">
        <v>186</v>
      </c>
      <c r="C2523">
        <v>2</v>
      </c>
      <c r="D2523">
        <v>0</v>
      </c>
      <c r="E2523">
        <v>2</v>
      </c>
      <c r="F2523">
        <v>202347</v>
      </c>
    </row>
    <row r="2524" spans="1:6" x14ac:dyDescent="0.25">
      <c r="A2524" t="s">
        <v>184</v>
      </c>
      <c r="B2524" t="s">
        <v>186</v>
      </c>
      <c r="C2524">
        <v>2</v>
      </c>
      <c r="D2524">
        <v>0</v>
      </c>
      <c r="E2524">
        <v>3</v>
      </c>
      <c r="F2524">
        <v>37167</v>
      </c>
    </row>
    <row r="2525" spans="1:6" x14ac:dyDescent="0.25">
      <c r="A2525" t="s">
        <v>184</v>
      </c>
      <c r="B2525" t="s">
        <v>186</v>
      </c>
      <c r="C2525">
        <v>2</v>
      </c>
      <c r="D2525">
        <v>0</v>
      </c>
      <c r="E2525">
        <v>4</v>
      </c>
      <c r="F2525">
        <v>107537</v>
      </c>
    </row>
    <row r="2526" spans="1:6" x14ac:dyDescent="0.25">
      <c r="A2526" t="s">
        <v>184</v>
      </c>
      <c r="B2526" t="s">
        <v>186</v>
      </c>
      <c r="C2526">
        <v>2</v>
      </c>
      <c r="D2526">
        <v>0</v>
      </c>
      <c r="E2526">
        <v>5</v>
      </c>
      <c r="F2526">
        <v>1788</v>
      </c>
    </row>
    <row r="2527" spans="1:6" x14ac:dyDescent="0.25">
      <c r="A2527" t="s">
        <v>184</v>
      </c>
      <c r="B2527" t="s">
        <v>186</v>
      </c>
      <c r="C2527">
        <v>2</v>
      </c>
      <c r="D2527">
        <v>0</v>
      </c>
      <c r="E2527">
        <v>6</v>
      </c>
      <c r="F2527">
        <v>70123</v>
      </c>
    </row>
    <row r="2528" spans="1:6" x14ac:dyDescent="0.25">
      <c r="A2528" t="s">
        <v>184</v>
      </c>
      <c r="B2528" t="s">
        <v>186</v>
      </c>
      <c r="C2528">
        <v>2</v>
      </c>
      <c r="D2528">
        <v>1</v>
      </c>
      <c r="E2528">
        <v>1</v>
      </c>
      <c r="F2528">
        <v>2349079</v>
      </c>
    </row>
    <row r="2529" spans="1:6" x14ac:dyDescent="0.25">
      <c r="A2529" t="s">
        <v>184</v>
      </c>
      <c r="B2529" t="s">
        <v>186</v>
      </c>
      <c r="C2529">
        <v>2</v>
      </c>
      <c r="D2529">
        <v>1</v>
      </c>
      <c r="E2529">
        <v>2</v>
      </c>
      <c r="F2529">
        <v>191366</v>
      </c>
    </row>
    <row r="2530" spans="1:6" x14ac:dyDescent="0.25">
      <c r="A2530" t="s">
        <v>184</v>
      </c>
      <c r="B2530" t="s">
        <v>186</v>
      </c>
      <c r="C2530">
        <v>2</v>
      </c>
      <c r="D2530">
        <v>1</v>
      </c>
      <c r="E2530">
        <v>3</v>
      </c>
      <c r="F2530">
        <v>26113</v>
      </c>
    </row>
    <row r="2531" spans="1:6" x14ac:dyDescent="0.25">
      <c r="A2531" t="s">
        <v>184</v>
      </c>
      <c r="B2531" t="s">
        <v>186</v>
      </c>
      <c r="C2531">
        <v>2</v>
      </c>
      <c r="D2531">
        <v>1</v>
      </c>
      <c r="E2531">
        <v>4</v>
      </c>
      <c r="F2531">
        <v>105410</v>
      </c>
    </row>
    <row r="2532" spans="1:6" x14ac:dyDescent="0.25">
      <c r="A2532" t="s">
        <v>184</v>
      </c>
      <c r="B2532" t="s">
        <v>186</v>
      </c>
      <c r="C2532">
        <v>2</v>
      </c>
      <c r="D2532">
        <v>1</v>
      </c>
      <c r="E2532">
        <v>5</v>
      </c>
      <c r="F2532">
        <v>1209</v>
      </c>
    </row>
    <row r="2533" spans="1:6" x14ac:dyDescent="0.25">
      <c r="A2533" t="s">
        <v>184</v>
      </c>
      <c r="B2533" t="s">
        <v>186</v>
      </c>
      <c r="C2533">
        <v>2</v>
      </c>
      <c r="D2533">
        <v>1</v>
      </c>
      <c r="E2533">
        <v>6</v>
      </c>
      <c r="F2533">
        <v>59496</v>
      </c>
    </row>
    <row r="2534" spans="1:6" x14ac:dyDescent="0.25">
      <c r="A2534" t="s">
        <v>184</v>
      </c>
      <c r="B2534" t="s">
        <v>186</v>
      </c>
      <c r="C2534">
        <v>2</v>
      </c>
      <c r="D2534">
        <v>2</v>
      </c>
      <c r="E2534">
        <v>1</v>
      </c>
      <c r="F2534">
        <v>207492</v>
      </c>
    </row>
    <row r="2535" spans="1:6" x14ac:dyDescent="0.25">
      <c r="A2535" t="s">
        <v>184</v>
      </c>
      <c r="B2535" t="s">
        <v>186</v>
      </c>
      <c r="C2535">
        <v>2</v>
      </c>
      <c r="D2535">
        <v>2</v>
      </c>
      <c r="E2535">
        <v>2</v>
      </c>
      <c r="F2535">
        <v>10981</v>
      </c>
    </row>
    <row r="2536" spans="1:6" x14ac:dyDescent="0.25">
      <c r="A2536" t="s">
        <v>184</v>
      </c>
      <c r="B2536" t="s">
        <v>186</v>
      </c>
      <c r="C2536">
        <v>2</v>
      </c>
      <c r="D2536">
        <v>2</v>
      </c>
      <c r="E2536">
        <v>3</v>
      </c>
      <c r="F2536">
        <v>11054</v>
      </c>
    </row>
    <row r="2537" spans="1:6" x14ac:dyDescent="0.25">
      <c r="A2537" t="s">
        <v>184</v>
      </c>
      <c r="B2537" t="s">
        <v>186</v>
      </c>
      <c r="C2537">
        <v>2</v>
      </c>
      <c r="D2537">
        <v>2</v>
      </c>
      <c r="E2537">
        <v>4</v>
      </c>
      <c r="F2537">
        <v>2127</v>
      </c>
    </row>
    <row r="2538" spans="1:6" x14ac:dyDescent="0.25">
      <c r="A2538" t="s">
        <v>184</v>
      </c>
      <c r="B2538" t="s">
        <v>186</v>
      </c>
      <c r="C2538">
        <v>2</v>
      </c>
      <c r="D2538">
        <v>2</v>
      </c>
      <c r="E2538">
        <v>5</v>
      </c>
      <c r="F2538">
        <v>579</v>
      </c>
    </row>
    <row r="2539" spans="1:6" x14ac:dyDescent="0.25">
      <c r="A2539" t="s">
        <v>184</v>
      </c>
      <c r="B2539" t="s">
        <v>186</v>
      </c>
      <c r="C2539">
        <v>2</v>
      </c>
      <c r="D2539">
        <v>2</v>
      </c>
      <c r="E2539">
        <v>6</v>
      </c>
      <c r="F2539">
        <v>10627</v>
      </c>
    </row>
    <row r="2540" spans="1:6" x14ac:dyDescent="0.25">
      <c r="A2540" t="s">
        <v>187</v>
      </c>
      <c r="B2540" t="s">
        <v>189</v>
      </c>
      <c r="C2540">
        <v>0</v>
      </c>
      <c r="D2540">
        <v>0</v>
      </c>
      <c r="E2540">
        <v>1</v>
      </c>
      <c r="F2540">
        <v>540996</v>
      </c>
    </row>
    <row r="2541" spans="1:6" x14ac:dyDescent="0.25">
      <c r="A2541" t="s">
        <v>187</v>
      </c>
      <c r="B2541" t="s">
        <v>189</v>
      </c>
      <c r="C2541">
        <v>0</v>
      </c>
      <c r="D2541">
        <v>0</v>
      </c>
      <c r="E2541">
        <v>2</v>
      </c>
      <c r="F2541">
        <v>7223</v>
      </c>
    </row>
    <row r="2542" spans="1:6" x14ac:dyDescent="0.25">
      <c r="A2542" t="s">
        <v>187</v>
      </c>
      <c r="B2542" t="s">
        <v>189</v>
      </c>
      <c r="C2542">
        <v>0</v>
      </c>
      <c r="D2542">
        <v>0</v>
      </c>
      <c r="E2542">
        <v>3</v>
      </c>
      <c r="F2542">
        <v>16501</v>
      </c>
    </row>
    <row r="2543" spans="1:6" x14ac:dyDescent="0.25">
      <c r="A2543" t="s">
        <v>187</v>
      </c>
      <c r="B2543" t="s">
        <v>189</v>
      </c>
      <c r="C2543">
        <v>0</v>
      </c>
      <c r="D2543">
        <v>0</v>
      </c>
      <c r="E2543">
        <v>4</v>
      </c>
      <c r="F2543">
        <v>7464</v>
      </c>
    </row>
    <row r="2544" spans="1:6" x14ac:dyDescent="0.25">
      <c r="A2544" t="s">
        <v>187</v>
      </c>
      <c r="B2544" t="s">
        <v>189</v>
      </c>
      <c r="C2544">
        <v>0</v>
      </c>
      <c r="D2544">
        <v>0</v>
      </c>
      <c r="E2544">
        <v>5</v>
      </c>
      <c r="F2544">
        <v>661</v>
      </c>
    </row>
    <row r="2545" spans="1:6" x14ac:dyDescent="0.25">
      <c r="A2545" t="s">
        <v>187</v>
      </c>
      <c r="B2545" t="s">
        <v>189</v>
      </c>
      <c r="C2545">
        <v>0</v>
      </c>
      <c r="D2545">
        <v>0</v>
      </c>
      <c r="E2545">
        <v>6</v>
      </c>
      <c r="F2545">
        <v>14773</v>
      </c>
    </row>
    <row r="2546" spans="1:6" x14ac:dyDescent="0.25">
      <c r="A2546" t="s">
        <v>187</v>
      </c>
      <c r="B2546" t="s">
        <v>189</v>
      </c>
      <c r="C2546">
        <v>0</v>
      </c>
      <c r="D2546">
        <v>1</v>
      </c>
      <c r="E2546">
        <v>1</v>
      </c>
      <c r="F2546">
        <v>485320</v>
      </c>
    </row>
    <row r="2547" spans="1:6" x14ac:dyDescent="0.25">
      <c r="A2547" t="s">
        <v>187</v>
      </c>
      <c r="B2547" t="s">
        <v>189</v>
      </c>
      <c r="C2547">
        <v>0</v>
      </c>
      <c r="D2547">
        <v>1</v>
      </c>
      <c r="E2547">
        <v>2</v>
      </c>
      <c r="F2547">
        <v>6028</v>
      </c>
    </row>
    <row r="2548" spans="1:6" x14ac:dyDescent="0.25">
      <c r="A2548" t="s">
        <v>187</v>
      </c>
      <c r="B2548" t="s">
        <v>189</v>
      </c>
      <c r="C2548">
        <v>0</v>
      </c>
      <c r="D2548">
        <v>1</v>
      </c>
      <c r="E2548">
        <v>3</v>
      </c>
      <c r="F2548">
        <v>12097</v>
      </c>
    </row>
    <row r="2549" spans="1:6" x14ac:dyDescent="0.25">
      <c r="A2549" t="s">
        <v>187</v>
      </c>
      <c r="B2549" t="s">
        <v>189</v>
      </c>
      <c r="C2549">
        <v>0</v>
      </c>
      <c r="D2549">
        <v>1</v>
      </c>
      <c r="E2549">
        <v>4</v>
      </c>
      <c r="F2549">
        <v>6853</v>
      </c>
    </row>
    <row r="2550" spans="1:6" x14ac:dyDescent="0.25">
      <c r="A2550" t="s">
        <v>187</v>
      </c>
      <c r="B2550" t="s">
        <v>189</v>
      </c>
      <c r="C2550">
        <v>0</v>
      </c>
      <c r="D2550">
        <v>1</v>
      </c>
      <c r="E2550">
        <v>5</v>
      </c>
      <c r="F2550">
        <v>446</v>
      </c>
    </row>
    <row r="2551" spans="1:6" x14ac:dyDescent="0.25">
      <c r="A2551" t="s">
        <v>187</v>
      </c>
      <c r="B2551" t="s">
        <v>189</v>
      </c>
      <c r="C2551">
        <v>0</v>
      </c>
      <c r="D2551">
        <v>1</v>
      </c>
      <c r="E2551">
        <v>6</v>
      </c>
      <c r="F2551">
        <v>11846</v>
      </c>
    </row>
    <row r="2552" spans="1:6" x14ac:dyDescent="0.25">
      <c r="A2552" t="s">
        <v>187</v>
      </c>
      <c r="B2552" t="s">
        <v>189</v>
      </c>
      <c r="C2552">
        <v>0</v>
      </c>
      <c r="D2552">
        <v>2</v>
      </c>
      <c r="E2552">
        <v>1</v>
      </c>
      <c r="F2552">
        <v>55676</v>
      </c>
    </row>
    <row r="2553" spans="1:6" x14ac:dyDescent="0.25">
      <c r="A2553" t="s">
        <v>187</v>
      </c>
      <c r="B2553" t="s">
        <v>189</v>
      </c>
      <c r="C2553">
        <v>0</v>
      </c>
      <c r="D2553">
        <v>2</v>
      </c>
      <c r="E2553">
        <v>2</v>
      </c>
      <c r="F2553">
        <v>1195</v>
      </c>
    </row>
    <row r="2554" spans="1:6" x14ac:dyDescent="0.25">
      <c r="A2554" t="s">
        <v>187</v>
      </c>
      <c r="B2554" t="s">
        <v>189</v>
      </c>
      <c r="C2554">
        <v>0</v>
      </c>
      <c r="D2554">
        <v>2</v>
      </c>
      <c r="E2554">
        <v>3</v>
      </c>
      <c r="F2554">
        <v>4404</v>
      </c>
    </row>
    <row r="2555" spans="1:6" x14ac:dyDescent="0.25">
      <c r="A2555" t="s">
        <v>187</v>
      </c>
      <c r="B2555" t="s">
        <v>189</v>
      </c>
      <c r="C2555">
        <v>0</v>
      </c>
      <c r="D2555">
        <v>2</v>
      </c>
      <c r="E2555">
        <v>4</v>
      </c>
      <c r="F2555">
        <v>611</v>
      </c>
    </row>
    <row r="2556" spans="1:6" x14ac:dyDescent="0.25">
      <c r="A2556" t="s">
        <v>187</v>
      </c>
      <c r="B2556" t="s">
        <v>189</v>
      </c>
      <c r="C2556">
        <v>0</v>
      </c>
      <c r="D2556">
        <v>2</v>
      </c>
      <c r="E2556">
        <v>5</v>
      </c>
      <c r="F2556">
        <v>215</v>
      </c>
    </row>
    <row r="2557" spans="1:6" x14ac:dyDescent="0.25">
      <c r="A2557" t="s">
        <v>187</v>
      </c>
      <c r="B2557" t="s">
        <v>189</v>
      </c>
      <c r="C2557">
        <v>0</v>
      </c>
      <c r="D2557">
        <v>2</v>
      </c>
      <c r="E2557">
        <v>6</v>
      </c>
      <c r="F2557">
        <v>2927</v>
      </c>
    </row>
    <row r="2558" spans="1:6" x14ac:dyDescent="0.25">
      <c r="A2558" t="s">
        <v>187</v>
      </c>
      <c r="B2558" t="s">
        <v>189</v>
      </c>
      <c r="C2558">
        <v>1</v>
      </c>
      <c r="D2558">
        <v>0</v>
      </c>
      <c r="E2558">
        <v>1</v>
      </c>
      <c r="F2558">
        <v>276647</v>
      </c>
    </row>
    <row r="2559" spans="1:6" x14ac:dyDescent="0.25">
      <c r="A2559" t="s">
        <v>187</v>
      </c>
      <c r="B2559" t="s">
        <v>189</v>
      </c>
      <c r="C2559">
        <v>1</v>
      </c>
      <c r="D2559">
        <v>0</v>
      </c>
      <c r="E2559">
        <v>2</v>
      </c>
      <c r="F2559">
        <v>4210</v>
      </c>
    </row>
    <row r="2560" spans="1:6" x14ac:dyDescent="0.25">
      <c r="A2560" t="s">
        <v>187</v>
      </c>
      <c r="B2560" t="s">
        <v>189</v>
      </c>
      <c r="C2560">
        <v>1</v>
      </c>
      <c r="D2560">
        <v>0</v>
      </c>
      <c r="E2560">
        <v>3</v>
      </c>
      <c r="F2560">
        <v>8369</v>
      </c>
    </row>
    <row r="2561" spans="1:6" x14ac:dyDescent="0.25">
      <c r="A2561" t="s">
        <v>187</v>
      </c>
      <c r="B2561" t="s">
        <v>189</v>
      </c>
      <c r="C2561">
        <v>1</v>
      </c>
      <c r="D2561">
        <v>0</v>
      </c>
      <c r="E2561">
        <v>4</v>
      </c>
      <c r="F2561">
        <v>3537</v>
      </c>
    </row>
    <row r="2562" spans="1:6" x14ac:dyDescent="0.25">
      <c r="A2562" t="s">
        <v>187</v>
      </c>
      <c r="B2562" t="s">
        <v>189</v>
      </c>
      <c r="C2562">
        <v>1</v>
      </c>
      <c r="D2562">
        <v>0</v>
      </c>
      <c r="E2562">
        <v>5</v>
      </c>
      <c r="F2562">
        <v>341</v>
      </c>
    </row>
    <row r="2563" spans="1:6" x14ac:dyDescent="0.25">
      <c r="A2563" t="s">
        <v>187</v>
      </c>
      <c r="B2563" t="s">
        <v>189</v>
      </c>
      <c r="C2563">
        <v>1</v>
      </c>
      <c r="D2563">
        <v>0</v>
      </c>
      <c r="E2563">
        <v>6</v>
      </c>
      <c r="F2563">
        <v>7460</v>
      </c>
    </row>
    <row r="2564" spans="1:6" x14ac:dyDescent="0.25">
      <c r="A2564" t="s">
        <v>187</v>
      </c>
      <c r="B2564" t="s">
        <v>189</v>
      </c>
      <c r="C2564">
        <v>1</v>
      </c>
      <c r="D2564">
        <v>1</v>
      </c>
      <c r="E2564">
        <v>1</v>
      </c>
      <c r="F2564">
        <v>247596</v>
      </c>
    </row>
    <row r="2565" spans="1:6" x14ac:dyDescent="0.25">
      <c r="A2565" t="s">
        <v>187</v>
      </c>
      <c r="B2565" t="s">
        <v>189</v>
      </c>
      <c r="C2565">
        <v>1</v>
      </c>
      <c r="D2565">
        <v>1</v>
      </c>
      <c r="E2565">
        <v>2</v>
      </c>
      <c r="F2565">
        <v>3606</v>
      </c>
    </row>
    <row r="2566" spans="1:6" x14ac:dyDescent="0.25">
      <c r="A2566" t="s">
        <v>187</v>
      </c>
      <c r="B2566" t="s">
        <v>189</v>
      </c>
      <c r="C2566">
        <v>1</v>
      </c>
      <c r="D2566">
        <v>1</v>
      </c>
      <c r="E2566">
        <v>3</v>
      </c>
      <c r="F2566">
        <v>6036</v>
      </c>
    </row>
    <row r="2567" spans="1:6" x14ac:dyDescent="0.25">
      <c r="A2567" t="s">
        <v>187</v>
      </c>
      <c r="B2567" t="s">
        <v>189</v>
      </c>
      <c r="C2567">
        <v>1</v>
      </c>
      <c r="D2567">
        <v>1</v>
      </c>
      <c r="E2567">
        <v>4</v>
      </c>
      <c r="F2567">
        <v>3235</v>
      </c>
    </row>
    <row r="2568" spans="1:6" x14ac:dyDescent="0.25">
      <c r="A2568" t="s">
        <v>187</v>
      </c>
      <c r="B2568" t="s">
        <v>189</v>
      </c>
      <c r="C2568">
        <v>1</v>
      </c>
      <c r="D2568">
        <v>1</v>
      </c>
      <c r="E2568">
        <v>5</v>
      </c>
      <c r="F2568">
        <v>228</v>
      </c>
    </row>
    <row r="2569" spans="1:6" x14ac:dyDescent="0.25">
      <c r="A2569" t="s">
        <v>187</v>
      </c>
      <c r="B2569" t="s">
        <v>189</v>
      </c>
      <c r="C2569">
        <v>1</v>
      </c>
      <c r="D2569">
        <v>1</v>
      </c>
      <c r="E2569">
        <v>6</v>
      </c>
      <c r="F2569">
        <v>5993</v>
      </c>
    </row>
    <row r="2570" spans="1:6" x14ac:dyDescent="0.25">
      <c r="A2570" t="s">
        <v>187</v>
      </c>
      <c r="B2570" t="s">
        <v>189</v>
      </c>
      <c r="C2570">
        <v>1</v>
      </c>
      <c r="D2570">
        <v>2</v>
      </c>
      <c r="E2570">
        <v>1</v>
      </c>
      <c r="F2570">
        <v>29051</v>
      </c>
    </row>
    <row r="2571" spans="1:6" x14ac:dyDescent="0.25">
      <c r="A2571" t="s">
        <v>187</v>
      </c>
      <c r="B2571" t="s">
        <v>189</v>
      </c>
      <c r="C2571">
        <v>1</v>
      </c>
      <c r="D2571">
        <v>2</v>
      </c>
      <c r="E2571">
        <v>2</v>
      </c>
      <c r="F2571">
        <v>604</v>
      </c>
    </row>
    <row r="2572" spans="1:6" x14ac:dyDescent="0.25">
      <c r="A2572" t="s">
        <v>187</v>
      </c>
      <c r="B2572" t="s">
        <v>189</v>
      </c>
      <c r="C2572">
        <v>1</v>
      </c>
      <c r="D2572">
        <v>2</v>
      </c>
      <c r="E2572">
        <v>3</v>
      </c>
      <c r="F2572">
        <v>2333</v>
      </c>
    </row>
    <row r="2573" spans="1:6" x14ac:dyDescent="0.25">
      <c r="A2573" t="s">
        <v>187</v>
      </c>
      <c r="B2573" t="s">
        <v>189</v>
      </c>
      <c r="C2573">
        <v>1</v>
      </c>
      <c r="D2573">
        <v>2</v>
      </c>
      <c r="E2573">
        <v>4</v>
      </c>
      <c r="F2573">
        <v>302</v>
      </c>
    </row>
    <row r="2574" spans="1:6" x14ac:dyDescent="0.25">
      <c r="A2574" t="s">
        <v>187</v>
      </c>
      <c r="B2574" t="s">
        <v>189</v>
      </c>
      <c r="C2574">
        <v>1</v>
      </c>
      <c r="D2574">
        <v>2</v>
      </c>
      <c r="E2574">
        <v>5</v>
      </c>
      <c r="F2574">
        <v>113</v>
      </c>
    </row>
    <row r="2575" spans="1:6" x14ac:dyDescent="0.25">
      <c r="A2575" t="s">
        <v>187</v>
      </c>
      <c r="B2575" t="s">
        <v>189</v>
      </c>
      <c r="C2575">
        <v>1</v>
      </c>
      <c r="D2575">
        <v>2</v>
      </c>
      <c r="E2575">
        <v>6</v>
      </c>
      <c r="F2575">
        <v>1467</v>
      </c>
    </row>
    <row r="2576" spans="1:6" x14ac:dyDescent="0.25">
      <c r="A2576" t="s">
        <v>187</v>
      </c>
      <c r="B2576" t="s">
        <v>189</v>
      </c>
      <c r="C2576">
        <v>2</v>
      </c>
      <c r="D2576">
        <v>0</v>
      </c>
      <c r="E2576">
        <v>1</v>
      </c>
      <c r="F2576">
        <v>264349</v>
      </c>
    </row>
    <row r="2577" spans="1:6" x14ac:dyDescent="0.25">
      <c r="A2577" t="s">
        <v>187</v>
      </c>
      <c r="B2577" t="s">
        <v>189</v>
      </c>
      <c r="C2577">
        <v>2</v>
      </c>
      <c r="D2577">
        <v>0</v>
      </c>
      <c r="E2577">
        <v>2</v>
      </c>
      <c r="F2577">
        <v>3013</v>
      </c>
    </row>
    <row r="2578" spans="1:6" x14ac:dyDescent="0.25">
      <c r="A2578" t="s">
        <v>187</v>
      </c>
      <c r="B2578" t="s">
        <v>189</v>
      </c>
      <c r="C2578">
        <v>2</v>
      </c>
      <c r="D2578">
        <v>0</v>
      </c>
      <c r="E2578">
        <v>3</v>
      </c>
      <c r="F2578">
        <v>8132</v>
      </c>
    </row>
    <row r="2579" spans="1:6" x14ac:dyDescent="0.25">
      <c r="A2579" t="s">
        <v>187</v>
      </c>
      <c r="B2579" t="s">
        <v>189</v>
      </c>
      <c r="C2579">
        <v>2</v>
      </c>
      <c r="D2579">
        <v>0</v>
      </c>
      <c r="E2579">
        <v>4</v>
      </c>
      <c r="F2579">
        <v>3927</v>
      </c>
    </row>
    <row r="2580" spans="1:6" x14ac:dyDescent="0.25">
      <c r="A2580" t="s">
        <v>187</v>
      </c>
      <c r="B2580" t="s">
        <v>189</v>
      </c>
      <c r="C2580">
        <v>2</v>
      </c>
      <c r="D2580">
        <v>0</v>
      </c>
      <c r="E2580">
        <v>5</v>
      </c>
      <c r="F2580">
        <v>320</v>
      </c>
    </row>
    <row r="2581" spans="1:6" x14ac:dyDescent="0.25">
      <c r="A2581" t="s">
        <v>187</v>
      </c>
      <c r="B2581" t="s">
        <v>189</v>
      </c>
      <c r="C2581">
        <v>2</v>
      </c>
      <c r="D2581">
        <v>0</v>
      </c>
      <c r="E2581">
        <v>6</v>
      </c>
      <c r="F2581">
        <v>7313</v>
      </c>
    </row>
    <row r="2582" spans="1:6" x14ac:dyDescent="0.25">
      <c r="A2582" t="s">
        <v>187</v>
      </c>
      <c r="B2582" t="s">
        <v>189</v>
      </c>
      <c r="C2582">
        <v>2</v>
      </c>
      <c r="D2582">
        <v>1</v>
      </c>
      <c r="E2582">
        <v>1</v>
      </c>
      <c r="F2582">
        <v>237724</v>
      </c>
    </row>
    <row r="2583" spans="1:6" x14ac:dyDescent="0.25">
      <c r="A2583" t="s">
        <v>187</v>
      </c>
      <c r="B2583" t="s">
        <v>189</v>
      </c>
      <c r="C2583">
        <v>2</v>
      </c>
      <c r="D2583">
        <v>1</v>
      </c>
      <c r="E2583">
        <v>2</v>
      </c>
      <c r="F2583">
        <v>2422</v>
      </c>
    </row>
    <row r="2584" spans="1:6" x14ac:dyDescent="0.25">
      <c r="A2584" t="s">
        <v>187</v>
      </c>
      <c r="B2584" t="s">
        <v>189</v>
      </c>
      <c r="C2584">
        <v>2</v>
      </c>
      <c r="D2584">
        <v>1</v>
      </c>
      <c r="E2584">
        <v>3</v>
      </c>
      <c r="F2584">
        <v>6061</v>
      </c>
    </row>
    <row r="2585" spans="1:6" x14ac:dyDescent="0.25">
      <c r="A2585" t="s">
        <v>187</v>
      </c>
      <c r="B2585" t="s">
        <v>189</v>
      </c>
      <c r="C2585">
        <v>2</v>
      </c>
      <c r="D2585">
        <v>1</v>
      </c>
      <c r="E2585">
        <v>4</v>
      </c>
      <c r="F2585">
        <v>3618</v>
      </c>
    </row>
    <row r="2586" spans="1:6" x14ac:dyDescent="0.25">
      <c r="A2586" t="s">
        <v>187</v>
      </c>
      <c r="B2586" t="s">
        <v>189</v>
      </c>
      <c r="C2586">
        <v>2</v>
      </c>
      <c r="D2586">
        <v>1</v>
      </c>
      <c r="E2586">
        <v>5</v>
      </c>
      <c r="F2586">
        <v>218</v>
      </c>
    </row>
    <row r="2587" spans="1:6" x14ac:dyDescent="0.25">
      <c r="A2587" t="s">
        <v>187</v>
      </c>
      <c r="B2587" t="s">
        <v>189</v>
      </c>
      <c r="C2587">
        <v>2</v>
      </c>
      <c r="D2587">
        <v>1</v>
      </c>
      <c r="E2587">
        <v>6</v>
      </c>
      <c r="F2587">
        <v>5853</v>
      </c>
    </row>
    <row r="2588" spans="1:6" x14ac:dyDescent="0.25">
      <c r="A2588" t="s">
        <v>187</v>
      </c>
      <c r="B2588" t="s">
        <v>189</v>
      </c>
      <c r="C2588">
        <v>2</v>
      </c>
      <c r="D2588">
        <v>2</v>
      </c>
      <c r="E2588">
        <v>1</v>
      </c>
      <c r="F2588">
        <v>26625</v>
      </c>
    </row>
    <row r="2589" spans="1:6" x14ac:dyDescent="0.25">
      <c r="A2589" t="s">
        <v>187</v>
      </c>
      <c r="B2589" t="s">
        <v>189</v>
      </c>
      <c r="C2589">
        <v>2</v>
      </c>
      <c r="D2589">
        <v>2</v>
      </c>
      <c r="E2589">
        <v>2</v>
      </c>
      <c r="F2589">
        <v>591</v>
      </c>
    </row>
    <row r="2590" spans="1:6" x14ac:dyDescent="0.25">
      <c r="A2590" t="s">
        <v>187</v>
      </c>
      <c r="B2590" t="s">
        <v>189</v>
      </c>
      <c r="C2590">
        <v>2</v>
      </c>
      <c r="D2590">
        <v>2</v>
      </c>
      <c r="E2590">
        <v>3</v>
      </c>
      <c r="F2590">
        <v>2071</v>
      </c>
    </row>
    <row r="2591" spans="1:6" x14ac:dyDescent="0.25">
      <c r="A2591" t="s">
        <v>187</v>
      </c>
      <c r="B2591" t="s">
        <v>189</v>
      </c>
      <c r="C2591">
        <v>2</v>
      </c>
      <c r="D2591">
        <v>2</v>
      </c>
      <c r="E2591">
        <v>4</v>
      </c>
      <c r="F2591">
        <v>309</v>
      </c>
    </row>
    <row r="2592" spans="1:6" x14ac:dyDescent="0.25">
      <c r="A2592" t="s">
        <v>187</v>
      </c>
      <c r="B2592" t="s">
        <v>189</v>
      </c>
      <c r="C2592">
        <v>2</v>
      </c>
      <c r="D2592">
        <v>2</v>
      </c>
      <c r="E2592">
        <v>5</v>
      </c>
      <c r="F2592">
        <v>102</v>
      </c>
    </row>
    <row r="2593" spans="1:6" x14ac:dyDescent="0.25">
      <c r="A2593" t="s">
        <v>187</v>
      </c>
      <c r="B2593" t="s">
        <v>189</v>
      </c>
      <c r="C2593">
        <v>2</v>
      </c>
      <c r="D2593">
        <v>2</v>
      </c>
      <c r="E2593">
        <v>6</v>
      </c>
      <c r="F2593">
        <v>1460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8"/>
  <sheetViews>
    <sheetView workbookViewId="0"/>
  </sheetViews>
  <sheetFormatPr defaultRowHeight="15" x14ac:dyDescent="0.25"/>
  <cols>
    <col min="1" max="1" width="28.5703125" customWidth="1"/>
    <col min="2" max="2" width="15.42578125" customWidth="1"/>
    <col min="9" max="9" width="9.140625" customWidth="1"/>
  </cols>
  <sheetData>
    <row r="1" spans="1:8" x14ac:dyDescent="0.25">
      <c r="A1" s="7" t="s">
        <v>235</v>
      </c>
    </row>
    <row r="2" spans="1:8" ht="89.25" x14ac:dyDescent="0.25">
      <c r="A2" s="8" t="s">
        <v>236</v>
      </c>
    </row>
    <row r="3" spans="1:8" ht="63.75" x14ac:dyDescent="0.25">
      <c r="A3" s="9" t="s">
        <v>237</v>
      </c>
      <c r="B3" s="10" t="s">
        <v>238</v>
      </c>
      <c r="C3" s="10" t="s">
        <v>239</v>
      </c>
    </row>
    <row r="4" spans="1:8" x14ac:dyDescent="0.25">
      <c r="C4" s="11">
        <v>2020</v>
      </c>
      <c r="D4" s="11">
        <v>2021</v>
      </c>
      <c r="E4" s="11">
        <v>2022</v>
      </c>
      <c r="F4" s="11">
        <v>2023</v>
      </c>
      <c r="G4" s="11">
        <v>2024</v>
      </c>
      <c r="H4" s="11">
        <v>2025</v>
      </c>
    </row>
    <row r="5" spans="1:8" x14ac:dyDescent="0.25">
      <c r="A5" s="12" t="s">
        <v>240</v>
      </c>
      <c r="B5" s="13">
        <v>331516113</v>
      </c>
      <c r="C5" s="13">
        <v>331578104</v>
      </c>
      <c r="D5" s="13">
        <v>332100166</v>
      </c>
      <c r="E5" s="13">
        <v>333996304</v>
      </c>
      <c r="F5" s="13">
        <v>336755052</v>
      </c>
      <c r="G5" s="13">
        <v>340003797</v>
      </c>
      <c r="H5" s="13">
        <v>341784857</v>
      </c>
    </row>
    <row r="6" spans="1:8" x14ac:dyDescent="0.25">
      <c r="A6" s="12" t="s">
        <v>241</v>
      </c>
      <c r="B6" s="13">
        <v>57617560</v>
      </c>
      <c r="C6" s="13">
        <v>57436027</v>
      </c>
      <c r="D6" s="13">
        <v>57234503</v>
      </c>
      <c r="E6" s="13">
        <v>57174375</v>
      </c>
      <c r="F6" s="13">
        <v>57458539</v>
      </c>
      <c r="G6" s="13">
        <v>57940522</v>
      </c>
      <c r="H6" s="13">
        <v>58042054</v>
      </c>
    </row>
    <row r="7" spans="1:8" x14ac:dyDescent="0.25">
      <c r="A7" s="12" t="s">
        <v>242</v>
      </c>
      <c r="B7" s="13">
        <v>68999462</v>
      </c>
      <c r="C7" s="13">
        <v>68979566</v>
      </c>
      <c r="D7" s="13">
        <v>68867096</v>
      </c>
      <c r="E7" s="13">
        <v>68872112</v>
      </c>
      <c r="F7" s="13">
        <v>69132050</v>
      </c>
      <c r="G7" s="13">
        <v>69518281</v>
      </c>
      <c r="H7" s="13">
        <v>69762666</v>
      </c>
    </row>
    <row r="8" spans="1:8" x14ac:dyDescent="0.25">
      <c r="A8" s="12" t="s">
        <v>243</v>
      </c>
      <c r="B8" s="13">
        <v>126281605</v>
      </c>
      <c r="C8" s="13">
        <v>126473371</v>
      </c>
      <c r="D8" s="13">
        <v>127380165</v>
      </c>
      <c r="E8" s="13">
        <v>129066102</v>
      </c>
      <c r="F8" s="13">
        <v>130894372</v>
      </c>
      <c r="G8" s="13">
        <v>132662072</v>
      </c>
      <c r="H8" s="13">
        <v>133833983</v>
      </c>
    </row>
    <row r="9" spans="1:8" x14ac:dyDescent="0.25">
      <c r="A9" s="12" t="s">
        <v>244</v>
      </c>
      <c r="B9" s="13">
        <v>78617486</v>
      </c>
      <c r="C9" s="13">
        <v>78689140</v>
      </c>
      <c r="D9" s="13">
        <v>78618402</v>
      </c>
      <c r="E9" s="13">
        <v>78883715</v>
      </c>
      <c r="F9" s="13">
        <v>79270091</v>
      </c>
      <c r="G9" s="13">
        <v>79882922</v>
      </c>
      <c r="H9" s="13">
        <v>80146154</v>
      </c>
    </row>
    <row r="10" spans="1:8" x14ac:dyDescent="0.25">
      <c r="A10" s="14" t="s">
        <v>245</v>
      </c>
      <c r="B10" s="13">
        <v>5025437</v>
      </c>
      <c r="C10" s="13">
        <v>5032962</v>
      </c>
      <c r="D10" s="13">
        <v>5050058</v>
      </c>
      <c r="E10" s="13">
        <v>5076868</v>
      </c>
      <c r="F10" s="13">
        <v>5117850</v>
      </c>
      <c r="G10" s="13">
        <v>5163055</v>
      </c>
      <c r="H10" s="13">
        <v>5193088</v>
      </c>
    </row>
    <row r="11" spans="1:8" x14ac:dyDescent="0.25">
      <c r="A11" s="14" t="s">
        <v>246</v>
      </c>
      <c r="B11" s="13">
        <v>733383</v>
      </c>
      <c r="C11" s="13">
        <v>732906</v>
      </c>
      <c r="D11" s="13">
        <v>734590</v>
      </c>
      <c r="E11" s="13">
        <v>733659</v>
      </c>
      <c r="F11" s="13">
        <v>734654</v>
      </c>
      <c r="G11" s="13">
        <v>736537</v>
      </c>
      <c r="H11" s="13">
        <v>737270</v>
      </c>
    </row>
    <row r="12" spans="1:8" x14ac:dyDescent="0.25">
      <c r="A12" s="14" t="s">
        <v>247</v>
      </c>
      <c r="B12" s="13">
        <v>7158104</v>
      </c>
      <c r="C12" s="13">
        <v>7186647</v>
      </c>
      <c r="D12" s="13">
        <v>7274022</v>
      </c>
      <c r="E12" s="13">
        <v>7370065</v>
      </c>
      <c r="F12" s="13">
        <v>7452073</v>
      </c>
      <c r="G12" s="13">
        <v>7556424</v>
      </c>
      <c r="H12" s="13">
        <v>7623818</v>
      </c>
    </row>
    <row r="13" spans="1:8" x14ac:dyDescent="0.25">
      <c r="A13" s="14" t="s">
        <v>248</v>
      </c>
      <c r="B13" s="13">
        <v>3011530</v>
      </c>
      <c r="C13" s="13">
        <v>3014399</v>
      </c>
      <c r="D13" s="13">
        <v>3027127</v>
      </c>
      <c r="E13" s="13">
        <v>3047429</v>
      </c>
      <c r="F13" s="13">
        <v>3069856</v>
      </c>
      <c r="G13" s="13">
        <v>3096080</v>
      </c>
      <c r="H13" s="13">
        <v>3114791</v>
      </c>
    </row>
    <row r="14" spans="1:8" x14ac:dyDescent="0.25">
      <c r="A14" s="14" t="s">
        <v>249</v>
      </c>
      <c r="B14" s="13">
        <v>39555703</v>
      </c>
      <c r="C14" s="13">
        <v>39527808</v>
      </c>
      <c r="D14" s="13">
        <v>39152927</v>
      </c>
      <c r="E14" s="13">
        <v>39125347</v>
      </c>
      <c r="F14" s="13">
        <v>39181667</v>
      </c>
      <c r="G14" s="13">
        <v>39364774</v>
      </c>
      <c r="H14" s="13">
        <v>39355309</v>
      </c>
    </row>
    <row r="15" spans="1:8" x14ac:dyDescent="0.25">
      <c r="A15" s="14" t="s">
        <v>250</v>
      </c>
      <c r="B15" s="13">
        <v>5775326</v>
      </c>
      <c r="C15" s="13">
        <v>5786873</v>
      </c>
      <c r="D15" s="13">
        <v>5814368</v>
      </c>
      <c r="E15" s="13">
        <v>5853355</v>
      </c>
      <c r="F15" s="13">
        <v>5912240</v>
      </c>
      <c r="G15" s="13">
        <v>5988502</v>
      </c>
      <c r="H15" s="13">
        <v>6012561</v>
      </c>
    </row>
    <row r="16" spans="1:8" x14ac:dyDescent="0.25">
      <c r="A16" s="14" t="s">
        <v>251</v>
      </c>
      <c r="B16" s="13">
        <v>3607750</v>
      </c>
      <c r="C16" s="13">
        <v>3579643</v>
      </c>
      <c r="D16" s="13">
        <v>3607765</v>
      </c>
      <c r="E16" s="13">
        <v>3618707</v>
      </c>
      <c r="F16" s="13">
        <v>3641369</v>
      </c>
      <c r="G16" s="13">
        <v>3674449</v>
      </c>
      <c r="H16" s="13">
        <v>3688496</v>
      </c>
    </row>
    <row r="17" spans="1:8" x14ac:dyDescent="0.25">
      <c r="A17" s="14" t="s">
        <v>252</v>
      </c>
      <c r="B17" s="13">
        <v>989950</v>
      </c>
      <c r="C17" s="13">
        <v>991890</v>
      </c>
      <c r="D17" s="13">
        <v>1005130</v>
      </c>
      <c r="E17" s="13">
        <v>1020279</v>
      </c>
      <c r="F17" s="13">
        <v>1035354</v>
      </c>
      <c r="G17" s="13">
        <v>1050123</v>
      </c>
      <c r="H17" s="13">
        <v>1059952</v>
      </c>
    </row>
    <row r="18" spans="1:8" x14ac:dyDescent="0.25">
      <c r="A18" s="14" t="s">
        <v>253</v>
      </c>
      <c r="B18" s="13">
        <v>689544</v>
      </c>
      <c r="C18" s="13">
        <v>670958</v>
      </c>
      <c r="D18" s="13">
        <v>669637</v>
      </c>
      <c r="E18" s="13">
        <v>674501</v>
      </c>
      <c r="F18" s="13">
        <v>682559</v>
      </c>
      <c r="G18" s="13">
        <v>691310</v>
      </c>
      <c r="H18" s="13">
        <v>693645</v>
      </c>
    </row>
    <row r="19" spans="1:8" x14ac:dyDescent="0.25">
      <c r="A19" s="14" t="s">
        <v>254</v>
      </c>
      <c r="B19" s="13">
        <v>21538207</v>
      </c>
      <c r="C19" s="13">
        <v>21591325</v>
      </c>
      <c r="D19" s="13">
        <v>21836698</v>
      </c>
      <c r="E19" s="13">
        <v>22413989</v>
      </c>
      <c r="F19" s="13">
        <v>22929248</v>
      </c>
      <c r="G19" s="13">
        <v>23265838</v>
      </c>
      <c r="H19" s="13">
        <v>23462518</v>
      </c>
    </row>
    <row r="20" spans="1:8" x14ac:dyDescent="0.25">
      <c r="A20" s="14" t="s">
        <v>255</v>
      </c>
      <c r="B20" s="13">
        <v>10713861</v>
      </c>
      <c r="C20" s="13">
        <v>10732595</v>
      </c>
      <c r="D20" s="13">
        <v>10793038</v>
      </c>
      <c r="E20" s="13">
        <v>10929992</v>
      </c>
      <c r="F20" s="13">
        <v>11063669</v>
      </c>
      <c r="G20" s="13">
        <v>11204208</v>
      </c>
      <c r="H20" s="13">
        <v>11302748</v>
      </c>
    </row>
    <row r="21" spans="1:8" x14ac:dyDescent="0.25">
      <c r="A21" s="14" t="s">
        <v>256</v>
      </c>
      <c r="B21" s="13">
        <v>1455267</v>
      </c>
      <c r="C21" s="13">
        <v>1451130</v>
      </c>
      <c r="D21" s="13">
        <v>1446909</v>
      </c>
      <c r="E21" s="13">
        <v>1437812</v>
      </c>
      <c r="F21" s="13">
        <v>1434950</v>
      </c>
      <c r="G21" s="13">
        <v>1434952</v>
      </c>
      <c r="H21" s="13">
        <v>1432820</v>
      </c>
    </row>
    <row r="22" spans="1:8" x14ac:dyDescent="0.25">
      <c r="A22" s="14" t="s">
        <v>257</v>
      </c>
      <c r="B22" s="13">
        <v>1839123</v>
      </c>
      <c r="C22" s="13">
        <v>1849328</v>
      </c>
      <c r="D22" s="13">
        <v>1904855</v>
      </c>
      <c r="E22" s="13">
        <v>1942951</v>
      </c>
      <c r="F22" s="13">
        <v>1970497</v>
      </c>
      <c r="G22" s="13">
        <v>2000872</v>
      </c>
      <c r="H22" s="13">
        <v>2029733</v>
      </c>
    </row>
    <row r="23" spans="1:8" x14ac:dyDescent="0.25">
      <c r="A23" s="14" t="s">
        <v>258</v>
      </c>
      <c r="B23" s="13">
        <v>12821741</v>
      </c>
      <c r="C23" s="13">
        <v>12795348</v>
      </c>
      <c r="D23" s="13">
        <v>12703354</v>
      </c>
      <c r="E23" s="13">
        <v>12609577</v>
      </c>
      <c r="F23" s="13">
        <v>12633389</v>
      </c>
      <c r="G23" s="13">
        <v>12703033</v>
      </c>
      <c r="H23" s="13">
        <v>12719141</v>
      </c>
    </row>
    <row r="24" spans="1:8" x14ac:dyDescent="0.25">
      <c r="A24" s="14" t="s">
        <v>259</v>
      </c>
      <c r="B24" s="13">
        <v>6786605</v>
      </c>
      <c r="C24" s="13">
        <v>6790290</v>
      </c>
      <c r="D24" s="13">
        <v>6814223</v>
      </c>
      <c r="E24" s="13">
        <v>6841491</v>
      </c>
      <c r="F24" s="13">
        <v>6881373</v>
      </c>
      <c r="G24" s="13">
        <v>6934754</v>
      </c>
      <c r="H24" s="13">
        <v>6973333</v>
      </c>
    </row>
    <row r="25" spans="1:8" x14ac:dyDescent="0.25">
      <c r="A25" s="14" t="s">
        <v>260</v>
      </c>
      <c r="B25" s="13">
        <v>3190582</v>
      </c>
      <c r="C25" s="13">
        <v>3191081</v>
      </c>
      <c r="D25" s="13">
        <v>3199037</v>
      </c>
      <c r="E25" s="13">
        <v>3201890</v>
      </c>
      <c r="F25" s="13">
        <v>3214739</v>
      </c>
      <c r="G25" s="13">
        <v>3230454</v>
      </c>
      <c r="H25" s="13">
        <v>3238387</v>
      </c>
    </row>
    <row r="26" spans="1:8" x14ac:dyDescent="0.25">
      <c r="A26" s="14" t="s">
        <v>261</v>
      </c>
      <c r="B26" s="13">
        <v>2937986</v>
      </c>
      <c r="C26" s="13">
        <v>2938274</v>
      </c>
      <c r="D26" s="13">
        <v>2938966</v>
      </c>
      <c r="E26" s="13">
        <v>2938034</v>
      </c>
      <c r="F26" s="13">
        <v>2949749</v>
      </c>
      <c r="G26" s="13">
        <v>2965252</v>
      </c>
      <c r="H26" s="13">
        <v>2977220</v>
      </c>
    </row>
    <row r="27" spans="1:8" x14ac:dyDescent="0.25">
      <c r="A27" s="14" t="s">
        <v>262</v>
      </c>
      <c r="B27" s="13">
        <v>4506287</v>
      </c>
      <c r="C27" s="13">
        <v>4508271</v>
      </c>
      <c r="D27" s="13">
        <v>4508348</v>
      </c>
      <c r="E27" s="13">
        <v>4521238</v>
      </c>
      <c r="F27" s="13">
        <v>4549953</v>
      </c>
      <c r="G27" s="13">
        <v>4584046</v>
      </c>
      <c r="H27" s="13">
        <v>4606864</v>
      </c>
    </row>
    <row r="28" spans="1:8" x14ac:dyDescent="0.25">
      <c r="A28" s="14" t="s">
        <v>263</v>
      </c>
      <c r="B28" s="13">
        <v>4657894</v>
      </c>
      <c r="C28" s="13">
        <v>4652145</v>
      </c>
      <c r="D28" s="13">
        <v>4628595</v>
      </c>
      <c r="E28" s="13">
        <v>4600892</v>
      </c>
      <c r="F28" s="13">
        <v>4598777</v>
      </c>
      <c r="G28" s="13">
        <v>4614878</v>
      </c>
      <c r="H28" s="13">
        <v>4618189</v>
      </c>
    </row>
    <row r="29" spans="1:8" x14ac:dyDescent="0.25">
      <c r="A29" s="14" t="s">
        <v>264</v>
      </c>
      <c r="B29" s="13">
        <v>1363218</v>
      </c>
      <c r="C29" s="13">
        <v>1364546</v>
      </c>
      <c r="D29" s="13">
        <v>1379009</v>
      </c>
      <c r="E29" s="13">
        <v>1391585</v>
      </c>
      <c r="F29" s="13">
        <v>1401992</v>
      </c>
      <c r="G29" s="13">
        <v>1408438</v>
      </c>
      <c r="H29" s="13">
        <v>1414874</v>
      </c>
    </row>
    <row r="30" spans="1:8" x14ac:dyDescent="0.25">
      <c r="A30" s="14" t="s">
        <v>265</v>
      </c>
      <c r="B30" s="13">
        <v>6181640</v>
      </c>
      <c r="C30" s="13">
        <v>6178387</v>
      </c>
      <c r="D30" s="13">
        <v>6176035</v>
      </c>
      <c r="E30" s="13">
        <v>6183257</v>
      </c>
      <c r="F30" s="13">
        <v>6204927</v>
      </c>
      <c r="G30" s="13">
        <v>6245314</v>
      </c>
      <c r="H30" s="13">
        <v>6265347</v>
      </c>
    </row>
    <row r="31" spans="1:8" x14ac:dyDescent="0.25">
      <c r="A31" s="14" t="s">
        <v>266</v>
      </c>
      <c r="B31" s="13">
        <v>7033112</v>
      </c>
      <c r="C31" s="13">
        <v>6985320</v>
      </c>
      <c r="D31" s="13">
        <v>6996721</v>
      </c>
      <c r="E31" s="13">
        <v>7025465</v>
      </c>
      <c r="F31" s="13">
        <v>7073479</v>
      </c>
      <c r="G31" s="13">
        <v>7138560</v>
      </c>
      <c r="H31" s="13">
        <v>7154084</v>
      </c>
    </row>
    <row r="32" spans="1:8" x14ac:dyDescent="0.25">
      <c r="A32" s="14" t="s">
        <v>267</v>
      </c>
      <c r="B32" s="13">
        <v>10079362</v>
      </c>
      <c r="C32" s="13">
        <v>10072294</v>
      </c>
      <c r="D32" s="13">
        <v>10042362</v>
      </c>
      <c r="E32" s="13">
        <v>10043906</v>
      </c>
      <c r="F32" s="13">
        <v>10062124</v>
      </c>
      <c r="G32" s="13">
        <v>10099962</v>
      </c>
      <c r="H32" s="13">
        <v>10127884</v>
      </c>
    </row>
    <row r="33" spans="1:8" x14ac:dyDescent="0.25">
      <c r="A33" s="14" t="s">
        <v>268</v>
      </c>
      <c r="B33" s="13">
        <v>5706733</v>
      </c>
      <c r="C33" s="13">
        <v>5710562</v>
      </c>
      <c r="D33" s="13">
        <v>5714055</v>
      </c>
      <c r="E33" s="13">
        <v>5727565</v>
      </c>
      <c r="F33" s="13">
        <v>5752998</v>
      </c>
      <c r="G33" s="13">
        <v>5797405</v>
      </c>
      <c r="H33" s="13">
        <v>5830405</v>
      </c>
    </row>
    <row r="34" spans="1:8" x14ac:dyDescent="0.25">
      <c r="A34" s="14" t="s">
        <v>269</v>
      </c>
      <c r="B34" s="13">
        <v>2961264</v>
      </c>
      <c r="C34" s="13">
        <v>2958385</v>
      </c>
      <c r="D34" s="13">
        <v>2947603</v>
      </c>
      <c r="E34" s="13">
        <v>2941237</v>
      </c>
      <c r="F34" s="13">
        <v>2942470</v>
      </c>
      <c r="G34" s="13">
        <v>2950172</v>
      </c>
      <c r="H34" s="13">
        <v>2954160</v>
      </c>
    </row>
    <row r="35" spans="1:8" x14ac:dyDescent="0.25">
      <c r="A35" s="14" t="s">
        <v>270</v>
      </c>
      <c r="B35" s="13">
        <v>6154913</v>
      </c>
      <c r="C35" s="13">
        <v>6155074</v>
      </c>
      <c r="D35" s="13">
        <v>6172551</v>
      </c>
      <c r="E35" s="13">
        <v>6179285</v>
      </c>
      <c r="F35" s="13">
        <v>6205956</v>
      </c>
      <c r="G35" s="13">
        <v>6243544</v>
      </c>
      <c r="H35" s="13">
        <v>6270541</v>
      </c>
    </row>
    <row r="36" spans="1:8" x14ac:dyDescent="0.25">
      <c r="A36" s="14" t="s">
        <v>271</v>
      </c>
      <c r="B36" s="13">
        <v>1084221</v>
      </c>
      <c r="C36" s="13">
        <v>1087156</v>
      </c>
      <c r="D36" s="13">
        <v>1106416</v>
      </c>
      <c r="E36" s="13">
        <v>1121533</v>
      </c>
      <c r="F36" s="13">
        <v>1130612</v>
      </c>
      <c r="G36" s="13">
        <v>1137557</v>
      </c>
      <c r="H36" s="13">
        <v>1144694</v>
      </c>
    </row>
    <row r="37" spans="1:8" x14ac:dyDescent="0.25">
      <c r="A37" s="14" t="s">
        <v>272</v>
      </c>
      <c r="B37" s="13">
        <v>1961980</v>
      </c>
      <c r="C37" s="13">
        <v>1963318</v>
      </c>
      <c r="D37" s="13">
        <v>1964697</v>
      </c>
      <c r="E37" s="13">
        <v>1972595</v>
      </c>
      <c r="F37" s="13">
        <v>1988172</v>
      </c>
      <c r="G37" s="13">
        <v>2005591</v>
      </c>
      <c r="H37" s="13">
        <v>2018006</v>
      </c>
    </row>
    <row r="38" spans="1:8" x14ac:dyDescent="0.25">
      <c r="A38" s="14" t="s">
        <v>273</v>
      </c>
      <c r="B38" s="13">
        <v>3105593</v>
      </c>
      <c r="C38" s="13">
        <v>3116851</v>
      </c>
      <c r="D38" s="13">
        <v>3148472</v>
      </c>
      <c r="E38" s="13">
        <v>3177672</v>
      </c>
      <c r="F38" s="13">
        <v>3211077</v>
      </c>
      <c r="G38" s="13">
        <v>3253543</v>
      </c>
      <c r="H38" s="13">
        <v>3282188</v>
      </c>
    </row>
    <row r="39" spans="1:8" x14ac:dyDescent="0.25">
      <c r="A39" s="14" t="s">
        <v>274</v>
      </c>
      <c r="B39" s="13">
        <v>1377573</v>
      </c>
      <c r="C39" s="13">
        <v>1378752</v>
      </c>
      <c r="D39" s="13">
        <v>1387907</v>
      </c>
      <c r="E39" s="13">
        <v>1396647</v>
      </c>
      <c r="F39" s="13">
        <v>1401530</v>
      </c>
      <c r="G39" s="13">
        <v>1408518</v>
      </c>
      <c r="H39" s="13">
        <v>1415342</v>
      </c>
    </row>
    <row r="40" spans="1:8" x14ac:dyDescent="0.25">
      <c r="A40" s="14" t="s">
        <v>275</v>
      </c>
      <c r="B40" s="13">
        <v>9289024</v>
      </c>
      <c r="C40" s="13">
        <v>9270476</v>
      </c>
      <c r="D40" s="13">
        <v>9266509</v>
      </c>
      <c r="E40" s="13">
        <v>9298402</v>
      </c>
      <c r="F40" s="13">
        <v>9395315</v>
      </c>
      <c r="G40" s="13">
        <v>9506354</v>
      </c>
      <c r="H40" s="13">
        <v>9548215</v>
      </c>
    </row>
    <row r="41" spans="1:8" x14ac:dyDescent="0.25">
      <c r="A41" s="14" t="s">
        <v>276</v>
      </c>
      <c r="B41" s="13">
        <v>2117492</v>
      </c>
      <c r="C41" s="13">
        <v>2118446</v>
      </c>
      <c r="D41" s="13">
        <v>2117300</v>
      </c>
      <c r="E41" s="13">
        <v>2112859</v>
      </c>
      <c r="F41" s="13">
        <v>2119349</v>
      </c>
      <c r="G41" s="13">
        <v>2126774</v>
      </c>
      <c r="H41" s="13">
        <v>2125498</v>
      </c>
    </row>
    <row r="42" spans="1:8" x14ac:dyDescent="0.25">
      <c r="A42" s="14" t="s">
        <v>277</v>
      </c>
      <c r="B42" s="13">
        <v>20203696</v>
      </c>
      <c r="C42" s="13">
        <v>20122262</v>
      </c>
      <c r="D42" s="13">
        <v>19835345</v>
      </c>
      <c r="E42" s="13">
        <v>19713025</v>
      </c>
      <c r="F42" s="13">
        <v>19786543</v>
      </c>
      <c r="G42" s="13">
        <v>20001419</v>
      </c>
      <c r="H42" s="13">
        <v>20002427</v>
      </c>
    </row>
    <row r="43" spans="1:8" x14ac:dyDescent="0.25">
      <c r="A43" s="14" t="s">
        <v>278</v>
      </c>
      <c r="B43" s="13">
        <v>10441392</v>
      </c>
      <c r="C43" s="13">
        <v>10450215</v>
      </c>
      <c r="D43" s="13">
        <v>10565503</v>
      </c>
      <c r="E43" s="13">
        <v>10705768</v>
      </c>
      <c r="F43" s="13">
        <v>10871849</v>
      </c>
      <c r="G43" s="13">
        <v>11052061</v>
      </c>
      <c r="H43" s="13">
        <v>11197968</v>
      </c>
    </row>
    <row r="44" spans="1:8" x14ac:dyDescent="0.25">
      <c r="A44" s="14" t="s">
        <v>279</v>
      </c>
      <c r="B44" s="13">
        <v>779136</v>
      </c>
      <c r="C44" s="13">
        <v>779612</v>
      </c>
      <c r="D44" s="13">
        <v>777977</v>
      </c>
      <c r="E44" s="13">
        <v>780191</v>
      </c>
      <c r="F44" s="13">
        <v>787071</v>
      </c>
      <c r="G44" s="13">
        <v>793387</v>
      </c>
      <c r="H44" s="13">
        <v>799358</v>
      </c>
    </row>
    <row r="45" spans="1:8" x14ac:dyDescent="0.25">
      <c r="A45" s="14" t="s">
        <v>280</v>
      </c>
      <c r="B45" s="13">
        <v>11799445</v>
      </c>
      <c r="C45" s="13">
        <v>11798534</v>
      </c>
      <c r="D45" s="13">
        <v>11761443</v>
      </c>
      <c r="E45" s="13">
        <v>11764950</v>
      </c>
      <c r="F45" s="13">
        <v>11808390</v>
      </c>
      <c r="G45" s="13">
        <v>11860621</v>
      </c>
      <c r="H45" s="13">
        <v>11900510</v>
      </c>
    </row>
    <row r="46" spans="1:8" x14ac:dyDescent="0.25">
      <c r="A46" s="14" t="s">
        <v>281</v>
      </c>
      <c r="B46" s="13">
        <v>3959354</v>
      </c>
      <c r="C46" s="13">
        <v>3965243</v>
      </c>
      <c r="D46" s="13">
        <v>3992760</v>
      </c>
      <c r="E46" s="13">
        <v>4025327</v>
      </c>
      <c r="F46" s="13">
        <v>4062716</v>
      </c>
      <c r="G46" s="13">
        <v>4097758</v>
      </c>
      <c r="H46" s="13">
        <v>4123288</v>
      </c>
    </row>
    <row r="47" spans="1:8" x14ac:dyDescent="0.25">
      <c r="A47" s="14" t="s">
        <v>282</v>
      </c>
      <c r="B47" s="13">
        <v>4237282</v>
      </c>
      <c r="C47" s="13">
        <v>4243544</v>
      </c>
      <c r="D47" s="13">
        <v>4254691</v>
      </c>
      <c r="E47" s="13">
        <v>4245964</v>
      </c>
      <c r="F47" s="13">
        <v>4250392</v>
      </c>
      <c r="G47" s="13">
        <v>4265324</v>
      </c>
      <c r="H47" s="13">
        <v>4273586</v>
      </c>
    </row>
    <row r="48" spans="1:8" x14ac:dyDescent="0.25">
      <c r="A48" s="14" t="s">
        <v>283</v>
      </c>
      <c r="B48" s="13">
        <v>13002753</v>
      </c>
      <c r="C48" s="13">
        <v>12995576</v>
      </c>
      <c r="D48" s="13">
        <v>13016628</v>
      </c>
      <c r="E48" s="13">
        <v>12984655</v>
      </c>
      <c r="F48" s="13">
        <v>13009406</v>
      </c>
      <c r="G48" s="13">
        <v>13045848</v>
      </c>
      <c r="H48" s="13">
        <v>13059432</v>
      </c>
    </row>
    <row r="49" spans="1:8" x14ac:dyDescent="0.25">
      <c r="A49" s="14" t="s">
        <v>284</v>
      </c>
      <c r="B49" s="13">
        <v>1097357</v>
      </c>
      <c r="C49" s="13">
        <v>1096487</v>
      </c>
      <c r="D49" s="13">
        <v>1097381</v>
      </c>
      <c r="E49" s="13">
        <v>1098275</v>
      </c>
      <c r="F49" s="13">
        <v>1101183</v>
      </c>
      <c r="G49" s="13">
        <v>1110415</v>
      </c>
      <c r="H49" s="13">
        <v>1114521</v>
      </c>
    </row>
    <row r="50" spans="1:8" x14ac:dyDescent="0.25">
      <c r="A50" s="14" t="s">
        <v>285</v>
      </c>
      <c r="B50" s="13">
        <v>5118250</v>
      </c>
      <c r="C50" s="13">
        <v>5131992</v>
      </c>
      <c r="D50" s="13">
        <v>5194346</v>
      </c>
      <c r="E50" s="13">
        <v>5288957</v>
      </c>
      <c r="F50" s="13">
        <v>5390798</v>
      </c>
      <c r="G50" s="13">
        <v>5490316</v>
      </c>
      <c r="H50" s="13">
        <v>5570274</v>
      </c>
    </row>
    <row r="51" spans="1:8" x14ac:dyDescent="0.25">
      <c r="A51" s="14" t="s">
        <v>286</v>
      </c>
      <c r="B51" s="13">
        <v>886656</v>
      </c>
      <c r="C51" s="13">
        <v>887808</v>
      </c>
      <c r="D51" s="13">
        <v>896303</v>
      </c>
      <c r="E51" s="13">
        <v>909156</v>
      </c>
      <c r="F51" s="13">
        <v>917739</v>
      </c>
      <c r="G51" s="13">
        <v>927110</v>
      </c>
      <c r="H51" s="13">
        <v>935094</v>
      </c>
    </row>
    <row r="52" spans="1:8" x14ac:dyDescent="0.25">
      <c r="A52" s="14" t="s">
        <v>287</v>
      </c>
      <c r="B52" s="13">
        <v>6912319</v>
      </c>
      <c r="C52" s="13">
        <v>6927736</v>
      </c>
      <c r="D52" s="13">
        <v>6966687</v>
      </c>
      <c r="E52" s="13">
        <v>7063325</v>
      </c>
      <c r="F52" s="13">
        <v>7153029</v>
      </c>
      <c r="G52" s="13">
        <v>7251291</v>
      </c>
      <c r="H52" s="13">
        <v>7315076</v>
      </c>
    </row>
    <row r="53" spans="1:8" x14ac:dyDescent="0.25">
      <c r="A53" s="14" t="s">
        <v>288</v>
      </c>
      <c r="B53" s="13">
        <v>29149498</v>
      </c>
      <c r="C53" s="13">
        <v>29237895</v>
      </c>
      <c r="D53" s="13">
        <v>29572672</v>
      </c>
      <c r="E53" s="13">
        <v>30118002</v>
      </c>
      <c r="F53" s="13">
        <v>30719247</v>
      </c>
      <c r="G53" s="13">
        <v>31318578</v>
      </c>
      <c r="H53" s="13">
        <v>31709821</v>
      </c>
    </row>
    <row r="54" spans="1:8" x14ac:dyDescent="0.25">
      <c r="A54" s="14" t="s">
        <v>289</v>
      </c>
      <c r="B54" s="13">
        <v>3271601</v>
      </c>
      <c r="C54" s="13">
        <v>3283970</v>
      </c>
      <c r="D54" s="13">
        <v>3339874</v>
      </c>
      <c r="E54" s="13">
        <v>3393928</v>
      </c>
      <c r="F54" s="13">
        <v>3449259</v>
      </c>
      <c r="G54" s="13">
        <v>3502983</v>
      </c>
      <c r="H54" s="13">
        <v>3538904</v>
      </c>
    </row>
    <row r="55" spans="1:8" x14ac:dyDescent="0.25">
      <c r="A55" s="14" t="s">
        <v>290</v>
      </c>
      <c r="B55" s="13">
        <v>643077</v>
      </c>
      <c r="C55" s="13">
        <v>642965</v>
      </c>
      <c r="D55" s="13">
        <v>647238</v>
      </c>
      <c r="E55" s="13">
        <v>647614</v>
      </c>
      <c r="F55" s="13">
        <v>647722</v>
      </c>
      <c r="G55" s="13">
        <v>646521</v>
      </c>
      <c r="H55" s="13">
        <v>644663</v>
      </c>
    </row>
    <row r="56" spans="1:8" x14ac:dyDescent="0.25">
      <c r="A56" s="14" t="s">
        <v>291</v>
      </c>
      <c r="B56" s="13">
        <v>8631419</v>
      </c>
      <c r="C56" s="13">
        <v>8637303</v>
      </c>
      <c r="D56" s="13">
        <v>8660007</v>
      </c>
      <c r="E56" s="13">
        <v>8681038</v>
      </c>
      <c r="F56" s="13">
        <v>8732034</v>
      </c>
      <c r="G56" s="13">
        <v>8819642</v>
      </c>
      <c r="H56" s="13">
        <v>8880107</v>
      </c>
    </row>
    <row r="57" spans="1:8" x14ac:dyDescent="0.25">
      <c r="A57" s="14" t="s">
        <v>292</v>
      </c>
      <c r="B57" s="13">
        <v>7707519</v>
      </c>
      <c r="C57" s="13">
        <v>7726812</v>
      </c>
      <c r="D57" s="13">
        <v>7744316</v>
      </c>
      <c r="E57" s="13">
        <v>7786828</v>
      </c>
      <c r="F57" s="13">
        <v>7838655</v>
      </c>
      <c r="G57" s="13">
        <v>7927958</v>
      </c>
      <c r="H57" s="13">
        <v>8001020</v>
      </c>
    </row>
    <row r="58" spans="1:8" x14ac:dyDescent="0.25">
      <c r="A58" s="14" t="s">
        <v>293</v>
      </c>
      <c r="B58" s="13">
        <v>1793759</v>
      </c>
      <c r="C58" s="13">
        <v>1791670</v>
      </c>
      <c r="D58" s="13">
        <v>1785921</v>
      </c>
      <c r="E58" s="13">
        <v>1774003</v>
      </c>
      <c r="F58" s="13">
        <v>1770036</v>
      </c>
      <c r="G58" s="13">
        <v>1767402</v>
      </c>
      <c r="H58" s="13">
        <v>1766147</v>
      </c>
    </row>
    <row r="59" spans="1:8" x14ac:dyDescent="0.25">
      <c r="A59" s="14" t="s">
        <v>294</v>
      </c>
      <c r="B59" s="13">
        <v>5894323</v>
      </c>
      <c r="C59" s="13">
        <v>5897371</v>
      </c>
      <c r="D59" s="13">
        <v>5882128</v>
      </c>
      <c r="E59" s="13">
        <v>5903472</v>
      </c>
      <c r="F59" s="13">
        <v>5930350</v>
      </c>
      <c r="G59" s="13">
        <v>5957168</v>
      </c>
      <c r="H59" s="13">
        <v>5972787</v>
      </c>
    </row>
    <row r="60" spans="1:8" x14ac:dyDescent="0.25">
      <c r="A60" s="14" t="s">
        <v>295</v>
      </c>
      <c r="B60" s="13">
        <v>576872</v>
      </c>
      <c r="C60" s="13">
        <v>577669</v>
      </c>
      <c r="D60" s="13">
        <v>579662</v>
      </c>
      <c r="E60" s="13">
        <v>581742</v>
      </c>
      <c r="F60" s="13">
        <v>584666</v>
      </c>
      <c r="G60" s="13">
        <v>586722</v>
      </c>
      <c r="H60" s="13">
        <v>588753</v>
      </c>
    </row>
    <row r="61" spans="1:8" x14ac:dyDescent="0.25">
      <c r="A61" s="15"/>
      <c r="B61" s="13"/>
      <c r="C61" s="13"/>
      <c r="D61" s="13"/>
      <c r="E61" s="13"/>
      <c r="F61" s="13"/>
      <c r="G61" s="13"/>
      <c r="H61" s="13"/>
    </row>
    <row r="62" spans="1:8" x14ac:dyDescent="0.25">
      <c r="A62" s="16" t="s">
        <v>296</v>
      </c>
      <c r="B62" s="17">
        <v>3285874</v>
      </c>
      <c r="C62" s="17">
        <v>3281591</v>
      </c>
      <c r="D62" s="17">
        <v>3262731</v>
      </c>
      <c r="E62" s="17">
        <v>3220148</v>
      </c>
      <c r="F62" s="17">
        <v>3203794</v>
      </c>
      <c r="G62" s="17">
        <v>3202521</v>
      </c>
      <c r="H62" s="17">
        <v>3184835</v>
      </c>
    </row>
    <row r="63" spans="1:8" x14ac:dyDescent="0.25">
      <c r="A63" s="18" t="s">
        <v>297</v>
      </c>
    </row>
    <row r="64" spans="1:8" x14ac:dyDescent="0.25">
      <c r="A64" s="18" t="s">
        <v>298</v>
      </c>
    </row>
    <row r="65" spans="1:1" x14ac:dyDescent="0.25">
      <c r="A65" s="19" t="s">
        <v>299</v>
      </c>
    </row>
    <row r="66" spans="1:1" x14ac:dyDescent="0.25">
      <c r="A66" s="20" t="s">
        <v>300</v>
      </c>
    </row>
    <row r="67" spans="1:1" x14ac:dyDescent="0.25">
      <c r="A67" s="20" t="s">
        <v>301</v>
      </c>
    </row>
    <row r="68" spans="1:1" x14ac:dyDescent="0.25">
      <c r="A68" s="19" t="s">
        <v>302</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59"/>
  <sheetViews>
    <sheetView workbookViewId="0"/>
  </sheetViews>
  <sheetFormatPr defaultRowHeight="15" x14ac:dyDescent="0.25"/>
  <cols>
    <col min="1" max="1" width="9.140625" customWidth="1"/>
    <col min="2" max="2" width="18.7109375" customWidth="1"/>
    <col min="3" max="3" width="14" customWidth="1"/>
    <col min="4" max="4" width="12.42578125" customWidth="1"/>
    <col min="7" max="7" width="9.140625" customWidth="1"/>
  </cols>
  <sheetData>
    <row r="1" spans="1:6" ht="375" x14ac:dyDescent="0.25">
      <c r="A1" s="21" t="s">
        <v>303</v>
      </c>
    </row>
    <row r="2" spans="1:6" ht="330" x14ac:dyDescent="0.25">
      <c r="A2" s="22" t="s">
        <v>304</v>
      </c>
    </row>
    <row r="3" spans="1:6" x14ac:dyDescent="0.25">
      <c r="A3" s="23" t="s">
        <v>305</v>
      </c>
      <c r="B3" s="23" t="s">
        <v>306</v>
      </c>
      <c r="C3" s="24" t="s">
        <v>307</v>
      </c>
      <c r="D3" s="25"/>
      <c r="E3" s="25"/>
      <c r="F3" s="25"/>
    </row>
    <row r="4" spans="1:6" x14ac:dyDescent="0.25">
      <c r="A4" s="25"/>
      <c r="B4" s="25"/>
      <c r="C4" s="26">
        <v>2020</v>
      </c>
      <c r="D4" s="26">
        <v>2030</v>
      </c>
      <c r="E4" s="26">
        <v>2040</v>
      </c>
      <c r="F4" s="26">
        <v>2050</v>
      </c>
    </row>
    <row r="5" spans="1:6" x14ac:dyDescent="0.25">
      <c r="A5" s="27">
        <v>0</v>
      </c>
      <c r="B5" s="28" t="s">
        <v>240</v>
      </c>
      <c r="C5" s="29">
        <v>331449281</v>
      </c>
      <c r="D5" s="30">
        <v>349695864.83600509</v>
      </c>
      <c r="E5" s="30">
        <v>362293471.00603873</v>
      </c>
      <c r="F5" s="30">
        <v>371766981.53281742</v>
      </c>
    </row>
    <row r="6" spans="1:6" x14ac:dyDescent="0.25">
      <c r="A6" s="26">
        <v>1</v>
      </c>
      <c r="B6" s="31" t="s">
        <v>1</v>
      </c>
      <c r="C6" s="32">
        <v>5024279</v>
      </c>
      <c r="D6" s="33">
        <v>5213941.9593999544</v>
      </c>
      <c r="E6" s="33">
        <v>5269411.9940482546</v>
      </c>
      <c r="F6" s="33">
        <v>5263068.8276395518</v>
      </c>
    </row>
    <row r="7" spans="1:6" x14ac:dyDescent="0.25">
      <c r="A7" s="26">
        <v>2</v>
      </c>
      <c r="B7" s="31" t="s">
        <v>308</v>
      </c>
      <c r="C7" s="32">
        <v>733391</v>
      </c>
      <c r="D7" s="33">
        <v>751138.61348068446</v>
      </c>
      <c r="E7" s="33">
        <v>745730.94499167416</v>
      </c>
      <c r="F7" s="33">
        <v>731686.71969204536</v>
      </c>
    </row>
    <row r="8" spans="1:6" x14ac:dyDescent="0.25">
      <c r="A8" s="26">
        <v>4</v>
      </c>
      <c r="B8" s="31" t="s">
        <v>42</v>
      </c>
      <c r="C8" s="32">
        <v>7151502</v>
      </c>
      <c r="D8" s="33">
        <v>7766235.8948013214</v>
      </c>
      <c r="E8" s="33">
        <v>8354030.2992708869</v>
      </c>
      <c r="F8" s="33">
        <v>8881011.7559838742</v>
      </c>
    </row>
    <row r="9" spans="1:6" x14ac:dyDescent="0.25">
      <c r="A9" s="26">
        <v>5</v>
      </c>
      <c r="B9" s="31" t="s">
        <v>46</v>
      </c>
      <c r="C9" s="32">
        <v>3011524</v>
      </c>
      <c r="D9" s="33">
        <v>3084795.846413034</v>
      </c>
      <c r="E9" s="33">
        <v>3063116.9208203158</v>
      </c>
      <c r="F9" s="33">
        <v>3005949.3046633019</v>
      </c>
    </row>
    <row r="10" spans="1:6" x14ac:dyDescent="0.25">
      <c r="A10" s="26">
        <v>6</v>
      </c>
      <c r="B10" s="31" t="s">
        <v>50</v>
      </c>
      <c r="C10" s="32">
        <v>39538223</v>
      </c>
      <c r="D10" s="33">
        <v>41321454.412962787</v>
      </c>
      <c r="E10" s="33">
        <v>42164453.29269436</v>
      </c>
      <c r="F10" s="33">
        <v>42520491.764124498</v>
      </c>
    </row>
    <row r="11" spans="1:6" x14ac:dyDescent="0.25">
      <c r="A11" s="26">
        <v>8</v>
      </c>
      <c r="B11" s="31" t="s">
        <v>54</v>
      </c>
      <c r="C11" s="32">
        <v>5773714</v>
      </c>
      <c r="D11" s="33">
        <v>6387211.4132660571</v>
      </c>
      <c r="E11" s="33">
        <v>7050081.2537046131</v>
      </c>
      <c r="F11" s="33">
        <v>7690558.5704174414</v>
      </c>
    </row>
    <row r="12" spans="1:6" x14ac:dyDescent="0.25">
      <c r="A12" s="26">
        <v>9</v>
      </c>
      <c r="B12" s="31" t="s">
        <v>58</v>
      </c>
      <c r="C12" s="32">
        <v>3605944</v>
      </c>
      <c r="D12" s="33">
        <v>3629971.1363854278</v>
      </c>
      <c r="E12" s="33">
        <v>3521129.0297373449</v>
      </c>
      <c r="F12" s="33">
        <v>3375527.4071430722</v>
      </c>
    </row>
    <row r="13" spans="1:6" x14ac:dyDescent="0.25">
      <c r="A13" s="26">
        <v>10</v>
      </c>
      <c r="B13" s="31" t="s">
        <v>62</v>
      </c>
      <c r="C13" s="32">
        <v>989948</v>
      </c>
      <c r="D13" s="33">
        <v>1063672.975783298</v>
      </c>
      <c r="E13" s="33">
        <v>1127462.7880623159</v>
      </c>
      <c r="F13" s="33">
        <v>1181074.3530534171</v>
      </c>
    </row>
    <row r="14" spans="1:6" x14ac:dyDescent="0.25">
      <c r="A14" s="26">
        <v>11</v>
      </c>
      <c r="B14" s="31" t="s">
        <v>309</v>
      </c>
      <c r="C14" s="32">
        <v>689545</v>
      </c>
      <c r="D14" s="33">
        <v>761820.34899197798</v>
      </c>
      <c r="E14" s="33">
        <v>839353.09399886103</v>
      </c>
      <c r="F14" s="33">
        <v>913940.14248062251</v>
      </c>
    </row>
    <row r="15" spans="1:6" x14ac:dyDescent="0.25">
      <c r="A15" s="26">
        <v>12</v>
      </c>
      <c r="B15" s="31" t="s">
        <v>66</v>
      </c>
      <c r="C15" s="32">
        <v>21538187</v>
      </c>
      <c r="D15" s="33">
        <v>23790046.180994149</v>
      </c>
      <c r="E15" s="33">
        <v>26202482.723461989</v>
      </c>
      <c r="F15" s="33">
        <v>28521379.819008172</v>
      </c>
    </row>
    <row r="16" spans="1:6" x14ac:dyDescent="0.25">
      <c r="A16" s="26">
        <v>13</v>
      </c>
      <c r="B16" s="31" t="s">
        <v>69</v>
      </c>
      <c r="C16" s="32">
        <v>10711908</v>
      </c>
      <c r="D16" s="33">
        <v>11534245.404131711</v>
      </c>
      <c r="E16" s="33">
        <v>12262063.81445121</v>
      </c>
      <c r="F16" s="33">
        <v>12883055.78332142</v>
      </c>
    </row>
    <row r="17" spans="1:6" x14ac:dyDescent="0.25">
      <c r="A17" s="26">
        <v>15</v>
      </c>
      <c r="B17" s="31" t="s">
        <v>310</v>
      </c>
      <c r="C17" s="32">
        <v>1455271</v>
      </c>
      <c r="D17" s="33">
        <v>1529813.685719925</v>
      </c>
      <c r="E17" s="33">
        <v>1573524.555421565</v>
      </c>
      <c r="F17" s="33">
        <v>1599519.128309625</v>
      </c>
    </row>
    <row r="18" spans="1:6" x14ac:dyDescent="0.25">
      <c r="A18" s="26">
        <v>16</v>
      </c>
      <c r="B18" s="31" t="s">
        <v>72</v>
      </c>
      <c r="C18" s="32">
        <v>1839106</v>
      </c>
      <c r="D18" s="33">
        <v>2066264.606384865</v>
      </c>
      <c r="E18" s="33">
        <v>2330711.6931815208</v>
      </c>
      <c r="F18" s="33">
        <v>2598197.1621829141</v>
      </c>
    </row>
    <row r="19" spans="1:6" x14ac:dyDescent="0.25">
      <c r="A19" s="26">
        <v>17</v>
      </c>
      <c r="B19" s="31" t="s">
        <v>75</v>
      </c>
      <c r="C19" s="32">
        <v>12812508</v>
      </c>
      <c r="D19" s="33">
        <v>12798927.80059221</v>
      </c>
      <c r="E19" s="33">
        <v>12288130.499614131</v>
      </c>
      <c r="F19" s="33">
        <v>11659474.34770238</v>
      </c>
    </row>
    <row r="20" spans="1:6" x14ac:dyDescent="0.25">
      <c r="A20" s="26">
        <v>18</v>
      </c>
      <c r="B20" s="31" t="s">
        <v>79</v>
      </c>
      <c r="C20" s="32">
        <v>6785528</v>
      </c>
      <c r="D20" s="33">
        <v>7018842.962614065</v>
      </c>
      <c r="E20" s="33">
        <v>7062290.1083437586</v>
      </c>
      <c r="F20" s="33">
        <v>7022738.7452546703</v>
      </c>
    </row>
    <row r="21" spans="1:6" x14ac:dyDescent="0.25">
      <c r="A21" s="26">
        <v>19</v>
      </c>
      <c r="B21" s="31" t="s">
        <v>82</v>
      </c>
      <c r="C21" s="32">
        <v>3190369</v>
      </c>
      <c r="D21" s="33">
        <v>3301783.573424798</v>
      </c>
      <c r="E21" s="33">
        <v>3324567.3310771948</v>
      </c>
      <c r="F21" s="33">
        <v>3308282.5485984799</v>
      </c>
    </row>
    <row r="22" spans="1:6" x14ac:dyDescent="0.25">
      <c r="A22" s="26">
        <v>20</v>
      </c>
      <c r="B22" s="31" t="s">
        <v>86</v>
      </c>
      <c r="C22" s="32">
        <v>2937880</v>
      </c>
      <c r="D22" s="33">
        <v>3002710.578075985</v>
      </c>
      <c r="E22" s="33">
        <v>2972719.4050657698</v>
      </c>
      <c r="F22" s="33">
        <v>2908541.687972981</v>
      </c>
    </row>
    <row r="23" spans="1:6" x14ac:dyDescent="0.25">
      <c r="A23" s="26">
        <v>21</v>
      </c>
      <c r="B23" s="31" t="s">
        <v>89</v>
      </c>
      <c r="C23" s="32">
        <v>4505836</v>
      </c>
      <c r="D23" s="33">
        <v>4633880.8341481034</v>
      </c>
      <c r="E23" s="33">
        <v>4626152.924592006</v>
      </c>
      <c r="F23" s="33">
        <v>4564319.5224742861</v>
      </c>
    </row>
    <row r="24" spans="1:6" x14ac:dyDescent="0.25">
      <c r="A24" s="26">
        <v>22</v>
      </c>
      <c r="B24" s="31" t="s">
        <v>92</v>
      </c>
      <c r="C24" s="32">
        <v>4657757</v>
      </c>
      <c r="D24" s="33">
        <v>4752752.1650289232</v>
      </c>
      <c r="E24" s="33">
        <v>4694904.5017160606</v>
      </c>
      <c r="F24" s="33">
        <v>4583416.1200747248</v>
      </c>
    </row>
    <row r="25" spans="1:6" x14ac:dyDescent="0.25">
      <c r="A25" s="26">
        <v>23</v>
      </c>
      <c r="B25" s="31" t="s">
        <v>95</v>
      </c>
      <c r="C25" s="32">
        <v>1362359</v>
      </c>
      <c r="D25" s="33">
        <v>1388292.571491861</v>
      </c>
      <c r="E25" s="33">
        <v>1368934.200202751</v>
      </c>
      <c r="F25" s="33">
        <v>1334028.4084958921</v>
      </c>
    </row>
    <row r="26" spans="1:6" x14ac:dyDescent="0.25">
      <c r="A26" s="26">
        <v>24</v>
      </c>
      <c r="B26" s="31" t="s">
        <v>98</v>
      </c>
      <c r="C26" s="32">
        <v>6177224</v>
      </c>
      <c r="D26" s="33">
        <v>6494089.8572746906</v>
      </c>
      <c r="E26" s="33">
        <v>6680280.3244134784</v>
      </c>
      <c r="F26" s="33">
        <v>6791285.8617444122</v>
      </c>
    </row>
    <row r="27" spans="1:6" x14ac:dyDescent="0.25">
      <c r="A27" s="26">
        <v>25</v>
      </c>
      <c r="B27" s="31" t="s">
        <v>101</v>
      </c>
      <c r="C27" s="32">
        <v>7029917</v>
      </c>
      <c r="D27" s="33">
        <v>7409395.2857788671</v>
      </c>
      <c r="E27" s="33">
        <v>7648478.0338228764</v>
      </c>
      <c r="F27" s="33">
        <v>7802759.3621860752</v>
      </c>
    </row>
    <row r="28" spans="1:6" x14ac:dyDescent="0.25">
      <c r="A28" s="26">
        <v>26</v>
      </c>
      <c r="B28" s="31" t="s">
        <v>104</v>
      </c>
      <c r="C28" s="32">
        <v>10077331</v>
      </c>
      <c r="D28" s="33">
        <v>10224497.144069441</v>
      </c>
      <c r="E28" s="33">
        <v>10022975.952415921</v>
      </c>
      <c r="F28" s="33">
        <v>9710293.3323017713</v>
      </c>
    </row>
    <row r="29" spans="1:6" x14ac:dyDescent="0.25">
      <c r="A29" s="26">
        <v>27</v>
      </c>
      <c r="B29" s="31" t="s">
        <v>107</v>
      </c>
      <c r="C29" s="32">
        <v>5706494</v>
      </c>
      <c r="D29" s="33">
        <v>6023698.2850104868</v>
      </c>
      <c r="E29" s="33">
        <v>6231051.2970921826</v>
      </c>
      <c r="F29" s="33">
        <v>6370013.7977215797</v>
      </c>
    </row>
    <row r="30" spans="1:6" x14ac:dyDescent="0.25">
      <c r="A30" s="26">
        <v>28</v>
      </c>
      <c r="B30" s="31" t="s">
        <v>110</v>
      </c>
      <c r="C30" s="32">
        <v>2961279</v>
      </c>
      <c r="D30" s="33">
        <v>2956771.6025782051</v>
      </c>
      <c r="E30" s="33">
        <v>2837018.7950437949</v>
      </c>
      <c r="F30" s="33">
        <v>2690218.6435543532</v>
      </c>
    </row>
    <row r="31" spans="1:6" x14ac:dyDescent="0.25">
      <c r="A31" s="26">
        <v>29</v>
      </c>
      <c r="B31" s="31" t="s">
        <v>113</v>
      </c>
      <c r="C31" s="32">
        <v>6154913</v>
      </c>
      <c r="D31" s="33">
        <v>6281702.6910188589</v>
      </c>
      <c r="E31" s="33">
        <v>6206923.6308130622</v>
      </c>
      <c r="F31" s="33">
        <v>6061168.4898502678</v>
      </c>
    </row>
    <row r="32" spans="1:6" x14ac:dyDescent="0.25">
      <c r="A32" s="26">
        <v>30</v>
      </c>
      <c r="B32" s="31" t="s">
        <v>116</v>
      </c>
      <c r="C32" s="32">
        <v>1084225</v>
      </c>
      <c r="D32" s="33">
        <v>1159875.050951825</v>
      </c>
      <c r="E32" s="33">
        <v>1222019.8451907111</v>
      </c>
      <c r="F32" s="33">
        <v>1272407.5616144771</v>
      </c>
    </row>
    <row r="33" spans="1:6" x14ac:dyDescent="0.25">
      <c r="A33" s="26">
        <v>31</v>
      </c>
      <c r="B33" s="31" t="s">
        <v>119</v>
      </c>
      <c r="C33" s="32">
        <v>1961504</v>
      </c>
      <c r="D33" s="33">
        <v>2067877.790393881</v>
      </c>
      <c r="E33" s="33">
        <v>2135297.1638524388</v>
      </c>
      <c r="F33" s="33">
        <v>2179077.6598911369</v>
      </c>
    </row>
    <row r="34" spans="1:6" x14ac:dyDescent="0.25">
      <c r="A34" s="26">
        <v>32</v>
      </c>
      <c r="B34" s="31" t="s">
        <v>122</v>
      </c>
      <c r="C34" s="32">
        <v>3104614</v>
      </c>
      <c r="D34" s="33">
        <v>3437889.6937451842</v>
      </c>
      <c r="E34" s="33">
        <v>3799909.8321301779</v>
      </c>
      <c r="F34" s="33">
        <v>4150836.006525828</v>
      </c>
    </row>
    <row r="35" spans="1:6" x14ac:dyDescent="0.25">
      <c r="A35" s="26">
        <v>33</v>
      </c>
      <c r="B35" s="31" t="s">
        <v>125</v>
      </c>
      <c r="C35" s="32">
        <v>1377529</v>
      </c>
      <c r="D35" s="33">
        <v>1424739.2342157441</v>
      </c>
      <c r="E35" s="33">
        <v>1433346.8384585569</v>
      </c>
      <c r="F35" s="33">
        <v>1425109.162564812</v>
      </c>
    </row>
    <row r="36" spans="1:6" x14ac:dyDescent="0.25">
      <c r="A36" s="26">
        <v>34</v>
      </c>
      <c r="B36" s="31" t="s">
        <v>128</v>
      </c>
      <c r="C36" s="32">
        <v>9288994</v>
      </c>
      <c r="D36" s="33">
        <v>9675872.1954775602</v>
      </c>
      <c r="E36" s="33">
        <v>9828845.0254883375</v>
      </c>
      <c r="F36" s="33">
        <v>9867242.05879361</v>
      </c>
    </row>
    <row r="37" spans="1:6" x14ac:dyDescent="0.25">
      <c r="A37" s="26">
        <v>35</v>
      </c>
      <c r="B37" s="31" t="s">
        <v>132</v>
      </c>
      <c r="C37" s="32">
        <v>2117522</v>
      </c>
      <c r="D37" s="33">
        <v>2162105.7700958732</v>
      </c>
      <c r="E37" s="33">
        <v>2137651.4391768528</v>
      </c>
      <c r="F37" s="33">
        <v>2088708.2296581869</v>
      </c>
    </row>
    <row r="38" spans="1:6" x14ac:dyDescent="0.25">
      <c r="A38" s="26">
        <v>36</v>
      </c>
      <c r="B38" s="31" t="s">
        <v>135</v>
      </c>
      <c r="C38" s="32">
        <v>20201249</v>
      </c>
      <c r="D38" s="33">
        <v>20836092.153733529</v>
      </c>
      <c r="E38" s="33">
        <v>20883792.955728509</v>
      </c>
      <c r="F38" s="33">
        <v>20686328.590018131</v>
      </c>
    </row>
    <row r="39" spans="1:6" x14ac:dyDescent="0.25">
      <c r="A39" s="26">
        <v>37</v>
      </c>
      <c r="B39" s="31" t="s">
        <v>138</v>
      </c>
      <c r="C39" s="32">
        <v>10439388</v>
      </c>
      <c r="D39" s="33">
        <v>11160159.06061106</v>
      </c>
      <c r="E39" s="33">
        <v>11747050.95648321</v>
      </c>
      <c r="F39" s="33">
        <v>12219916.86992706</v>
      </c>
    </row>
    <row r="40" spans="1:6" x14ac:dyDescent="0.25">
      <c r="A40" s="26">
        <v>38</v>
      </c>
      <c r="B40" s="31" t="s">
        <v>141</v>
      </c>
      <c r="C40" s="32">
        <v>779094</v>
      </c>
      <c r="D40" s="33">
        <v>867403.48371186946</v>
      </c>
      <c r="E40" s="33">
        <v>966019.94958065893</v>
      </c>
      <c r="F40" s="33">
        <v>1063241.597046091</v>
      </c>
    </row>
    <row r="41" spans="1:6" x14ac:dyDescent="0.25">
      <c r="A41" s="26">
        <v>39</v>
      </c>
      <c r="B41" s="31" t="s">
        <v>144</v>
      </c>
      <c r="C41" s="32">
        <v>11799448</v>
      </c>
      <c r="D41" s="33">
        <v>11999652.555418169</v>
      </c>
      <c r="E41" s="33">
        <v>11800007.035868039</v>
      </c>
      <c r="F41" s="33">
        <v>11467712.374594981</v>
      </c>
    </row>
    <row r="42" spans="1:6" x14ac:dyDescent="0.25">
      <c r="A42" s="26">
        <v>40</v>
      </c>
      <c r="B42" s="31" t="s">
        <v>147</v>
      </c>
      <c r="C42" s="32">
        <v>3959353</v>
      </c>
      <c r="D42" s="33">
        <v>4121121.0667654141</v>
      </c>
      <c r="E42" s="33">
        <v>4181942.1445472948</v>
      </c>
      <c r="F42" s="33">
        <v>4193934.061681475</v>
      </c>
    </row>
    <row r="43" spans="1:6" x14ac:dyDescent="0.25">
      <c r="A43" s="26">
        <v>41</v>
      </c>
      <c r="B43" s="31" t="s">
        <v>150</v>
      </c>
      <c r="C43" s="32">
        <v>4237256</v>
      </c>
      <c r="D43" s="33">
        <v>4563424.8192822691</v>
      </c>
      <c r="E43" s="33">
        <v>4852674.7949715285</v>
      </c>
      <c r="F43" s="33">
        <v>5099791.3279651189</v>
      </c>
    </row>
    <row r="44" spans="1:6" x14ac:dyDescent="0.25">
      <c r="A44" s="26">
        <v>42</v>
      </c>
      <c r="B44" s="31" t="s">
        <v>153</v>
      </c>
      <c r="C44" s="32">
        <v>13002700</v>
      </c>
      <c r="D44" s="33">
        <v>13231490.97878159</v>
      </c>
      <c r="E44" s="33">
        <v>13022170.76497311</v>
      </c>
      <c r="F44" s="33">
        <v>12665983.497858791</v>
      </c>
    </row>
    <row r="45" spans="1:6" x14ac:dyDescent="0.25">
      <c r="A45" s="26">
        <v>44</v>
      </c>
      <c r="B45" s="31" t="s">
        <v>156</v>
      </c>
      <c r="C45" s="32">
        <v>1097379</v>
      </c>
      <c r="D45" s="33">
        <v>1131941.9133109821</v>
      </c>
      <c r="E45" s="33">
        <v>1134637.5743859769</v>
      </c>
      <c r="F45" s="33">
        <v>1124012.425927409</v>
      </c>
    </row>
    <row r="46" spans="1:6" x14ac:dyDescent="0.25">
      <c r="A46" s="26">
        <v>45</v>
      </c>
      <c r="B46" s="31" t="s">
        <v>159</v>
      </c>
      <c r="C46" s="32">
        <v>5118425</v>
      </c>
      <c r="D46" s="33">
        <v>5514500.7519329283</v>
      </c>
      <c r="E46" s="33">
        <v>5867090.0439792927</v>
      </c>
      <c r="F46" s="33">
        <v>6169077.6594060129</v>
      </c>
    </row>
    <row r="47" spans="1:6" x14ac:dyDescent="0.25">
      <c r="A47" s="26">
        <v>46</v>
      </c>
      <c r="B47" s="31" t="s">
        <v>162</v>
      </c>
      <c r="C47" s="32">
        <v>886667</v>
      </c>
      <c r="D47" s="33">
        <v>944259.033493208</v>
      </c>
      <c r="E47" s="33">
        <v>988683.73308034905</v>
      </c>
      <c r="F47" s="33">
        <v>1023068.138899433</v>
      </c>
    </row>
    <row r="48" spans="1:6" x14ac:dyDescent="0.25">
      <c r="A48" s="26">
        <v>47</v>
      </c>
      <c r="B48" s="31" t="s">
        <v>165</v>
      </c>
      <c r="C48" s="32">
        <v>6910840</v>
      </c>
      <c r="D48" s="33">
        <v>7359518.9165155236</v>
      </c>
      <c r="E48" s="33">
        <v>7705470.0344561785</v>
      </c>
      <c r="F48" s="33">
        <v>7973147.0964359436</v>
      </c>
    </row>
    <row r="49" spans="1:6" x14ac:dyDescent="0.25">
      <c r="A49" s="26">
        <v>48</v>
      </c>
      <c r="B49" s="31" t="s">
        <v>168</v>
      </c>
      <c r="C49" s="32">
        <v>29145505</v>
      </c>
      <c r="D49" s="33">
        <v>32463601.69659014</v>
      </c>
      <c r="E49" s="33">
        <v>36177044.314676493</v>
      </c>
      <c r="F49" s="33">
        <v>39842849.698430143</v>
      </c>
    </row>
    <row r="50" spans="1:6" x14ac:dyDescent="0.25">
      <c r="A50" s="26">
        <v>49</v>
      </c>
      <c r="B50" s="31" t="s">
        <v>171</v>
      </c>
      <c r="C50" s="32">
        <v>3271616</v>
      </c>
      <c r="D50" s="33">
        <v>3699049.8315023049</v>
      </c>
      <c r="E50" s="33">
        <v>4209772.8375504371</v>
      </c>
      <c r="F50" s="33">
        <v>4734870.1350054462</v>
      </c>
    </row>
    <row r="51" spans="1:6" x14ac:dyDescent="0.25">
      <c r="A51" s="26">
        <v>50</v>
      </c>
      <c r="B51" s="31" t="s">
        <v>174</v>
      </c>
      <c r="C51" s="32">
        <v>643077</v>
      </c>
      <c r="D51" s="33">
        <v>656319.14480112377</v>
      </c>
      <c r="E51" s="33">
        <v>648499.37688398245</v>
      </c>
      <c r="F51" s="33">
        <v>633264.26871211256</v>
      </c>
    </row>
    <row r="52" spans="1:6" x14ac:dyDescent="0.25">
      <c r="A52" s="26">
        <v>51</v>
      </c>
      <c r="B52" s="31" t="s">
        <v>177</v>
      </c>
      <c r="C52" s="32">
        <v>8631393</v>
      </c>
      <c r="D52" s="33">
        <v>9129001.8887463026</v>
      </c>
      <c r="E52" s="33">
        <v>9468577.5405298192</v>
      </c>
      <c r="F52" s="33">
        <v>9705705.5996118318</v>
      </c>
    </row>
    <row r="53" spans="1:6" x14ac:dyDescent="0.25">
      <c r="A53" s="26">
        <v>53</v>
      </c>
      <c r="B53" s="31" t="s">
        <v>180</v>
      </c>
      <c r="C53" s="32">
        <v>7705281</v>
      </c>
      <c r="D53" s="33">
        <v>8512354.8693866786</v>
      </c>
      <c r="E53" s="33">
        <v>9377816.831497049</v>
      </c>
      <c r="F53" s="33">
        <v>10210210.637738449</v>
      </c>
    </row>
    <row r="54" spans="1:6" x14ac:dyDescent="0.25">
      <c r="A54" s="26">
        <v>54</v>
      </c>
      <c r="B54" s="31" t="s">
        <v>183</v>
      </c>
      <c r="C54" s="32">
        <v>1793716</v>
      </c>
      <c r="D54" s="33">
        <v>1750205.6631575711</v>
      </c>
      <c r="E54" s="33">
        <v>1628901.7088146619</v>
      </c>
      <c r="F54" s="33">
        <v>1498240.745180788</v>
      </c>
    </row>
    <row r="55" spans="1:6" x14ac:dyDescent="0.25">
      <c r="A55" s="26">
        <v>55</v>
      </c>
      <c r="B55" s="31" t="s">
        <v>186</v>
      </c>
      <c r="C55" s="32">
        <v>5893718</v>
      </c>
      <c r="D55" s="33">
        <v>6052524.5369294034</v>
      </c>
      <c r="E55" s="33">
        <v>6030729.8834475866</v>
      </c>
      <c r="F55" s="33">
        <v>5938600.7060773103</v>
      </c>
    </row>
    <row r="56" spans="1:6" x14ac:dyDescent="0.25">
      <c r="A56" s="26">
        <v>56</v>
      </c>
      <c r="B56" s="31" t="s">
        <v>189</v>
      </c>
      <c r="C56" s="32">
        <v>576851</v>
      </c>
      <c r="D56" s="33">
        <v>586924.90663312201</v>
      </c>
      <c r="E56" s="33">
        <v>577538.97222959681</v>
      </c>
      <c r="F56" s="33">
        <v>561643.81730108778</v>
      </c>
    </row>
    <row r="57" spans="1:6" x14ac:dyDescent="0.25">
      <c r="A57" s="34" t="s">
        <v>311</v>
      </c>
    </row>
    <row r="58" spans="1:6" x14ac:dyDescent="0.25">
      <c r="A58" s="35"/>
    </row>
    <row r="59" spans="1:6" x14ac:dyDescent="0.25">
      <c r="D59" s="36"/>
      <c r="E59" s="36"/>
      <c r="F59" s="36"/>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B73"/>
  <sheetViews>
    <sheetView workbookViewId="0">
      <pane xSplit="1" ySplit="2" topLeftCell="B3" activePane="bottomRight" state="frozen"/>
      <selection pane="topRight"/>
      <selection pane="bottomLeft"/>
      <selection pane="bottomRight"/>
    </sheetView>
  </sheetViews>
  <sheetFormatPr defaultRowHeight="15" x14ac:dyDescent="0.25"/>
  <cols>
    <col min="1" max="1" width="30" customWidth="1"/>
    <col min="2" max="5" width="14" customWidth="1"/>
    <col min="6" max="6" width="10" customWidth="1"/>
    <col min="7" max="28" width="11" customWidth="1"/>
  </cols>
  <sheetData>
    <row r="1" spans="1:28" x14ac:dyDescent="0.25">
      <c r="A1" s="4" t="s">
        <v>312</v>
      </c>
    </row>
    <row r="2" spans="1:28" x14ac:dyDescent="0.25">
      <c r="A2" s="3" t="s">
        <v>313</v>
      </c>
      <c r="B2" s="4">
        <v>2024</v>
      </c>
      <c r="C2" s="4">
        <v>2025</v>
      </c>
      <c r="D2" s="4">
        <v>2026</v>
      </c>
      <c r="E2" s="4">
        <v>2027</v>
      </c>
      <c r="F2" s="4">
        <v>2028</v>
      </c>
      <c r="G2" s="4">
        <v>2029</v>
      </c>
      <c r="H2" s="4">
        <v>2030</v>
      </c>
      <c r="I2" s="4">
        <v>2031</v>
      </c>
      <c r="J2" s="4">
        <v>2032</v>
      </c>
      <c r="K2" s="4">
        <v>2033</v>
      </c>
      <c r="L2" s="4">
        <v>2034</v>
      </c>
      <c r="M2" s="4">
        <v>2035</v>
      </c>
      <c r="N2" s="4">
        <v>2036</v>
      </c>
      <c r="O2" s="4">
        <v>2037</v>
      </c>
      <c r="P2" s="4">
        <v>2038</v>
      </c>
      <c r="Q2" s="4">
        <v>2039</v>
      </c>
      <c r="R2" s="4">
        <v>2040</v>
      </c>
      <c r="S2" s="4">
        <v>2041</v>
      </c>
      <c r="T2" s="4">
        <v>2042</v>
      </c>
      <c r="U2" s="4">
        <v>2043</v>
      </c>
      <c r="V2" s="4">
        <v>2044</v>
      </c>
      <c r="W2" s="4">
        <v>2045</v>
      </c>
      <c r="X2" s="4">
        <v>2046</v>
      </c>
      <c r="Y2" s="4">
        <v>2047</v>
      </c>
      <c r="Z2" s="4">
        <v>2048</v>
      </c>
      <c r="AA2" s="4">
        <v>2049</v>
      </c>
      <c r="AB2" s="4">
        <v>2050</v>
      </c>
    </row>
    <row r="3" spans="1:28" x14ac:dyDescent="0.25">
      <c r="A3" s="5" t="s">
        <v>190</v>
      </c>
      <c r="B3" s="5" t="s">
        <v>314</v>
      </c>
      <c r="C3" s="5" t="s">
        <v>315</v>
      </c>
      <c r="D3" s="5" t="s">
        <v>316</v>
      </c>
      <c r="E3" s="5" t="s">
        <v>317</v>
      </c>
      <c r="F3" s="5" t="s">
        <v>318</v>
      </c>
    </row>
    <row r="4" spans="1:28" x14ac:dyDescent="0.25">
      <c r="A4" s="4" t="s">
        <v>215</v>
      </c>
      <c r="B4" s="37">
        <f>IF(Keys!$K$2="", 0, IFERROR(SUMIFS(SCE_2024_state_pop!$F:$F, SCE_2024_state_pop!$B:$B, About!$B$1, SCE_2024_state_pop!$C:$C, Keys!$I2, SCE_2024_state_pop!$D:$D, Keys!$J2, SCE_2024_state_pop!$E:$E, Keys!$K$2), 0))+IF(Keys!$L$2="", 0, IFERROR(SUMIFS(SCE_2024_state_pop!$F:$F, SCE_2024_state_pop!$B:$B, About!$B$1, SCE_2024_state_pop!$C:$C, Keys!$I2, SCE_2024_state_pop!$D:$D, Keys!$J2, SCE_2024_state_pop!$E:$E, Keys!$L$2), 0))+IF(Keys!$M$2="", 0, IFERROR(SUMIFS(SCE_2024_state_pop!$F:$F, SCE_2024_state_pop!$B:$B, About!$B$1, SCE_2024_state_pop!$C:$C, Keys!$I2, SCE_2024_state_pop!$D:$D, Keys!$J2, SCE_2024_state_pop!$E:$E, Keys!$M$2), 0))+IF(Keys!$N$2="", 0, IFERROR(SUMIFS(SCE_2024_state_pop!$F:$F, SCE_2024_state_pop!$B:$B, About!$B$1, SCE_2024_state_pop!$C:$C, Keys!$I2, SCE_2024_state_pop!$D:$D, Keys!$J2, SCE_2024_state_pop!$E:$E, Keys!$N$2), 0))+IF(Keys!$O$2="", 0, IFERROR(SUMIFS(SCE_2024_state_pop!$F:$F, SCE_2024_state_pop!$B:$B, About!$B$1, SCE_2024_state_pop!$C:$C, Keys!$I2, SCE_2024_state_pop!$D:$D, Keys!$J2, SCE_2024_state_pop!$E:$E, Keys!$O$2), 0))+IF(Keys!$P$2="", 0, IFERROR(SUMIFS(SCE_2024_state_pop!$F:$F, SCE_2024_state_pop!$B:$B, About!$B$1, SCE_2024_state_pop!$C:$C, Keys!$I2, SCE_2024_state_pop!$D:$D, Keys!$J2, SCE_2024_state_pop!$E:$E, Keys!$P$2), 0))</f>
        <v>4006922</v>
      </c>
      <c r="C4"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7958180</v>
      </c>
      <c r="D4" s="37">
        <f>IF(Keys!$S$2="", 0, IFERROR(SUMIFS(NP2023_pop!$E:$E, NP2023_pop!$A:$A, Keys!$Q2, NP2023_pop!$B:$B, Keys!$R2, NP2023_pop!$C:$C, Keys!$S$2, NP2023_pop!$D:$D, 2024), 0))+IF(Keys!$T$2="", 0, IFERROR(SUMIFS(NP2023_pop!$E:$E, NP2023_pop!$A:$A, Keys!$Q2, NP2023_pop!$B:$B, Keys!$R2, NP2023_pop!$C:$C, Keys!$T$2, NP2023_pop!$D:$D, 2024), 0))+IF(Keys!$U$2="", 0, IFERROR(SUMIFS(NP2023_pop!$E:$E, NP2023_pop!$A:$A, Keys!$Q2, NP2023_pop!$B:$B, Keys!$R2, NP2023_pop!$C:$C, Keys!$U$2, NP2023_pop!$D:$D, 2024), 0))+IF(Keys!$V$2="", 0, IFERROR(SUMIFS(NP2023_pop!$E:$E, NP2023_pop!$A:$A, Keys!$Q2, NP2023_pop!$B:$B, Keys!$R2, NP2023_pop!$C:$C, Keys!$V$2, NP2023_pop!$D:$D, 2024), 0))+IF(Keys!$W$2="", 0, IFERROR(SUMIFS(NP2023_pop!$E:$E, NP2023_pop!$A:$A, Keys!$Q2, NP2023_pop!$B:$B, Keys!$R2, NP2023_pop!$C:$C, Keys!$W$2, NP2023_pop!$D:$D, 2024), 0))+IF(Keys!$X$2="", 0, IFERROR(SUMIFS(NP2023_pop!$E:$E, NP2023_pop!$A:$A, Keys!$Q2, NP2023_pop!$B:$B, Keys!$R2, NP2023_pop!$C:$C, Keys!$X$2, NP2023_pop!$D:$D, 2024), 0))</f>
        <v>166813721</v>
      </c>
      <c r="E4" s="37">
        <f>SUMIFS(NP2023_pop!$E:$E, NP2023_pop!$A:$A, 0, NP2023_pop!$B:$B, 0, NP2023_pop!$C:$C, 0, NP2023_pop!$D:$D, 2024)</f>
        <v>336482168</v>
      </c>
      <c r="F4" s="38">
        <f t="shared" ref="F4:F11" si="0">IFERROR((B4/C4)/(D4/E4), 0)</f>
        <v>1.0156110422328941</v>
      </c>
    </row>
    <row r="5" spans="1:28" x14ac:dyDescent="0.25">
      <c r="A5" s="4" t="s">
        <v>216</v>
      </c>
      <c r="B5" s="37">
        <f>IF(Keys!$K$3="", 0, IFERROR(SUMIFS(SCE_2024_state_pop!$F:$F, SCE_2024_state_pop!$B:$B, About!$B$1, SCE_2024_state_pop!$C:$C, Keys!$I3, SCE_2024_state_pop!$D:$D, Keys!$J3, SCE_2024_state_pop!$E:$E, Keys!$K$3), 0))+IF(Keys!$L$3="", 0, IFERROR(SUMIFS(SCE_2024_state_pop!$F:$F, SCE_2024_state_pop!$B:$B, About!$B$1, SCE_2024_state_pop!$C:$C, Keys!$I3, SCE_2024_state_pop!$D:$D, Keys!$J3, SCE_2024_state_pop!$E:$E, Keys!$L$3), 0))+IF(Keys!$M$3="", 0, IFERROR(SUMIFS(SCE_2024_state_pop!$F:$F, SCE_2024_state_pop!$B:$B, About!$B$1, SCE_2024_state_pop!$C:$C, Keys!$I3, SCE_2024_state_pop!$D:$D, Keys!$J3, SCE_2024_state_pop!$E:$E, Keys!$M$3), 0))+IF(Keys!$N$3="", 0, IFERROR(SUMIFS(SCE_2024_state_pop!$F:$F, SCE_2024_state_pop!$B:$B, About!$B$1, SCE_2024_state_pop!$C:$C, Keys!$I3, SCE_2024_state_pop!$D:$D, Keys!$J3, SCE_2024_state_pop!$E:$E, Keys!$N$3), 0))+IF(Keys!$O$3="", 0, IFERROR(SUMIFS(SCE_2024_state_pop!$F:$F, SCE_2024_state_pop!$B:$B, About!$B$1, SCE_2024_state_pop!$C:$C, Keys!$I3, SCE_2024_state_pop!$D:$D, Keys!$J3, SCE_2024_state_pop!$E:$E, Keys!$O$3), 0))+IF(Keys!$P$3="", 0, IFERROR(SUMIFS(SCE_2024_state_pop!$F:$F, SCE_2024_state_pop!$B:$B, About!$B$1, SCE_2024_state_pop!$C:$C, Keys!$I3, SCE_2024_state_pop!$D:$D, Keys!$J3, SCE_2024_state_pop!$E:$E, Keys!$P$3), 0))</f>
        <v>3951258</v>
      </c>
      <c r="C5"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7958180</v>
      </c>
      <c r="D5" s="37">
        <f>IF(Keys!$S$3="", 0, IFERROR(SUMIFS(NP2023_pop!$E:$E, NP2023_pop!$A:$A, Keys!$Q3, NP2023_pop!$B:$B, Keys!$R3, NP2023_pop!$C:$C, Keys!$S$3, NP2023_pop!$D:$D, 2024), 0))+IF(Keys!$T$3="", 0, IFERROR(SUMIFS(NP2023_pop!$E:$E, NP2023_pop!$A:$A, Keys!$Q3, NP2023_pop!$B:$B, Keys!$R3, NP2023_pop!$C:$C, Keys!$T$3, NP2023_pop!$D:$D, 2024), 0))+IF(Keys!$U$3="", 0, IFERROR(SUMIFS(NP2023_pop!$E:$E, NP2023_pop!$A:$A, Keys!$Q3, NP2023_pop!$B:$B, Keys!$R3, NP2023_pop!$C:$C, Keys!$U$3, NP2023_pop!$D:$D, 2024), 0))+IF(Keys!$V$3="", 0, IFERROR(SUMIFS(NP2023_pop!$E:$E, NP2023_pop!$A:$A, Keys!$Q3, NP2023_pop!$B:$B, Keys!$R3, NP2023_pop!$C:$C, Keys!$V$3, NP2023_pop!$D:$D, 2024), 0))+IF(Keys!$W$3="", 0, IFERROR(SUMIFS(NP2023_pop!$E:$E, NP2023_pop!$A:$A, Keys!$Q3, NP2023_pop!$B:$B, Keys!$R3, NP2023_pop!$C:$C, Keys!$W$3, NP2023_pop!$D:$D, 2024), 0))+IF(Keys!$X$3="", 0, IFERROR(SUMIFS(NP2023_pop!$E:$E, NP2023_pop!$A:$A, Keys!$Q3, NP2023_pop!$B:$B, Keys!$R3, NP2023_pop!$C:$C, Keys!$X$3, NP2023_pop!$D:$D, 2024), 0))</f>
        <v>169668447</v>
      </c>
      <c r="E5" s="37">
        <f>SUMIFS(NP2023_pop!$E:$E, NP2023_pop!$A:$A, 0, NP2023_pop!$B:$B, 0, NP2023_pop!$C:$C, 0, NP2023_pop!$D:$D, 2024)</f>
        <v>336482168</v>
      </c>
      <c r="F5" s="38">
        <f t="shared" si="0"/>
        <v>0.98465161855605832</v>
      </c>
    </row>
    <row r="6" spans="1:28" x14ac:dyDescent="0.25">
      <c r="A6" s="4" t="s">
        <v>217</v>
      </c>
      <c r="B6" s="37">
        <f>IF(Keys!$K$4="", 0, IFERROR(SUMIFS(SCE_2024_state_pop!$F:$F, SCE_2024_state_pop!$B:$B, About!$B$1, SCE_2024_state_pop!$C:$C, Keys!$I4, SCE_2024_state_pop!$D:$D, Keys!$J4, SCE_2024_state_pop!$E:$E, Keys!$K$4), 0))+IF(Keys!$L$4="", 0, IFERROR(SUMIFS(SCE_2024_state_pop!$F:$F, SCE_2024_state_pop!$B:$B, About!$B$1, SCE_2024_state_pop!$C:$C, Keys!$I4, SCE_2024_state_pop!$D:$D, Keys!$J4, SCE_2024_state_pop!$E:$E, Keys!$L$4), 0))+IF(Keys!$M$4="", 0, IFERROR(SUMIFS(SCE_2024_state_pop!$F:$F, SCE_2024_state_pop!$B:$B, About!$B$1, SCE_2024_state_pop!$C:$C, Keys!$I4, SCE_2024_state_pop!$D:$D, Keys!$J4, SCE_2024_state_pop!$E:$E, Keys!$M$4), 0))+IF(Keys!$N$4="", 0, IFERROR(SUMIFS(SCE_2024_state_pop!$F:$F, SCE_2024_state_pop!$B:$B, About!$B$1, SCE_2024_state_pop!$C:$C, Keys!$I4, SCE_2024_state_pop!$D:$D, Keys!$J4, SCE_2024_state_pop!$E:$E, Keys!$N$4), 0))+IF(Keys!$O$4="", 0, IFERROR(SUMIFS(SCE_2024_state_pop!$F:$F, SCE_2024_state_pop!$B:$B, About!$B$1, SCE_2024_state_pop!$C:$C, Keys!$I4, SCE_2024_state_pop!$D:$D, Keys!$J4, SCE_2024_state_pop!$E:$E, Keys!$O$4), 0))+IF(Keys!$P$4="", 0, IFERROR(SUMIFS(SCE_2024_state_pop!$F:$F, SCE_2024_state_pop!$B:$B, About!$B$1, SCE_2024_state_pop!$C:$C, Keys!$I4, SCE_2024_state_pop!$D:$D, Keys!$J4, SCE_2024_state_pop!$E:$E, Keys!$P$4), 0))</f>
        <v>5997386</v>
      </c>
      <c r="C6"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7958180</v>
      </c>
      <c r="D6" s="37">
        <f>IF(Keys!$S$4="", 0, IFERROR(SUMIFS(NP2023_pop!$E:$E, NP2023_pop!$A:$A, Keys!$Q4, NP2023_pop!$B:$B, Keys!$R4, NP2023_pop!$C:$C, Keys!$S$4, NP2023_pop!$D:$D, 2024), 0))+IF(Keys!$T$4="", 0, IFERROR(SUMIFS(NP2023_pop!$E:$E, NP2023_pop!$A:$A, Keys!$Q4, NP2023_pop!$B:$B, Keys!$R4, NP2023_pop!$C:$C, Keys!$T$4, NP2023_pop!$D:$D, 2024), 0))+IF(Keys!$U$4="", 0, IFERROR(SUMIFS(NP2023_pop!$E:$E, NP2023_pop!$A:$A, Keys!$Q4, NP2023_pop!$B:$B, Keys!$R4, NP2023_pop!$C:$C, Keys!$U$4, NP2023_pop!$D:$D, 2024), 0))+IF(Keys!$V$4="", 0, IFERROR(SUMIFS(NP2023_pop!$E:$E, NP2023_pop!$A:$A, Keys!$Q4, NP2023_pop!$B:$B, Keys!$R4, NP2023_pop!$C:$C, Keys!$V$4, NP2023_pop!$D:$D, 2024), 0))+IF(Keys!$W$4="", 0, IFERROR(SUMIFS(NP2023_pop!$E:$E, NP2023_pop!$A:$A, Keys!$Q4, NP2023_pop!$B:$B, Keys!$R4, NP2023_pop!$C:$C, Keys!$W$4, NP2023_pop!$D:$D, 2024), 0))+IF(Keys!$X$4="", 0, IFERROR(SUMIFS(NP2023_pop!$E:$E, NP2023_pop!$A:$A, Keys!$Q4, NP2023_pop!$B:$B, Keys!$R4, NP2023_pop!$C:$C, Keys!$X$4, NP2023_pop!$D:$D, 2024), 0))</f>
        <v>252856984</v>
      </c>
      <c r="E6" s="37">
        <f>SUMIFS(NP2023_pop!$E:$E, NP2023_pop!$A:$A, 0, NP2023_pop!$B:$B, 0, NP2023_pop!$C:$C, 0, NP2023_pop!$D:$D, 2024)</f>
        <v>336482168</v>
      </c>
      <c r="F6" s="38">
        <f t="shared" si="0"/>
        <v>1.0028485333631119</v>
      </c>
    </row>
    <row r="7" spans="1:28" x14ac:dyDescent="0.25">
      <c r="A7" s="4" t="s">
        <v>218</v>
      </c>
      <c r="B7" s="37">
        <f>IF(Keys!$K$5="", 0, IFERROR(SUMIFS(SCE_2024_state_pop!$F:$F, SCE_2024_state_pop!$B:$B, About!$B$1, SCE_2024_state_pop!$C:$C, Keys!$I5, SCE_2024_state_pop!$D:$D, Keys!$J5, SCE_2024_state_pop!$E:$E, Keys!$K$5), 0))+IF(Keys!$L$5="", 0, IFERROR(SUMIFS(SCE_2024_state_pop!$F:$F, SCE_2024_state_pop!$B:$B, About!$B$1, SCE_2024_state_pop!$C:$C, Keys!$I5, SCE_2024_state_pop!$D:$D, Keys!$J5, SCE_2024_state_pop!$E:$E, Keys!$L$5), 0))+IF(Keys!$M$5="", 0, IFERROR(SUMIFS(SCE_2024_state_pop!$F:$F, SCE_2024_state_pop!$B:$B, About!$B$1, SCE_2024_state_pop!$C:$C, Keys!$I5, SCE_2024_state_pop!$D:$D, Keys!$J5, SCE_2024_state_pop!$E:$E, Keys!$M$5), 0))+IF(Keys!$N$5="", 0, IFERROR(SUMIFS(SCE_2024_state_pop!$F:$F, SCE_2024_state_pop!$B:$B, About!$B$1, SCE_2024_state_pop!$C:$C, Keys!$I5, SCE_2024_state_pop!$D:$D, Keys!$J5, SCE_2024_state_pop!$E:$E, Keys!$N$5), 0))+IF(Keys!$O$5="", 0, IFERROR(SUMIFS(SCE_2024_state_pop!$F:$F, SCE_2024_state_pop!$B:$B, About!$B$1, SCE_2024_state_pop!$C:$C, Keys!$I5, SCE_2024_state_pop!$D:$D, Keys!$J5, SCE_2024_state_pop!$E:$E, Keys!$O$5), 0))+IF(Keys!$P$5="", 0, IFERROR(SUMIFS(SCE_2024_state_pop!$F:$F, SCE_2024_state_pop!$B:$B, About!$B$1, SCE_2024_state_pop!$C:$C, Keys!$I5, SCE_2024_state_pop!$D:$D, Keys!$J5, SCE_2024_state_pop!$E:$E, Keys!$P$5), 0))</f>
        <v>380439</v>
      </c>
      <c r="C7"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7958180</v>
      </c>
      <c r="D7" s="37">
        <f>IF(Keys!$S$5="", 0, IFERROR(SUMIFS(NP2023_pop!$E:$E, NP2023_pop!$A:$A, Keys!$Q5, NP2023_pop!$B:$B, Keys!$R5, NP2023_pop!$C:$C, Keys!$S$5, NP2023_pop!$D:$D, 2024), 0))+IF(Keys!$T$5="", 0, IFERROR(SUMIFS(NP2023_pop!$E:$E, NP2023_pop!$A:$A, Keys!$Q5, NP2023_pop!$B:$B, Keys!$R5, NP2023_pop!$C:$C, Keys!$T$5, NP2023_pop!$D:$D, 2024), 0))+IF(Keys!$U$5="", 0, IFERROR(SUMIFS(NP2023_pop!$E:$E, NP2023_pop!$A:$A, Keys!$Q5, NP2023_pop!$B:$B, Keys!$R5, NP2023_pop!$C:$C, Keys!$U$5, NP2023_pop!$D:$D, 2024), 0))+IF(Keys!$V$5="", 0, IFERROR(SUMIFS(NP2023_pop!$E:$E, NP2023_pop!$A:$A, Keys!$Q5, NP2023_pop!$B:$B, Keys!$R5, NP2023_pop!$C:$C, Keys!$V$5, NP2023_pop!$D:$D, 2024), 0))+IF(Keys!$W$5="", 0, IFERROR(SUMIFS(NP2023_pop!$E:$E, NP2023_pop!$A:$A, Keys!$Q5, NP2023_pop!$B:$B, Keys!$R5, NP2023_pop!$C:$C, Keys!$W$5, NP2023_pop!$D:$D, 2024), 0))+IF(Keys!$X$5="", 0, IFERROR(SUMIFS(NP2023_pop!$E:$E, NP2023_pop!$A:$A, Keys!$Q5, NP2023_pop!$B:$B, Keys!$R5, NP2023_pop!$C:$C, Keys!$X$5, NP2023_pop!$D:$D, 2024), 0))</f>
        <v>45967323</v>
      </c>
      <c r="E7" s="37">
        <f>SUMIFS(NP2023_pop!$E:$E, NP2023_pop!$A:$A, 0, NP2023_pop!$B:$B, 0, NP2023_pop!$C:$C, 0, NP2023_pop!$D:$D, 2024)</f>
        <v>336482168</v>
      </c>
      <c r="F7" s="38">
        <f t="shared" si="0"/>
        <v>0.34993236718485765</v>
      </c>
    </row>
    <row r="8" spans="1:28" x14ac:dyDescent="0.25">
      <c r="A8" s="4" t="s">
        <v>219</v>
      </c>
      <c r="B8" s="37">
        <f>IF(Keys!$K$6="", 0, IFERROR(SUMIFS(SCE_2024_state_pop!$F:$F, SCE_2024_state_pop!$B:$B, About!$B$1, SCE_2024_state_pop!$C:$C, Keys!$I6, SCE_2024_state_pop!$D:$D, Keys!$J6, SCE_2024_state_pop!$E:$E, Keys!$K$6), 0))+IF(Keys!$L$6="", 0, IFERROR(SUMIFS(SCE_2024_state_pop!$F:$F, SCE_2024_state_pop!$B:$B, About!$B$1, SCE_2024_state_pop!$C:$C, Keys!$I6, SCE_2024_state_pop!$D:$D, Keys!$J6, SCE_2024_state_pop!$E:$E, Keys!$L$6), 0))+IF(Keys!$M$6="", 0, IFERROR(SUMIFS(SCE_2024_state_pop!$F:$F, SCE_2024_state_pop!$B:$B, About!$B$1, SCE_2024_state_pop!$C:$C, Keys!$I6, SCE_2024_state_pop!$D:$D, Keys!$J6, SCE_2024_state_pop!$E:$E, Keys!$M$6), 0))+IF(Keys!$N$6="", 0, IFERROR(SUMIFS(SCE_2024_state_pop!$F:$F, SCE_2024_state_pop!$B:$B, About!$B$1, SCE_2024_state_pop!$C:$C, Keys!$I6, SCE_2024_state_pop!$D:$D, Keys!$J6, SCE_2024_state_pop!$E:$E, Keys!$N$6), 0))+IF(Keys!$O$6="", 0, IFERROR(SUMIFS(SCE_2024_state_pop!$F:$F, SCE_2024_state_pop!$B:$B, About!$B$1, SCE_2024_state_pop!$C:$C, Keys!$I6, SCE_2024_state_pop!$D:$D, Keys!$J6, SCE_2024_state_pop!$E:$E, Keys!$O$6), 0))+IF(Keys!$P$6="", 0, IFERROR(SUMIFS(SCE_2024_state_pop!$F:$F, SCE_2024_state_pop!$B:$B, About!$B$1, SCE_2024_state_pop!$C:$C, Keys!$I6, SCE_2024_state_pop!$D:$D, Keys!$J6, SCE_2024_state_pop!$E:$E, Keys!$P$6), 0))</f>
        <v>911228</v>
      </c>
      <c r="C8"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7958180</v>
      </c>
      <c r="D8" s="37">
        <f>IF(Keys!$S$6="", 0, IFERROR(SUMIFS(NP2023_pop!$E:$E, NP2023_pop!$A:$A, Keys!$Q6, NP2023_pop!$B:$B, Keys!$R6, NP2023_pop!$C:$C, Keys!$S$6, NP2023_pop!$D:$D, 2024), 0))+IF(Keys!$T$6="", 0, IFERROR(SUMIFS(NP2023_pop!$E:$E, NP2023_pop!$A:$A, Keys!$Q6, NP2023_pop!$B:$B, Keys!$R6, NP2023_pop!$C:$C, Keys!$T$6, NP2023_pop!$D:$D, 2024), 0))+IF(Keys!$U$6="", 0, IFERROR(SUMIFS(NP2023_pop!$E:$E, NP2023_pop!$A:$A, Keys!$Q6, NP2023_pop!$B:$B, Keys!$R6, NP2023_pop!$C:$C, Keys!$U$6, NP2023_pop!$D:$D, 2024), 0))+IF(Keys!$V$6="", 0, IFERROR(SUMIFS(NP2023_pop!$E:$E, NP2023_pop!$A:$A, Keys!$Q6, NP2023_pop!$B:$B, Keys!$R6, NP2023_pop!$C:$C, Keys!$V$6, NP2023_pop!$D:$D, 2024), 0))+IF(Keys!$W$6="", 0, IFERROR(SUMIFS(NP2023_pop!$E:$E, NP2023_pop!$A:$A, Keys!$Q6, NP2023_pop!$B:$B, Keys!$R6, NP2023_pop!$C:$C, Keys!$W$6, NP2023_pop!$D:$D, 2024), 0))+IF(Keys!$X$6="", 0, IFERROR(SUMIFS(NP2023_pop!$E:$E, NP2023_pop!$A:$A, Keys!$Q6, NP2023_pop!$B:$B, Keys!$R6, NP2023_pop!$C:$C, Keys!$X$6, NP2023_pop!$D:$D, 2024), 0))</f>
        <v>21726868</v>
      </c>
      <c r="E8" s="37">
        <f>SUMIFS(NP2023_pop!$E:$E, NP2023_pop!$A:$A, 0, NP2023_pop!$B:$B, 0, NP2023_pop!$C:$C, 0, NP2023_pop!$D:$D, 2024)</f>
        <v>336482168</v>
      </c>
      <c r="F8" s="38">
        <f t="shared" si="0"/>
        <v>1.7732837161089792</v>
      </c>
    </row>
    <row r="9" spans="1:28" x14ac:dyDescent="0.25">
      <c r="A9" s="4" t="s">
        <v>220</v>
      </c>
      <c r="B9" s="37">
        <f>IF(Keys!$K$7="", 0, IFERROR(SUMIFS(SCE_2024_state_pop!$F:$F, SCE_2024_state_pop!$B:$B, About!$B$1, SCE_2024_state_pop!$C:$C, Keys!$I7, SCE_2024_state_pop!$D:$D, Keys!$J7, SCE_2024_state_pop!$E:$E, Keys!$K$7), 0))+IF(Keys!$L$7="", 0, IFERROR(SUMIFS(SCE_2024_state_pop!$F:$F, SCE_2024_state_pop!$B:$B, About!$B$1, SCE_2024_state_pop!$C:$C, Keys!$I7, SCE_2024_state_pop!$D:$D, Keys!$J7, SCE_2024_state_pop!$E:$E, Keys!$L$7), 0))+IF(Keys!$M$7="", 0, IFERROR(SUMIFS(SCE_2024_state_pop!$F:$F, SCE_2024_state_pop!$B:$B, About!$B$1, SCE_2024_state_pop!$C:$C, Keys!$I7, SCE_2024_state_pop!$D:$D, Keys!$J7, SCE_2024_state_pop!$E:$E, Keys!$M$7), 0))+IF(Keys!$N$7="", 0, IFERROR(SUMIFS(SCE_2024_state_pop!$F:$F, SCE_2024_state_pop!$B:$B, About!$B$1, SCE_2024_state_pop!$C:$C, Keys!$I7, SCE_2024_state_pop!$D:$D, Keys!$J7, SCE_2024_state_pop!$E:$E, Keys!$N$7), 0))+IF(Keys!$O$7="", 0, IFERROR(SUMIFS(SCE_2024_state_pop!$F:$F, SCE_2024_state_pop!$B:$B, About!$B$1, SCE_2024_state_pop!$C:$C, Keys!$I7, SCE_2024_state_pop!$D:$D, Keys!$J7, SCE_2024_state_pop!$E:$E, Keys!$O$7), 0))+IF(Keys!$P$7="", 0, IFERROR(SUMIFS(SCE_2024_state_pop!$F:$F, SCE_2024_state_pop!$B:$B, About!$B$1, SCE_2024_state_pop!$C:$C, Keys!$I7, SCE_2024_state_pop!$D:$D, Keys!$J7, SCE_2024_state_pop!$E:$E, Keys!$P$7), 0))</f>
        <v>669127</v>
      </c>
      <c r="C9"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7958180</v>
      </c>
      <c r="D9" s="37">
        <f>IF(Keys!$S$7="", 0, IFERROR(SUMIFS(NP2023_pop!$E:$E, NP2023_pop!$A:$A, Keys!$Q7, NP2023_pop!$B:$B, Keys!$R7, NP2023_pop!$C:$C, Keys!$S$7, NP2023_pop!$D:$D, 2024), 0))+IF(Keys!$T$7="", 0, IFERROR(SUMIFS(NP2023_pop!$E:$E, NP2023_pop!$A:$A, Keys!$Q7, NP2023_pop!$B:$B, Keys!$R7, NP2023_pop!$C:$C, Keys!$T$7, NP2023_pop!$D:$D, 2024), 0))+IF(Keys!$U$7="", 0, IFERROR(SUMIFS(NP2023_pop!$E:$E, NP2023_pop!$A:$A, Keys!$Q7, NP2023_pop!$B:$B, Keys!$R7, NP2023_pop!$C:$C, Keys!$U$7, NP2023_pop!$D:$D, 2024), 0))+IF(Keys!$V$7="", 0, IFERROR(SUMIFS(NP2023_pop!$E:$E, NP2023_pop!$A:$A, Keys!$Q7, NP2023_pop!$B:$B, Keys!$R7, NP2023_pop!$C:$C, Keys!$V$7, NP2023_pop!$D:$D, 2024), 0))+IF(Keys!$W$7="", 0, IFERROR(SUMIFS(NP2023_pop!$E:$E, NP2023_pop!$A:$A, Keys!$Q7, NP2023_pop!$B:$B, Keys!$R7, NP2023_pop!$C:$C, Keys!$W$7, NP2023_pop!$D:$D, 2024), 0))+IF(Keys!$X$7="", 0, IFERROR(SUMIFS(NP2023_pop!$E:$E, NP2023_pop!$A:$A, Keys!$Q7, NP2023_pop!$B:$B, Keys!$R7, NP2023_pop!$C:$C, Keys!$X$7, NP2023_pop!$D:$D, 2024), 0))</f>
        <v>15930993</v>
      </c>
      <c r="E9" s="37">
        <f>SUMIFS(NP2023_pop!$E:$E, NP2023_pop!$A:$A, 0, NP2023_pop!$B:$B, 0, NP2023_pop!$C:$C, 0, NP2023_pop!$D:$D, 2024)</f>
        <v>336482168</v>
      </c>
      <c r="F9" s="38">
        <f t="shared" si="0"/>
        <v>1.7758815830243551</v>
      </c>
    </row>
    <row r="10" spans="1:28" x14ac:dyDescent="0.25">
      <c r="A10" s="4" t="s">
        <v>221</v>
      </c>
      <c r="B10" s="37">
        <f>IF(Keys!$K$8="", 0, IFERROR(SUMIFS(SCE_2024_state_pop!$F:$F, SCE_2024_state_pop!$B:$B, About!$B$1, SCE_2024_state_pop!$C:$C, Keys!$I8, SCE_2024_state_pop!$D:$D, Keys!$J8, SCE_2024_state_pop!$E:$E, Keys!$K$8), 0))+IF(Keys!$L$8="", 0, IFERROR(SUMIFS(SCE_2024_state_pop!$F:$F, SCE_2024_state_pop!$B:$B, About!$B$1, SCE_2024_state_pop!$C:$C, Keys!$I8, SCE_2024_state_pop!$D:$D, Keys!$J8, SCE_2024_state_pop!$E:$E, Keys!$L$8), 0))+IF(Keys!$M$8="", 0, IFERROR(SUMIFS(SCE_2024_state_pop!$F:$F, SCE_2024_state_pop!$B:$B, About!$B$1, SCE_2024_state_pop!$C:$C, Keys!$I8, SCE_2024_state_pop!$D:$D, Keys!$J8, SCE_2024_state_pop!$E:$E, Keys!$M$8), 0))+IF(Keys!$N$8="", 0, IFERROR(SUMIFS(SCE_2024_state_pop!$F:$F, SCE_2024_state_pop!$B:$B, About!$B$1, SCE_2024_state_pop!$C:$C, Keys!$I8, SCE_2024_state_pop!$D:$D, Keys!$J8, SCE_2024_state_pop!$E:$E, Keys!$N$8), 0))+IF(Keys!$O$8="", 0, IFERROR(SUMIFS(SCE_2024_state_pop!$F:$F, SCE_2024_state_pop!$B:$B, About!$B$1, SCE_2024_state_pop!$C:$C, Keys!$I8, SCE_2024_state_pop!$D:$D, Keys!$J8, SCE_2024_state_pop!$E:$E, Keys!$O$8), 0))+IF(Keys!$P$8="", 0, IFERROR(SUMIFS(SCE_2024_state_pop!$F:$F, SCE_2024_state_pop!$B:$B, About!$B$1, SCE_2024_state_pop!$C:$C, Keys!$I8, SCE_2024_state_pop!$D:$D, Keys!$J8, SCE_2024_state_pop!$E:$E, Keys!$P$8), 0))</f>
        <v>1194521</v>
      </c>
      <c r="C10"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7958180</v>
      </c>
      <c r="D10" s="37">
        <f>IF(Keys!$S$8="", 0, IFERROR(SUMIFS(NP2023_pop!$E:$E, NP2023_pop!$A:$A, Keys!$Q8, NP2023_pop!$B:$B, Keys!$R8, NP2023_pop!$C:$C, Keys!$S$8, NP2023_pop!$D:$D, 2024), 0))+IF(Keys!$T$8="", 0, IFERROR(SUMIFS(NP2023_pop!$E:$E, NP2023_pop!$A:$A, Keys!$Q8, NP2023_pop!$B:$B, Keys!$R8, NP2023_pop!$C:$C, Keys!$T$8, NP2023_pop!$D:$D, 2024), 0))+IF(Keys!$U$8="", 0, IFERROR(SUMIFS(NP2023_pop!$E:$E, NP2023_pop!$A:$A, Keys!$Q8, NP2023_pop!$B:$B, Keys!$R8, NP2023_pop!$C:$C, Keys!$U$8, NP2023_pop!$D:$D, 2024), 0))+IF(Keys!$V$8="", 0, IFERROR(SUMIFS(NP2023_pop!$E:$E, NP2023_pop!$A:$A, Keys!$Q8, NP2023_pop!$B:$B, Keys!$R8, NP2023_pop!$C:$C, Keys!$V$8, NP2023_pop!$D:$D, 2024), 0))+IF(Keys!$W$8="", 0, IFERROR(SUMIFS(NP2023_pop!$E:$E, NP2023_pop!$A:$A, Keys!$Q8, NP2023_pop!$B:$B, Keys!$R8, NP2023_pop!$C:$C, Keys!$W$8, NP2023_pop!$D:$D, 2024), 0))+IF(Keys!$X$8="", 0, IFERROR(SUMIFS(NP2023_pop!$E:$E, NP2023_pop!$A:$A, Keys!$Q8, NP2023_pop!$B:$B, Keys!$R8, NP2023_pop!$C:$C, Keys!$X$8, NP2023_pop!$D:$D, 2024), 0))</f>
        <v>65661023</v>
      </c>
      <c r="E10" s="37">
        <f>SUMIFS(NP2023_pop!$E:$E, NP2023_pop!$A:$A, 0, NP2023_pop!$B:$B, 0, NP2023_pop!$C:$C, 0, NP2023_pop!$D:$D, 2024)</f>
        <v>336482168</v>
      </c>
      <c r="F10" s="38">
        <f t="shared" si="0"/>
        <v>0.76919143567719006</v>
      </c>
    </row>
    <row r="11" spans="1:28" x14ac:dyDescent="0.25">
      <c r="A11" s="4" t="s">
        <v>222</v>
      </c>
      <c r="B11" s="37">
        <f>IF(Keys!$K$9="", 0, IFERROR(SUMIFS(SCE_2024_state_pop!$F:$F, SCE_2024_state_pop!$B:$B, About!$B$1, SCE_2024_state_pop!$C:$C, Keys!$I9, SCE_2024_state_pop!$D:$D, Keys!$J9, SCE_2024_state_pop!$E:$E, Keys!$K$9), 0))+IF(Keys!$L$9="", 0, IFERROR(SUMIFS(SCE_2024_state_pop!$F:$F, SCE_2024_state_pop!$B:$B, About!$B$1, SCE_2024_state_pop!$C:$C, Keys!$I9, SCE_2024_state_pop!$D:$D, Keys!$J9, SCE_2024_state_pop!$E:$E, Keys!$L$9), 0))+IF(Keys!$M$9="", 0, IFERROR(SUMIFS(SCE_2024_state_pop!$F:$F, SCE_2024_state_pop!$B:$B, About!$B$1, SCE_2024_state_pop!$C:$C, Keys!$I9, SCE_2024_state_pop!$D:$D, Keys!$J9, SCE_2024_state_pop!$E:$E, Keys!$M$9), 0))+IF(Keys!$N$9="", 0, IFERROR(SUMIFS(SCE_2024_state_pop!$F:$F, SCE_2024_state_pop!$B:$B, About!$B$1, SCE_2024_state_pop!$C:$C, Keys!$I9, SCE_2024_state_pop!$D:$D, Keys!$J9, SCE_2024_state_pop!$E:$E, Keys!$N$9), 0))+IF(Keys!$O$9="", 0, IFERROR(SUMIFS(SCE_2024_state_pop!$F:$F, SCE_2024_state_pop!$B:$B, About!$B$1, SCE_2024_state_pop!$C:$C, Keys!$I9, SCE_2024_state_pop!$D:$D, Keys!$J9, SCE_2024_state_pop!$E:$E, Keys!$O$9), 0))+IF(Keys!$P$9="", 0, IFERROR(SUMIFS(SCE_2024_state_pop!$F:$F, SCE_2024_state_pop!$B:$B, About!$B$1, SCE_2024_state_pop!$C:$C, Keys!$I9, SCE_2024_state_pop!$D:$D, Keys!$J9, SCE_2024_state_pop!$E:$E, Keys!$P$9), 0))</f>
        <v>6763659</v>
      </c>
      <c r="C11"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7958180</v>
      </c>
      <c r="D11" s="37">
        <f>IF(Keys!$S$9="", 0, IFERROR(SUMIFS(NP2023_pop!$E:$E, NP2023_pop!$A:$A, Keys!$Q9, NP2023_pop!$B:$B, Keys!$R9, NP2023_pop!$C:$C, Keys!$S$9, NP2023_pop!$D:$D, 2024), 0))+IF(Keys!$T$9="", 0, IFERROR(SUMIFS(NP2023_pop!$E:$E, NP2023_pop!$A:$A, Keys!$Q9, NP2023_pop!$B:$B, Keys!$R9, NP2023_pop!$C:$C, Keys!$T$9, NP2023_pop!$D:$D, 2024), 0))+IF(Keys!$U$9="", 0, IFERROR(SUMIFS(NP2023_pop!$E:$E, NP2023_pop!$A:$A, Keys!$Q9, NP2023_pop!$B:$B, Keys!$R9, NP2023_pop!$C:$C, Keys!$U$9, NP2023_pop!$D:$D, 2024), 0))+IF(Keys!$V$9="", 0, IFERROR(SUMIFS(NP2023_pop!$E:$E, NP2023_pop!$A:$A, Keys!$Q9, NP2023_pop!$B:$B, Keys!$R9, NP2023_pop!$C:$C, Keys!$V$9, NP2023_pop!$D:$D, 2024), 0))+IF(Keys!$W$9="", 0, IFERROR(SUMIFS(NP2023_pop!$E:$E, NP2023_pop!$A:$A, Keys!$Q9, NP2023_pop!$B:$B, Keys!$R9, NP2023_pop!$C:$C, Keys!$W$9, NP2023_pop!$D:$D, 2024), 0))+IF(Keys!$X$9="", 0, IFERROR(SUMIFS(NP2023_pop!$E:$E, NP2023_pop!$A:$A, Keys!$Q9, NP2023_pop!$B:$B, Keys!$R9, NP2023_pop!$C:$C, Keys!$X$9, NP2023_pop!$D:$D, 2024), 0))</f>
        <v>270821145</v>
      </c>
      <c r="E11" s="37">
        <f>SUMIFS(NP2023_pop!$E:$E, NP2023_pop!$A:$A, 0, NP2023_pop!$B:$B, 0, NP2023_pop!$C:$C, 0, NP2023_pop!$D:$D, 2024)</f>
        <v>336482168</v>
      </c>
      <c r="F11" s="38">
        <f t="shared" si="0"/>
        <v>1.0559599083394946</v>
      </c>
    </row>
    <row r="12" spans="1:28" x14ac:dyDescent="0.25">
      <c r="A12" s="4" t="s">
        <v>319</v>
      </c>
    </row>
    <row r="13" spans="1:28" x14ac:dyDescent="0.25">
      <c r="A13" s="4" t="s">
        <v>320</v>
      </c>
      <c r="B13" s="37">
        <f>INDEX(Census_pop_2020_2025!G:G, MATCH("."&amp;About!$B$1, Census_pop_2020_2025!A:A, 0))</f>
        <v>7927958</v>
      </c>
      <c r="C13" s="37">
        <f>INDEX(Census_pop_2020_2025!H:H, MATCH("."&amp;About!$B$1, Census_pop_2020_2025!A:A, 0))</f>
        <v>8001020</v>
      </c>
      <c r="D13" s="37">
        <f>INDEX(Census_pop_2020_2025!H:H, MATCH("."&amp;About!$B$1, Census_pop_2020_2025!A:A, 0))+0.2*(INDEX(Cooper_pop_2030_2050!D:D, MATCH(About!$B$1, Cooper_pop_2030_2050!B:B, 0))-INDEX(Census_pop_2020_2025!H:H, MATCH("."&amp;About!$B$1, Census_pop_2020_2025!A:A, 0)))</f>
        <v>8103286.9738773359</v>
      </c>
      <c r="E13" s="37">
        <f>INDEX(Census_pop_2020_2025!H:H, MATCH("."&amp;About!$B$1, Census_pop_2020_2025!A:A, 0))+0.4*(INDEX(Cooper_pop_2030_2050!D:D, MATCH(About!$B$1, Cooper_pop_2030_2050!B:B, 0))-INDEX(Census_pop_2020_2025!H:H, MATCH("."&amp;About!$B$1, Census_pop_2020_2025!A:A, 0)))</f>
        <v>8205553.9477546718</v>
      </c>
      <c r="F13" s="37">
        <f>INDEX(Census_pop_2020_2025!H:H, MATCH("."&amp;About!$B$1, Census_pop_2020_2025!A:A, 0))+0.6*(INDEX(Cooper_pop_2030_2050!D:D, MATCH(About!$B$1, Cooper_pop_2030_2050!B:B, 0))-INDEX(Census_pop_2020_2025!H:H, MATCH("."&amp;About!$B$1, Census_pop_2020_2025!A:A, 0)))</f>
        <v>8307820.9216320068</v>
      </c>
      <c r="G13" s="37">
        <f>INDEX(Census_pop_2020_2025!H:H, MATCH("."&amp;About!$B$1, Census_pop_2020_2025!A:A, 0))+0.8*(INDEX(Cooper_pop_2030_2050!D:D, MATCH(About!$B$1, Cooper_pop_2030_2050!B:B, 0))-INDEX(Census_pop_2020_2025!H:H, MATCH("."&amp;About!$B$1, Census_pop_2020_2025!A:A, 0)))</f>
        <v>8410087.8955093436</v>
      </c>
      <c r="H13" s="37">
        <f>INDEX(Cooper_pop_2030_2050!D:D, MATCH(About!$B$1, Cooper_pop_2030_2050!B:B, 0))</f>
        <v>8512354.8693866786</v>
      </c>
      <c r="I13" s="37">
        <f>INDEX(Cooper_pop_2030_2050!D:D, MATCH(About!$B$1, Cooper_pop_2030_2050!B:B, 0))+0.1*(INDEX(Cooper_pop_2030_2050!E:E, MATCH(About!$B$1, Cooper_pop_2030_2050!B:B, 0))-INDEX(Cooper_pop_2030_2050!D:D, MATCH(About!$B$1, Cooper_pop_2030_2050!B:B, 0)))</f>
        <v>8598901.0655977149</v>
      </c>
      <c r="J13" s="37">
        <f>INDEX(Cooper_pop_2030_2050!D:D, MATCH(About!$B$1, Cooper_pop_2030_2050!B:B, 0))+0.2*(INDEX(Cooper_pop_2030_2050!E:E, MATCH(About!$B$1, Cooper_pop_2030_2050!B:B, 0))-INDEX(Cooper_pop_2030_2050!D:D, MATCH(About!$B$1, Cooper_pop_2030_2050!B:B, 0)))</f>
        <v>8685447.261808753</v>
      </c>
      <c r="K13" s="37">
        <f>INDEX(Cooper_pop_2030_2050!D:D, MATCH(About!$B$1, Cooper_pop_2030_2050!B:B, 0))+0.3*(INDEX(Cooper_pop_2030_2050!E:E, MATCH(About!$B$1, Cooper_pop_2030_2050!B:B, 0))-INDEX(Cooper_pop_2030_2050!D:D, MATCH(About!$B$1, Cooper_pop_2030_2050!B:B, 0)))</f>
        <v>8771993.4580197893</v>
      </c>
      <c r="L13" s="37">
        <f>INDEX(Cooper_pop_2030_2050!D:D, MATCH(About!$B$1, Cooper_pop_2030_2050!B:B, 0))+0.4*(INDEX(Cooper_pop_2030_2050!E:E, MATCH(About!$B$1, Cooper_pop_2030_2050!B:B, 0))-INDEX(Cooper_pop_2030_2050!D:D, MATCH(About!$B$1, Cooper_pop_2030_2050!B:B, 0)))</f>
        <v>8858539.6542308275</v>
      </c>
      <c r="M13" s="37">
        <f>INDEX(Cooper_pop_2030_2050!D:D, MATCH(About!$B$1, Cooper_pop_2030_2050!B:B, 0))+0.5*(INDEX(Cooper_pop_2030_2050!E:E, MATCH(About!$B$1, Cooper_pop_2030_2050!B:B, 0))-INDEX(Cooper_pop_2030_2050!D:D, MATCH(About!$B$1, Cooper_pop_2030_2050!B:B, 0)))</f>
        <v>8945085.8504418638</v>
      </c>
      <c r="N13" s="37">
        <f>INDEX(Cooper_pop_2030_2050!D:D, MATCH(About!$B$1, Cooper_pop_2030_2050!B:B, 0))+0.6*(INDEX(Cooper_pop_2030_2050!E:E, MATCH(About!$B$1, Cooper_pop_2030_2050!B:B, 0))-INDEX(Cooper_pop_2030_2050!D:D, MATCH(About!$B$1, Cooper_pop_2030_2050!B:B, 0)))</f>
        <v>9031632.0466529001</v>
      </c>
      <c r="O13" s="37">
        <f>INDEX(Cooper_pop_2030_2050!D:D, MATCH(About!$B$1, Cooper_pop_2030_2050!B:B, 0))+0.7*(INDEX(Cooper_pop_2030_2050!E:E, MATCH(About!$B$1, Cooper_pop_2030_2050!B:B, 0))-INDEX(Cooper_pop_2030_2050!D:D, MATCH(About!$B$1, Cooper_pop_2030_2050!B:B, 0)))</f>
        <v>9118178.2428639382</v>
      </c>
      <c r="P13" s="37">
        <f>INDEX(Cooper_pop_2030_2050!D:D, MATCH(About!$B$1, Cooper_pop_2030_2050!B:B, 0))+0.8*(INDEX(Cooper_pop_2030_2050!E:E, MATCH(About!$B$1, Cooper_pop_2030_2050!B:B, 0))-INDEX(Cooper_pop_2030_2050!D:D, MATCH(About!$B$1, Cooper_pop_2030_2050!B:B, 0)))</f>
        <v>9204724.4390749745</v>
      </c>
      <c r="Q13" s="37">
        <f>INDEX(Cooper_pop_2030_2050!D:D, MATCH(About!$B$1, Cooper_pop_2030_2050!B:B, 0))+0.9*(INDEX(Cooper_pop_2030_2050!E:E, MATCH(About!$B$1, Cooper_pop_2030_2050!B:B, 0))-INDEX(Cooper_pop_2030_2050!D:D, MATCH(About!$B$1, Cooper_pop_2030_2050!B:B, 0)))</f>
        <v>9291270.6352860127</v>
      </c>
      <c r="R13" s="37">
        <f>INDEX(Cooper_pop_2030_2050!E:E, MATCH(About!$B$1, Cooper_pop_2030_2050!B:B, 0))</f>
        <v>9377816.831497049</v>
      </c>
      <c r="S13" s="37">
        <f>INDEX(Cooper_pop_2030_2050!E:E, MATCH(About!$B$1, Cooper_pop_2030_2050!B:B, 0))+0.1*(INDEX(Cooper_pop_2030_2050!F:F, MATCH(About!$B$1, Cooper_pop_2030_2050!B:B, 0))-INDEX(Cooper_pop_2030_2050!E:E, MATCH(About!$B$1, Cooper_pop_2030_2050!B:B, 0)))</f>
        <v>9461056.2121211886</v>
      </c>
      <c r="T13" s="37">
        <f>INDEX(Cooper_pop_2030_2050!E:E, MATCH(About!$B$1, Cooper_pop_2030_2050!B:B, 0))+0.2*(INDEX(Cooper_pop_2030_2050!F:F, MATCH(About!$B$1, Cooper_pop_2030_2050!B:B, 0))-INDEX(Cooper_pop_2030_2050!E:E, MATCH(About!$B$1, Cooper_pop_2030_2050!B:B, 0)))</f>
        <v>9544295.5927453283</v>
      </c>
      <c r="U13" s="37">
        <f>INDEX(Cooper_pop_2030_2050!E:E, MATCH(About!$B$1, Cooper_pop_2030_2050!B:B, 0))+0.3*(INDEX(Cooper_pop_2030_2050!F:F, MATCH(About!$B$1, Cooper_pop_2030_2050!B:B, 0))-INDEX(Cooper_pop_2030_2050!E:E, MATCH(About!$B$1, Cooper_pop_2030_2050!B:B, 0)))</f>
        <v>9627534.9733694699</v>
      </c>
      <c r="V13" s="37">
        <f>INDEX(Cooper_pop_2030_2050!E:E, MATCH(About!$B$1, Cooper_pop_2030_2050!B:B, 0))+0.4*(INDEX(Cooper_pop_2030_2050!F:F, MATCH(About!$B$1, Cooper_pop_2030_2050!B:B, 0))-INDEX(Cooper_pop_2030_2050!E:E, MATCH(About!$B$1, Cooper_pop_2030_2050!B:B, 0)))</f>
        <v>9710774.3539936095</v>
      </c>
      <c r="W13" s="37">
        <f>INDEX(Cooper_pop_2030_2050!E:E, MATCH(About!$B$1, Cooper_pop_2030_2050!B:B, 0))+0.5*(INDEX(Cooper_pop_2030_2050!F:F, MATCH(About!$B$1, Cooper_pop_2030_2050!B:B, 0))-INDEX(Cooper_pop_2030_2050!E:E, MATCH(About!$B$1, Cooper_pop_2030_2050!B:B, 0)))</f>
        <v>9794013.7346177492</v>
      </c>
      <c r="X13" s="37">
        <f>INDEX(Cooper_pop_2030_2050!E:E, MATCH(About!$B$1, Cooper_pop_2030_2050!B:B, 0))+0.6*(INDEX(Cooper_pop_2030_2050!F:F, MATCH(About!$B$1, Cooper_pop_2030_2050!B:B, 0))-INDEX(Cooper_pop_2030_2050!E:E, MATCH(About!$B$1, Cooper_pop_2030_2050!B:B, 0)))</f>
        <v>9877253.1152418889</v>
      </c>
      <c r="Y13" s="37">
        <f>INDEX(Cooper_pop_2030_2050!E:E, MATCH(About!$B$1, Cooper_pop_2030_2050!B:B, 0))+0.7*(INDEX(Cooper_pop_2030_2050!F:F, MATCH(About!$B$1, Cooper_pop_2030_2050!B:B, 0))-INDEX(Cooper_pop_2030_2050!E:E, MATCH(About!$B$1, Cooper_pop_2030_2050!B:B, 0)))</f>
        <v>9960492.4958660286</v>
      </c>
      <c r="Z13" s="37">
        <f>INDEX(Cooper_pop_2030_2050!E:E, MATCH(About!$B$1, Cooper_pop_2030_2050!B:B, 0))+0.8*(INDEX(Cooper_pop_2030_2050!F:F, MATCH(About!$B$1, Cooper_pop_2030_2050!B:B, 0))-INDEX(Cooper_pop_2030_2050!E:E, MATCH(About!$B$1, Cooper_pop_2030_2050!B:B, 0)))</f>
        <v>10043731.87649017</v>
      </c>
      <c r="AA13" s="37">
        <f>INDEX(Cooper_pop_2030_2050!E:E, MATCH(About!$B$1, Cooper_pop_2030_2050!B:B, 0))+0.9*(INDEX(Cooper_pop_2030_2050!F:F, MATCH(About!$B$1, Cooper_pop_2030_2050!B:B, 0))-INDEX(Cooper_pop_2030_2050!E:E, MATCH(About!$B$1, Cooper_pop_2030_2050!B:B, 0)))</f>
        <v>10126971.25711431</v>
      </c>
      <c r="AB13" s="37">
        <f>INDEX(Cooper_pop_2030_2050!F:F, MATCH(About!$B$1, Cooper_pop_2030_2050!B:B, 0))</f>
        <v>10210210.637738449</v>
      </c>
    </row>
    <row r="14" spans="1:28" x14ac:dyDescent="0.25">
      <c r="A14" s="4" t="s">
        <v>321</v>
      </c>
      <c r="B14" s="37">
        <f>SUMIFS(NP2023_pop!$E:$E, NP2023_pop!$A:$A, 0, NP2023_pop!$B:$B, 0, NP2023_pop!$C:$C, 0, NP2023_pop!$D:$D, 2024)</f>
        <v>336482168</v>
      </c>
      <c r="C14" s="37">
        <f>SUMIFS(NP2023_pop!$E:$E, NP2023_pop!$A:$A, 0, NP2023_pop!$B:$B, 0, NP2023_pop!$C:$C, 0, NP2023_pop!$D:$D, 2025)</f>
        <v>338016259</v>
      </c>
      <c r="D14" s="37">
        <f>SUMIFS(NP2023_pop!$E:$E, NP2023_pop!$A:$A, 0, NP2023_pop!$B:$B, 0, NP2023_pop!$C:$C, 0, NP2023_pop!$D:$D, 2026)</f>
        <v>339513045</v>
      </c>
      <c r="E14" s="37">
        <f>SUMIFS(NP2023_pop!$E:$E, NP2023_pop!$A:$A, 0, NP2023_pop!$B:$B, 0, NP2023_pop!$C:$C, 0, NP2023_pop!$D:$D, 2027)</f>
        <v>340970496</v>
      </c>
      <c r="F14" s="37">
        <f>SUMIFS(NP2023_pop!$E:$E, NP2023_pop!$A:$A, 0, NP2023_pop!$B:$B, 0, NP2023_pop!$C:$C, 0, NP2023_pop!$D:$D, 2028)</f>
        <v>342384777</v>
      </c>
      <c r="G14" s="37">
        <f>SUMIFS(NP2023_pop!$E:$E, NP2023_pop!$A:$A, 0, NP2023_pop!$B:$B, 0, NP2023_pop!$C:$C, 0, NP2023_pop!$D:$D, 2029)</f>
        <v>343753791</v>
      </c>
      <c r="H14" s="37">
        <f>SUMIFS(NP2023_pop!$E:$E, NP2023_pop!$A:$A, 0, NP2023_pop!$B:$B, 0, NP2023_pop!$C:$C, 0, NP2023_pop!$D:$D, 2030)</f>
        <v>345073565</v>
      </c>
      <c r="I14" s="37">
        <f>SUMIFS(NP2023_pop!$E:$E, NP2023_pop!$A:$A, 0, NP2023_pop!$B:$B, 0, NP2023_pop!$C:$C, 0, NP2023_pop!$D:$D, 2031)</f>
        <v>346339264</v>
      </c>
      <c r="J14" s="37">
        <f>SUMIFS(NP2023_pop!$E:$E, NP2023_pop!$A:$A, 0, NP2023_pop!$B:$B, 0, NP2023_pop!$C:$C, 0, NP2023_pop!$D:$D, 2032)</f>
        <v>347545098</v>
      </c>
      <c r="K14" s="37">
        <f>SUMIFS(NP2023_pop!$E:$E, NP2023_pop!$A:$A, 0, NP2023_pop!$B:$B, 0, NP2023_pop!$C:$C, 0, NP2023_pop!$D:$D, 2033)</f>
        <v>348701812</v>
      </c>
      <c r="L14" s="37">
        <f>SUMIFS(NP2023_pop!$E:$E, NP2023_pop!$A:$A, 0, NP2023_pop!$B:$B, 0, NP2023_pop!$C:$C, 0, NP2023_pop!$D:$D, 2034)</f>
        <v>349807647</v>
      </c>
      <c r="M14" s="37">
        <f>SUMIFS(NP2023_pop!$E:$E, NP2023_pop!$A:$A, 0, NP2023_pop!$B:$B, 0, NP2023_pop!$C:$C, 0, NP2023_pop!$D:$D, 2035)</f>
        <v>350861084</v>
      </c>
      <c r="N14" s="37">
        <f>SUMIFS(NP2023_pop!$E:$E, NP2023_pop!$A:$A, 0, NP2023_pop!$B:$B, 0, NP2023_pop!$C:$C, 0, NP2023_pop!$D:$D, 2036)</f>
        <v>351860944</v>
      </c>
      <c r="O14" s="37">
        <f>SUMIFS(NP2023_pop!$E:$E, NP2023_pop!$A:$A, 0, NP2023_pop!$B:$B, 0, NP2023_pop!$C:$C, 0, NP2023_pop!$D:$D, 2037)</f>
        <v>352806047</v>
      </c>
      <c r="P14" s="37">
        <f>SUMIFS(NP2023_pop!$E:$E, NP2023_pop!$A:$A, 0, NP2023_pop!$B:$B, 0, NP2023_pop!$C:$C, 0, NP2023_pop!$D:$D, 2038)</f>
        <v>353695674</v>
      </c>
      <c r="Q14" s="37">
        <f>SUMIFS(NP2023_pop!$E:$E, NP2023_pop!$A:$A, 0, NP2023_pop!$B:$B, 0, NP2023_pop!$C:$C, 0, NP2023_pop!$D:$D, 2039)</f>
        <v>354529853</v>
      </c>
      <c r="R14" s="37">
        <f>SUMIFS(NP2023_pop!$E:$E, NP2023_pop!$A:$A, 0, NP2023_pop!$B:$B, 0, NP2023_pop!$C:$C, 0, NP2023_pop!$D:$D, 2040)</f>
        <v>355309062</v>
      </c>
      <c r="S14" s="37">
        <f>SUMIFS(NP2023_pop!$E:$E, NP2023_pop!$A:$A, 0, NP2023_pop!$B:$B, 0, NP2023_pop!$C:$C, 0, NP2023_pop!$D:$D, 2041)</f>
        <v>356033543</v>
      </c>
      <c r="T14" s="37">
        <f>SUMIFS(NP2023_pop!$E:$E, NP2023_pop!$A:$A, 0, NP2023_pop!$B:$B, 0, NP2023_pop!$C:$C, 0, NP2023_pop!$D:$D, 2042)</f>
        <v>356705435</v>
      </c>
      <c r="U14" s="37">
        <f>SUMIFS(NP2023_pop!$E:$E, NP2023_pop!$A:$A, 0, NP2023_pop!$B:$B, 0, NP2023_pop!$C:$C, 0, NP2023_pop!$D:$D, 2043)</f>
        <v>357327409</v>
      </c>
      <c r="V14" s="37">
        <f>SUMIFS(NP2023_pop!$E:$E, NP2023_pop!$A:$A, 0, NP2023_pop!$B:$B, 0, NP2023_pop!$C:$C, 0, NP2023_pop!$D:$D, 2044)</f>
        <v>357903394</v>
      </c>
      <c r="W14" s="37">
        <f>SUMIFS(NP2023_pop!$E:$E, NP2023_pop!$A:$A, 0, NP2023_pop!$B:$B, 0, NP2023_pop!$C:$C, 0, NP2023_pop!$D:$D, 2045)</f>
        <v>358437973</v>
      </c>
      <c r="X14" s="37">
        <f>SUMIFS(NP2023_pop!$E:$E, NP2023_pop!$A:$A, 0, NP2023_pop!$B:$B, 0, NP2023_pop!$C:$C, 0, NP2023_pop!$D:$D, 2046)</f>
        <v>358935938</v>
      </c>
      <c r="Y14" s="37">
        <f>SUMIFS(NP2023_pop!$E:$E, NP2023_pop!$A:$A, 0, NP2023_pop!$B:$B, 0, NP2023_pop!$C:$C, 0, NP2023_pop!$D:$D, 2047)</f>
        <v>359400325</v>
      </c>
      <c r="Z14" s="37">
        <f>SUMIFS(NP2023_pop!$E:$E, NP2023_pop!$A:$A, 0, NP2023_pop!$B:$B, 0, NP2023_pop!$C:$C, 0, NP2023_pop!$D:$D, 2048)</f>
        <v>359835763</v>
      </c>
      <c r="AA14" s="37">
        <f>SUMIFS(NP2023_pop!$E:$E, NP2023_pop!$A:$A, 0, NP2023_pop!$B:$B, 0, NP2023_pop!$C:$C, 0, NP2023_pop!$D:$D, 2049)</f>
        <v>360246998</v>
      </c>
      <c r="AB14" s="37">
        <f>SUMIFS(NP2023_pop!$E:$E, NP2023_pop!$A:$A, 0, NP2023_pop!$B:$B, 0, NP2023_pop!$C:$C, 0, NP2023_pop!$D:$D, 2050)</f>
        <v>360638734</v>
      </c>
    </row>
    <row r="15" spans="1:28" x14ac:dyDescent="0.25">
      <c r="A15" s="4" t="s">
        <v>322</v>
      </c>
      <c r="B15" s="39">
        <f t="shared" ref="B15:AB15" si="1">B13/B14</f>
        <v>2.3561302065790303E-2</v>
      </c>
      <c r="C15" s="39">
        <f t="shared" si="1"/>
        <v>2.3670518168772466E-2</v>
      </c>
      <c r="D15" s="39">
        <f t="shared" si="1"/>
        <v>2.3867380335495902E-2</v>
      </c>
      <c r="E15" s="39">
        <f t="shared" si="1"/>
        <v>2.4065290234832143E-2</v>
      </c>
      <c r="F15" s="39">
        <f t="shared" si="1"/>
        <v>2.4264574477947679E-2</v>
      </c>
      <c r="G15" s="39">
        <f t="shared" si="1"/>
        <v>2.4465440427708166E-2</v>
      </c>
      <c r="H15" s="39">
        <f t="shared" si="1"/>
        <v>2.4668232321379584E-2</v>
      </c>
      <c r="I15" s="39">
        <f t="shared" si="1"/>
        <v>2.4827970603984752E-2</v>
      </c>
      <c r="J15" s="39">
        <f t="shared" si="1"/>
        <v>2.4990849566834498E-2</v>
      </c>
      <c r="K15" s="39">
        <f t="shared" si="1"/>
        <v>2.5156145325736907E-2</v>
      </c>
      <c r="L15" s="39">
        <f t="shared" si="1"/>
        <v>2.5324030878692675E-2</v>
      </c>
      <c r="M15" s="39">
        <f t="shared" si="1"/>
        <v>2.5494665149133108E-2</v>
      </c>
      <c r="N15" s="39">
        <f t="shared" si="1"/>
        <v>2.5668185687164245E-2</v>
      </c>
      <c r="O15" s="39">
        <f t="shared" si="1"/>
        <v>2.5844733446033986E-2</v>
      </c>
      <c r="P15" s="39">
        <f t="shared" si="1"/>
        <v>2.602441905770941E-2</v>
      </c>
      <c r="Q15" s="39">
        <f t="shared" si="1"/>
        <v>2.6207301181167424E-2</v>
      </c>
      <c r="R15" s="39">
        <f t="shared" si="1"/>
        <v>2.6393407414689155E-2</v>
      </c>
      <c r="S15" s="39">
        <f t="shared" si="1"/>
        <v>2.6573496790220096E-2</v>
      </c>
      <c r="T15" s="39">
        <f t="shared" si="1"/>
        <v>2.6756798905363827E-2</v>
      </c>
      <c r="U15" s="39">
        <f t="shared" si="1"/>
        <v>2.694317516899318E-2</v>
      </c>
      <c r="V15" s="39">
        <f t="shared" si="1"/>
        <v>2.7132389680533765E-2</v>
      </c>
      <c r="W15" s="39">
        <f t="shared" si="1"/>
        <v>2.7324152217035748E-2</v>
      </c>
      <c r="X15" s="39">
        <f t="shared" si="1"/>
        <v>2.7518150370448247E-2</v>
      </c>
      <c r="Y15" s="39">
        <f t="shared" si="1"/>
        <v>2.7714200024348972E-2</v>
      </c>
      <c r="Z15" s="39">
        <f t="shared" si="1"/>
        <v>2.791198904954361E-2</v>
      </c>
      <c r="AA15" s="39">
        <f t="shared" si="1"/>
        <v>2.8111188471622767E-2</v>
      </c>
      <c r="AB15" s="39">
        <f t="shared" si="1"/>
        <v>2.8311464285859126E-2</v>
      </c>
    </row>
    <row r="17" spans="1:28" x14ac:dyDescent="0.25">
      <c r="A17" s="4" t="s">
        <v>323</v>
      </c>
    </row>
    <row r="18" spans="1:28" x14ac:dyDescent="0.25">
      <c r="A18" s="4" t="s">
        <v>215</v>
      </c>
      <c r="B18" s="37">
        <f>IF(Keys!$C$2="", 0, IFERROR(SUMIFS(NP2023_deaths!$D:$D, NP2023_deaths!$A:$A, Keys!$C$2, NP2023_deaths!$B:$B, Keys!$B$2, NP2023_deaths!$C:$C, 2024), 0))+IF(Keys!$D$2="", 0, IFERROR(SUMIFS(NP2023_deaths!$D:$D, NP2023_deaths!$A:$A, Keys!$D$2, NP2023_deaths!$B:$B, Keys!$B$2, NP2023_deaths!$C:$C, 2024), 0))+IF(Keys!$E$2="", 0, IFERROR(SUMIFS(NP2023_deaths!$D:$D, NP2023_deaths!$A:$A, Keys!$E$2, NP2023_deaths!$B:$B, Keys!$B$2, NP2023_deaths!$C:$C, 2024), 0))+IF(Keys!$F$2="", 0, IFERROR(SUMIFS(NP2023_deaths!$D:$D, NP2023_deaths!$A:$A, Keys!$F$2, NP2023_deaths!$B:$B, Keys!$B$2, NP2023_deaths!$C:$C, 2024), 0))+IF(Keys!$G$2="", 0, IFERROR(SUMIFS(NP2023_deaths!$D:$D, NP2023_deaths!$A:$A, Keys!$G$2, NP2023_deaths!$B:$B, Keys!$B$2, NP2023_deaths!$C:$C, 2024), 0))+IF(Keys!$H$2="", 0, IFERROR(SUMIFS(NP2023_deaths!$D:$D, NP2023_deaths!$A:$A, Keys!$H$2, NP2023_deaths!$B:$B, Keys!$B$2, NP2023_deaths!$C:$C, 2024), 0))</f>
        <v>1501749</v>
      </c>
      <c r="C18" s="37">
        <f>IF(Keys!$C$2="", 0, IFERROR(SUMIFS(NP2023_deaths!$D:$D, NP2023_deaths!$A:$A, Keys!$C$2, NP2023_deaths!$B:$B, Keys!$B$2, NP2023_deaths!$C:$C, 2025), 0))+IF(Keys!$D$2="", 0, IFERROR(SUMIFS(NP2023_deaths!$D:$D, NP2023_deaths!$A:$A, Keys!$D$2, NP2023_deaths!$B:$B, Keys!$B$2, NP2023_deaths!$C:$C, 2025), 0))+IF(Keys!$E$2="", 0, IFERROR(SUMIFS(NP2023_deaths!$D:$D, NP2023_deaths!$A:$A, Keys!$E$2, NP2023_deaths!$B:$B, Keys!$B$2, NP2023_deaths!$C:$C, 2025), 0))+IF(Keys!$F$2="", 0, IFERROR(SUMIFS(NP2023_deaths!$D:$D, NP2023_deaths!$A:$A, Keys!$F$2, NP2023_deaths!$B:$B, Keys!$B$2, NP2023_deaths!$C:$C, 2025), 0))+IF(Keys!$G$2="", 0, IFERROR(SUMIFS(NP2023_deaths!$D:$D, NP2023_deaths!$A:$A, Keys!$G$2, NP2023_deaths!$B:$B, Keys!$B$2, NP2023_deaths!$C:$C, 2025), 0))+IF(Keys!$H$2="", 0, IFERROR(SUMIFS(NP2023_deaths!$D:$D, NP2023_deaths!$A:$A, Keys!$H$2, NP2023_deaths!$B:$B, Keys!$B$2, NP2023_deaths!$C:$C, 2025), 0))</f>
        <v>1528861</v>
      </c>
      <c r="D18" s="37">
        <f>IF(Keys!$C$2="", 0, IFERROR(SUMIFS(NP2023_deaths!$D:$D, NP2023_deaths!$A:$A, Keys!$C$2, NP2023_deaths!$B:$B, Keys!$B$2, NP2023_deaths!$C:$C, 2026), 0))+IF(Keys!$D$2="", 0, IFERROR(SUMIFS(NP2023_deaths!$D:$D, NP2023_deaths!$A:$A, Keys!$D$2, NP2023_deaths!$B:$B, Keys!$B$2, NP2023_deaths!$C:$C, 2026), 0))+IF(Keys!$E$2="", 0, IFERROR(SUMIFS(NP2023_deaths!$D:$D, NP2023_deaths!$A:$A, Keys!$E$2, NP2023_deaths!$B:$B, Keys!$B$2, NP2023_deaths!$C:$C, 2026), 0))+IF(Keys!$F$2="", 0, IFERROR(SUMIFS(NP2023_deaths!$D:$D, NP2023_deaths!$A:$A, Keys!$F$2, NP2023_deaths!$B:$B, Keys!$B$2, NP2023_deaths!$C:$C, 2026), 0))+IF(Keys!$G$2="", 0, IFERROR(SUMIFS(NP2023_deaths!$D:$D, NP2023_deaths!$A:$A, Keys!$G$2, NP2023_deaths!$B:$B, Keys!$B$2, NP2023_deaths!$C:$C, 2026), 0))+IF(Keys!$H$2="", 0, IFERROR(SUMIFS(NP2023_deaths!$D:$D, NP2023_deaths!$A:$A, Keys!$H$2, NP2023_deaths!$B:$B, Keys!$B$2, NP2023_deaths!$C:$C, 2026), 0))</f>
        <v>1555747</v>
      </c>
      <c r="E18" s="37">
        <f>IF(Keys!$C$2="", 0, IFERROR(SUMIFS(NP2023_deaths!$D:$D, NP2023_deaths!$A:$A, Keys!$C$2, NP2023_deaths!$B:$B, Keys!$B$2, NP2023_deaths!$C:$C, 2027), 0))+IF(Keys!$D$2="", 0, IFERROR(SUMIFS(NP2023_deaths!$D:$D, NP2023_deaths!$A:$A, Keys!$D$2, NP2023_deaths!$B:$B, Keys!$B$2, NP2023_deaths!$C:$C, 2027), 0))+IF(Keys!$E$2="", 0, IFERROR(SUMIFS(NP2023_deaths!$D:$D, NP2023_deaths!$A:$A, Keys!$E$2, NP2023_deaths!$B:$B, Keys!$B$2, NP2023_deaths!$C:$C, 2027), 0))+IF(Keys!$F$2="", 0, IFERROR(SUMIFS(NP2023_deaths!$D:$D, NP2023_deaths!$A:$A, Keys!$F$2, NP2023_deaths!$B:$B, Keys!$B$2, NP2023_deaths!$C:$C, 2027), 0))+IF(Keys!$G$2="", 0, IFERROR(SUMIFS(NP2023_deaths!$D:$D, NP2023_deaths!$A:$A, Keys!$G$2, NP2023_deaths!$B:$B, Keys!$B$2, NP2023_deaths!$C:$C, 2027), 0))+IF(Keys!$H$2="", 0, IFERROR(SUMIFS(NP2023_deaths!$D:$D, NP2023_deaths!$A:$A, Keys!$H$2, NP2023_deaths!$B:$B, Keys!$B$2, NP2023_deaths!$C:$C, 2027), 0))</f>
        <v>1582523</v>
      </c>
      <c r="F18" s="37">
        <f>IF(Keys!$C$2="", 0, IFERROR(SUMIFS(NP2023_deaths!$D:$D, NP2023_deaths!$A:$A, Keys!$C$2, NP2023_deaths!$B:$B, Keys!$B$2, NP2023_deaths!$C:$C, 2028), 0))+IF(Keys!$D$2="", 0, IFERROR(SUMIFS(NP2023_deaths!$D:$D, NP2023_deaths!$A:$A, Keys!$D$2, NP2023_deaths!$B:$B, Keys!$B$2, NP2023_deaths!$C:$C, 2028), 0))+IF(Keys!$E$2="", 0, IFERROR(SUMIFS(NP2023_deaths!$D:$D, NP2023_deaths!$A:$A, Keys!$E$2, NP2023_deaths!$B:$B, Keys!$B$2, NP2023_deaths!$C:$C, 2028), 0))+IF(Keys!$F$2="", 0, IFERROR(SUMIFS(NP2023_deaths!$D:$D, NP2023_deaths!$A:$A, Keys!$F$2, NP2023_deaths!$B:$B, Keys!$B$2, NP2023_deaths!$C:$C, 2028), 0))+IF(Keys!$G$2="", 0, IFERROR(SUMIFS(NP2023_deaths!$D:$D, NP2023_deaths!$A:$A, Keys!$G$2, NP2023_deaths!$B:$B, Keys!$B$2, NP2023_deaths!$C:$C, 2028), 0))+IF(Keys!$H$2="", 0, IFERROR(SUMIFS(NP2023_deaths!$D:$D, NP2023_deaths!$A:$A, Keys!$H$2, NP2023_deaths!$B:$B, Keys!$B$2, NP2023_deaths!$C:$C, 2028), 0))</f>
        <v>1609298</v>
      </c>
      <c r="G18" s="37">
        <f>IF(Keys!$C$2="", 0, IFERROR(SUMIFS(NP2023_deaths!$D:$D, NP2023_deaths!$A:$A, Keys!$C$2, NP2023_deaths!$B:$B, Keys!$B$2, NP2023_deaths!$C:$C, 2029), 0))+IF(Keys!$D$2="", 0, IFERROR(SUMIFS(NP2023_deaths!$D:$D, NP2023_deaths!$A:$A, Keys!$D$2, NP2023_deaths!$B:$B, Keys!$B$2, NP2023_deaths!$C:$C, 2029), 0))+IF(Keys!$E$2="", 0, IFERROR(SUMIFS(NP2023_deaths!$D:$D, NP2023_deaths!$A:$A, Keys!$E$2, NP2023_deaths!$B:$B, Keys!$B$2, NP2023_deaths!$C:$C, 2029), 0))+IF(Keys!$F$2="", 0, IFERROR(SUMIFS(NP2023_deaths!$D:$D, NP2023_deaths!$A:$A, Keys!$F$2, NP2023_deaths!$B:$B, Keys!$B$2, NP2023_deaths!$C:$C, 2029), 0))+IF(Keys!$G$2="", 0, IFERROR(SUMIFS(NP2023_deaths!$D:$D, NP2023_deaths!$A:$A, Keys!$G$2, NP2023_deaths!$B:$B, Keys!$B$2, NP2023_deaths!$C:$C, 2029), 0))+IF(Keys!$H$2="", 0, IFERROR(SUMIFS(NP2023_deaths!$D:$D, NP2023_deaths!$A:$A, Keys!$H$2, NP2023_deaths!$B:$B, Keys!$B$2, NP2023_deaths!$C:$C, 2029), 0))</f>
        <v>1636103</v>
      </c>
      <c r="H18" s="37">
        <f>IF(Keys!$C$2="", 0, IFERROR(SUMIFS(NP2023_deaths!$D:$D, NP2023_deaths!$A:$A, Keys!$C$2, NP2023_deaths!$B:$B, Keys!$B$2, NP2023_deaths!$C:$C, 2030), 0))+IF(Keys!$D$2="", 0, IFERROR(SUMIFS(NP2023_deaths!$D:$D, NP2023_deaths!$A:$A, Keys!$D$2, NP2023_deaths!$B:$B, Keys!$B$2, NP2023_deaths!$C:$C, 2030), 0))+IF(Keys!$E$2="", 0, IFERROR(SUMIFS(NP2023_deaths!$D:$D, NP2023_deaths!$A:$A, Keys!$E$2, NP2023_deaths!$B:$B, Keys!$B$2, NP2023_deaths!$C:$C, 2030), 0))+IF(Keys!$F$2="", 0, IFERROR(SUMIFS(NP2023_deaths!$D:$D, NP2023_deaths!$A:$A, Keys!$F$2, NP2023_deaths!$B:$B, Keys!$B$2, NP2023_deaths!$C:$C, 2030), 0))+IF(Keys!$G$2="", 0, IFERROR(SUMIFS(NP2023_deaths!$D:$D, NP2023_deaths!$A:$A, Keys!$G$2, NP2023_deaths!$B:$B, Keys!$B$2, NP2023_deaths!$C:$C, 2030), 0))+IF(Keys!$H$2="", 0, IFERROR(SUMIFS(NP2023_deaths!$D:$D, NP2023_deaths!$A:$A, Keys!$H$2, NP2023_deaths!$B:$B, Keys!$B$2, NP2023_deaths!$C:$C, 2030), 0))</f>
        <v>1662801</v>
      </c>
      <c r="I18" s="37">
        <f>IF(Keys!$C$2="", 0, IFERROR(SUMIFS(NP2023_deaths!$D:$D, NP2023_deaths!$A:$A, Keys!$C$2, NP2023_deaths!$B:$B, Keys!$B$2, NP2023_deaths!$C:$C, 2031), 0))+IF(Keys!$D$2="", 0, IFERROR(SUMIFS(NP2023_deaths!$D:$D, NP2023_deaths!$A:$A, Keys!$D$2, NP2023_deaths!$B:$B, Keys!$B$2, NP2023_deaths!$C:$C, 2031), 0))+IF(Keys!$E$2="", 0, IFERROR(SUMIFS(NP2023_deaths!$D:$D, NP2023_deaths!$A:$A, Keys!$E$2, NP2023_deaths!$B:$B, Keys!$B$2, NP2023_deaths!$C:$C, 2031), 0))+IF(Keys!$F$2="", 0, IFERROR(SUMIFS(NP2023_deaths!$D:$D, NP2023_deaths!$A:$A, Keys!$F$2, NP2023_deaths!$B:$B, Keys!$B$2, NP2023_deaths!$C:$C, 2031), 0))+IF(Keys!$G$2="", 0, IFERROR(SUMIFS(NP2023_deaths!$D:$D, NP2023_deaths!$A:$A, Keys!$G$2, NP2023_deaths!$B:$B, Keys!$B$2, NP2023_deaths!$C:$C, 2031), 0))+IF(Keys!$H$2="", 0, IFERROR(SUMIFS(NP2023_deaths!$D:$D, NP2023_deaths!$A:$A, Keys!$H$2, NP2023_deaths!$B:$B, Keys!$B$2, NP2023_deaths!$C:$C, 2031), 0))</f>
        <v>1689271</v>
      </c>
      <c r="J18" s="37">
        <f>IF(Keys!$C$2="", 0, IFERROR(SUMIFS(NP2023_deaths!$D:$D, NP2023_deaths!$A:$A, Keys!$C$2, NP2023_deaths!$B:$B, Keys!$B$2, NP2023_deaths!$C:$C, 2032), 0))+IF(Keys!$D$2="", 0, IFERROR(SUMIFS(NP2023_deaths!$D:$D, NP2023_deaths!$A:$A, Keys!$D$2, NP2023_deaths!$B:$B, Keys!$B$2, NP2023_deaths!$C:$C, 2032), 0))+IF(Keys!$E$2="", 0, IFERROR(SUMIFS(NP2023_deaths!$D:$D, NP2023_deaths!$A:$A, Keys!$E$2, NP2023_deaths!$B:$B, Keys!$B$2, NP2023_deaths!$C:$C, 2032), 0))+IF(Keys!$F$2="", 0, IFERROR(SUMIFS(NP2023_deaths!$D:$D, NP2023_deaths!$A:$A, Keys!$F$2, NP2023_deaths!$B:$B, Keys!$B$2, NP2023_deaths!$C:$C, 2032), 0))+IF(Keys!$G$2="", 0, IFERROR(SUMIFS(NP2023_deaths!$D:$D, NP2023_deaths!$A:$A, Keys!$G$2, NP2023_deaths!$B:$B, Keys!$B$2, NP2023_deaths!$C:$C, 2032), 0))+IF(Keys!$H$2="", 0, IFERROR(SUMIFS(NP2023_deaths!$D:$D, NP2023_deaths!$A:$A, Keys!$H$2, NP2023_deaths!$B:$B, Keys!$B$2, NP2023_deaths!$C:$C, 2032), 0))</f>
        <v>1715233</v>
      </c>
      <c r="K18" s="37">
        <f>IF(Keys!$C$2="", 0, IFERROR(SUMIFS(NP2023_deaths!$D:$D, NP2023_deaths!$A:$A, Keys!$C$2, NP2023_deaths!$B:$B, Keys!$B$2, NP2023_deaths!$C:$C, 2033), 0))+IF(Keys!$D$2="", 0, IFERROR(SUMIFS(NP2023_deaths!$D:$D, NP2023_deaths!$A:$A, Keys!$D$2, NP2023_deaths!$B:$B, Keys!$B$2, NP2023_deaths!$C:$C, 2033), 0))+IF(Keys!$E$2="", 0, IFERROR(SUMIFS(NP2023_deaths!$D:$D, NP2023_deaths!$A:$A, Keys!$E$2, NP2023_deaths!$B:$B, Keys!$B$2, NP2023_deaths!$C:$C, 2033), 0))+IF(Keys!$F$2="", 0, IFERROR(SUMIFS(NP2023_deaths!$D:$D, NP2023_deaths!$A:$A, Keys!$F$2, NP2023_deaths!$B:$B, Keys!$B$2, NP2023_deaths!$C:$C, 2033), 0))+IF(Keys!$G$2="", 0, IFERROR(SUMIFS(NP2023_deaths!$D:$D, NP2023_deaths!$A:$A, Keys!$G$2, NP2023_deaths!$B:$B, Keys!$B$2, NP2023_deaths!$C:$C, 2033), 0))+IF(Keys!$H$2="", 0, IFERROR(SUMIFS(NP2023_deaths!$D:$D, NP2023_deaths!$A:$A, Keys!$H$2, NP2023_deaths!$B:$B, Keys!$B$2, NP2023_deaths!$C:$C, 2033), 0))</f>
        <v>1740709</v>
      </c>
      <c r="L18" s="37">
        <f>IF(Keys!$C$2="", 0, IFERROR(SUMIFS(NP2023_deaths!$D:$D, NP2023_deaths!$A:$A, Keys!$C$2, NP2023_deaths!$B:$B, Keys!$B$2, NP2023_deaths!$C:$C, 2034), 0))+IF(Keys!$D$2="", 0, IFERROR(SUMIFS(NP2023_deaths!$D:$D, NP2023_deaths!$A:$A, Keys!$D$2, NP2023_deaths!$B:$B, Keys!$B$2, NP2023_deaths!$C:$C, 2034), 0))+IF(Keys!$E$2="", 0, IFERROR(SUMIFS(NP2023_deaths!$D:$D, NP2023_deaths!$A:$A, Keys!$E$2, NP2023_deaths!$B:$B, Keys!$B$2, NP2023_deaths!$C:$C, 2034), 0))+IF(Keys!$F$2="", 0, IFERROR(SUMIFS(NP2023_deaths!$D:$D, NP2023_deaths!$A:$A, Keys!$F$2, NP2023_deaths!$B:$B, Keys!$B$2, NP2023_deaths!$C:$C, 2034), 0))+IF(Keys!$G$2="", 0, IFERROR(SUMIFS(NP2023_deaths!$D:$D, NP2023_deaths!$A:$A, Keys!$G$2, NP2023_deaths!$B:$B, Keys!$B$2, NP2023_deaths!$C:$C, 2034), 0))+IF(Keys!$H$2="", 0, IFERROR(SUMIFS(NP2023_deaths!$D:$D, NP2023_deaths!$A:$A, Keys!$H$2, NP2023_deaths!$B:$B, Keys!$B$2, NP2023_deaths!$C:$C, 2034), 0))</f>
        <v>1765529</v>
      </c>
      <c r="M18" s="37">
        <f>IF(Keys!$C$2="", 0, IFERROR(SUMIFS(NP2023_deaths!$D:$D, NP2023_deaths!$A:$A, Keys!$C$2, NP2023_deaths!$B:$B, Keys!$B$2, NP2023_deaths!$C:$C, 2035), 0))+IF(Keys!$D$2="", 0, IFERROR(SUMIFS(NP2023_deaths!$D:$D, NP2023_deaths!$A:$A, Keys!$D$2, NP2023_deaths!$B:$B, Keys!$B$2, NP2023_deaths!$C:$C, 2035), 0))+IF(Keys!$E$2="", 0, IFERROR(SUMIFS(NP2023_deaths!$D:$D, NP2023_deaths!$A:$A, Keys!$E$2, NP2023_deaths!$B:$B, Keys!$B$2, NP2023_deaths!$C:$C, 2035), 0))+IF(Keys!$F$2="", 0, IFERROR(SUMIFS(NP2023_deaths!$D:$D, NP2023_deaths!$A:$A, Keys!$F$2, NP2023_deaths!$B:$B, Keys!$B$2, NP2023_deaths!$C:$C, 2035), 0))+IF(Keys!$G$2="", 0, IFERROR(SUMIFS(NP2023_deaths!$D:$D, NP2023_deaths!$A:$A, Keys!$G$2, NP2023_deaths!$B:$B, Keys!$B$2, NP2023_deaths!$C:$C, 2035), 0))+IF(Keys!$H$2="", 0, IFERROR(SUMIFS(NP2023_deaths!$D:$D, NP2023_deaths!$A:$A, Keys!$H$2, NP2023_deaths!$B:$B, Keys!$B$2, NP2023_deaths!$C:$C, 2035), 0))</f>
        <v>1789655</v>
      </c>
      <c r="N18" s="37">
        <f>IF(Keys!$C$2="", 0, IFERROR(SUMIFS(NP2023_deaths!$D:$D, NP2023_deaths!$A:$A, Keys!$C$2, NP2023_deaths!$B:$B, Keys!$B$2, NP2023_deaths!$C:$C, 2036), 0))+IF(Keys!$D$2="", 0, IFERROR(SUMIFS(NP2023_deaths!$D:$D, NP2023_deaths!$A:$A, Keys!$D$2, NP2023_deaths!$B:$B, Keys!$B$2, NP2023_deaths!$C:$C, 2036), 0))+IF(Keys!$E$2="", 0, IFERROR(SUMIFS(NP2023_deaths!$D:$D, NP2023_deaths!$A:$A, Keys!$E$2, NP2023_deaths!$B:$B, Keys!$B$2, NP2023_deaths!$C:$C, 2036), 0))+IF(Keys!$F$2="", 0, IFERROR(SUMIFS(NP2023_deaths!$D:$D, NP2023_deaths!$A:$A, Keys!$F$2, NP2023_deaths!$B:$B, Keys!$B$2, NP2023_deaths!$C:$C, 2036), 0))+IF(Keys!$G$2="", 0, IFERROR(SUMIFS(NP2023_deaths!$D:$D, NP2023_deaths!$A:$A, Keys!$G$2, NP2023_deaths!$B:$B, Keys!$B$2, NP2023_deaths!$C:$C, 2036), 0))+IF(Keys!$H$2="", 0, IFERROR(SUMIFS(NP2023_deaths!$D:$D, NP2023_deaths!$A:$A, Keys!$H$2, NP2023_deaths!$B:$B, Keys!$B$2, NP2023_deaths!$C:$C, 2036), 0))</f>
        <v>1812892</v>
      </c>
      <c r="O18" s="37">
        <f>IF(Keys!$C$2="", 0, IFERROR(SUMIFS(NP2023_deaths!$D:$D, NP2023_deaths!$A:$A, Keys!$C$2, NP2023_deaths!$B:$B, Keys!$B$2, NP2023_deaths!$C:$C, 2037), 0))+IF(Keys!$D$2="", 0, IFERROR(SUMIFS(NP2023_deaths!$D:$D, NP2023_deaths!$A:$A, Keys!$D$2, NP2023_deaths!$B:$B, Keys!$B$2, NP2023_deaths!$C:$C, 2037), 0))+IF(Keys!$E$2="", 0, IFERROR(SUMIFS(NP2023_deaths!$D:$D, NP2023_deaths!$A:$A, Keys!$E$2, NP2023_deaths!$B:$B, Keys!$B$2, NP2023_deaths!$C:$C, 2037), 0))+IF(Keys!$F$2="", 0, IFERROR(SUMIFS(NP2023_deaths!$D:$D, NP2023_deaths!$A:$A, Keys!$F$2, NP2023_deaths!$B:$B, Keys!$B$2, NP2023_deaths!$C:$C, 2037), 0))+IF(Keys!$G$2="", 0, IFERROR(SUMIFS(NP2023_deaths!$D:$D, NP2023_deaths!$A:$A, Keys!$G$2, NP2023_deaths!$B:$B, Keys!$B$2, NP2023_deaths!$C:$C, 2037), 0))+IF(Keys!$H$2="", 0, IFERROR(SUMIFS(NP2023_deaths!$D:$D, NP2023_deaths!$A:$A, Keys!$H$2, NP2023_deaths!$B:$B, Keys!$B$2, NP2023_deaths!$C:$C, 2037), 0))</f>
        <v>1835144</v>
      </c>
      <c r="P18" s="37">
        <f>IF(Keys!$C$2="", 0, IFERROR(SUMIFS(NP2023_deaths!$D:$D, NP2023_deaths!$A:$A, Keys!$C$2, NP2023_deaths!$B:$B, Keys!$B$2, NP2023_deaths!$C:$C, 2038), 0))+IF(Keys!$D$2="", 0, IFERROR(SUMIFS(NP2023_deaths!$D:$D, NP2023_deaths!$A:$A, Keys!$D$2, NP2023_deaths!$B:$B, Keys!$B$2, NP2023_deaths!$C:$C, 2038), 0))+IF(Keys!$E$2="", 0, IFERROR(SUMIFS(NP2023_deaths!$D:$D, NP2023_deaths!$A:$A, Keys!$E$2, NP2023_deaths!$B:$B, Keys!$B$2, NP2023_deaths!$C:$C, 2038), 0))+IF(Keys!$F$2="", 0, IFERROR(SUMIFS(NP2023_deaths!$D:$D, NP2023_deaths!$A:$A, Keys!$F$2, NP2023_deaths!$B:$B, Keys!$B$2, NP2023_deaths!$C:$C, 2038), 0))+IF(Keys!$G$2="", 0, IFERROR(SUMIFS(NP2023_deaths!$D:$D, NP2023_deaths!$A:$A, Keys!$G$2, NP2023_deaths!$B:$B, Keys!$B$2, NP2023_deaths!$C:$C, 2038), 0))+IF(Keys!$H$2="", 0, IFERROR(SUMIFS(NP2023_deaths!$D:$D, NP2023_deaths!$A:$A, Keys!$H$2, NP2023_deaths!$B:$B, Keys!$B$2, NP2023_deaths!$C:$C, 2038), 0))</f>
        <v>1856180</v>
      </c>
      <c r="Q18" s="37">
        <f>IF(Keys!$C$2="", 0, IFERROR(SUMIFS(NP2023_deaths!$D:$D, NP2023_deaths!$A:$A, Keys!$C$2, NP2023_deaths!$B:$B, Keys!$B$2, NP2023_deaths!$C:$C, 2039), 0))+IF(Keys!$D$2="", 0, IFERROR(SUMIFS(NP2023_deaths!$D:$D, NP2023_deaths!$A:$A, Keys!$D$2, NP2023_deaths!$B:$B, Keys!$B$2, NP2023_deaths!$C:$C, 2039), 0))+IF(Keys!$E$2="", 0, IFERROR(SUMIFS(NP2023_deaths!$D:$D, NP2023_deaths!$A:$A, Keys!$E$2, NP2023_deaths!$B:$B, Keys!$B$2, NP2023_deaths!$C:$C, 2039), 0))+IF(Keys!$F$2="", 0, IFERROR(SUMIFS(NP2023_deaths!$D:$D, NP2023_deaths!$A:$A, Keys!$F$2, NP2023_deaths!$B:$B, Keys!$B$2, NP2023_deaths!$C:$C, 2039), 0))+IF(Keys!$G$2="", 0, IFERROR(SUMIFS(NP2023_deaths!$D:$D, NP2023_deaths!$A:$A, Keys!$G$2, NP2023_deaths!$B:$B, Keys!$B$2, NP2023_deaths!$C:$C, 2039), 0))+IF(Keys!$H$2="", 0, IFERROR(SUMIFS(NP2023_deaths!$D:$D, NP2023_deaths!$A:$A, Keys!$H$2, NP2023_deaths!$B:$B, Keys!$B$2, NP2023_deaths!$C:$C, 2039), 0))</f>
        <v>1875946</v>
      </c>
      <c r="R18" s="37">
        <f>IF(Keys!$C$2="", 0, IFERROR(SUMIFS(NP2023_deaths!$D:$D, NP2023_deaths!$A:$A, Keys!$C$2, NP2023_deaths!$B:$B, Keys!$B$2, NP2023_deaths!$C:$C, 2040), 0))+IF(Keys!$D$2="", 0, IFERROR(SUMIFS(NP2023_deaths!$D:$D, NP2023_deaths!$A:$A, Keys!$D$2, NP2023_deaths!$B:$B, Keys!$B$2, NP2023_deaths!$C:$C, 2040), 0))+IF(Keys!$E$2="", 0, IFERROR(SUMIFS(NP2023_deaths!$D:$D, NP2023_deaths!$A:$A, Keys!$E$2, NP2023_deaths!$B:$B, Keys!$B$2, NP2023_deaths!$C:$C, 2040), 0))+IF(Keys!$F$2="", 0, IFERROR(SUMIFS(NP2023_deaths!$D:$D, NP2023_deaths!$A:$A, Keys!$F$2, NP2023_deaths!$B:$B, Keys!$B$2, NP2023_deaths!$C:$C, 2040), 0))+IF(Keys!$G$2="", 0, IFERROR(SUMIFS(NP2023_deaths!$D:$D, NP2023_deaths!$A:$A, Keys!$G$2, NP2023_deaths!$B:$B, Keys!$B$2, NP2023_deaths!$C:$C, 2040), 0))+IF(Keys!$H$2="", 0, IFERROR(SUMIFS(NP2023_deaths!$D:$D, NP2023_deaths!$A:$A, Keys!$H$2, NP2023_deaths!$B:$B, Keys!$B$2, NP2023_deaths!$C:$C, 2040), 0))</f>
        <v>1894159</v>
      </c>
      <c r="S18" s="37">
        <f>IF(Keys!$C$2="", 0, IFERROR(SUMIFS(NP2023_deaths!$D:$D, NP2023_deaths!$A:$A, Keys!$C$2, NP2023_deaths!$B:$B, Keys!$B$2, NP2023_deaths!$C:$C, 2041), 0))+IF(Keys!$D$2="", 0, IFERROR(SUMIFS(NP2023_deaths!$D:$D, NP2023_deaths!$A:$A, Keys!$D$2, NP2023_deaths!$B:$B, Keys!$B$2, NP2023_deaths!$C:$C, 2041), 0))+IF(Keys!$E$2="", 0, IFERROR(SUMIFS(NP2023_deaths!$D:$D, NP2023_deaths!$A:$A, Keys!$E$2, NP2023_deaths!$B:$B, Keys!$B$2, NP2023_deaths!$C:$C, 2041), 0))+IF(Keys!$F$2="", 0, IFERROR(SUMIFS(NP2023_deaths!$D:$D, NP2023_deaths!$A:$A, Keys!$F$2, NP2023_deaths!$B:$B, Keys!$B$2, NP2023_deaths!$C:$C, 2041), 0))+IF(Keys!$G$2="", 0, IFERROR(SUMIFS(NP2023_deaths!$D:$D, NP2023_deaths!$A:$A, Keys!$G$2, NP2023_deaths!$B:$B, Keys!$B$2, NP2023_deaths!$C:$C, 2041), 0))+IF(Keys!$H$2="", 0, IFERROR(SUMIFS(NP2023_deaths!$D:$D, NP2023_deaths!$A:$A, Keys!$H$2, NP2023_deaths!$B:$B, Keys!$B$2, NP2023_deaths!$C:$C, 2041), 0))</f>
        <v>1910832</v>
      </c>
      <c r="T18" s="37">
        <f>IF(Keys!$C$2="", 0, IFERROR(SUMIFS(NP2023_deaths!$D:$D, NP2023_deaths!$A:$A, Keys!$C$2, NP2023_deaths!$B:$B, Keys!$B$2, NP2023_deaths!$C:$C, 2042), 0))+IF(Keys!$D$2="", 0, IFERROR(SUMIFS(NP2023_deaths!$D:$D, NP2023_deaths!$A:$A, Keys!$D$2, NP2023_deaths!$B:$B, Keys!$B$2, NP2023_deaths!$C:$C, 2042), 0))+IF(Keys!$E$2="", 0, IFERROR(SUMIFS(NP2023_deaths!$D:$D, NP2023_deaths!$A:$A, Keys!$E$2, NP2023_deaths!$B:$B, Keys!$B$2, NP2023_deaths!$C:$C, 2042), 0))+IF(Keys!$F$2="", 0, IFERROR(SUMIFS(NP2023_deaths!$D:$D, NP2023_deaths!$A:$A, Keys!$F$2, NP2023_deaths!$B:$B, Keys!$B$2, NP2023_deaths!$C:$C, 2042), 0))+IF(Keys!$G$2="", 0, IFERROR(SUMIFS(NP2023_deaths!$D:$D, NP2023_deaths!$A:$A, Keys!$G$2, NP2023_deaths!$B:$B, Keys!$B$2, NP2023_deaths!$C:$C, 2042), 0))+IF(Keys!$H$2="", 0, IFERROR(SUMIFS(NP2023_deaths!$D:$D, NP2023_deaths!$A:$A, Keys!$H$2, NP2023_deaths!$B:$B, Keys!$B$2, NP2023_deaths!$C:$C, 2042), 0))</f>
        <v>1925870</v>
      </c>
      <c r="U18" s="37">
        <f>IF(Keys!$C$2="", 0, IFERROR(SUMIFS(NP2023_deaths!$D:$D, NP2023_deaths!$A:$A, Keys!$C$2, NP2023_deaths!$B:$B, Keys!$B$2, NP2023_deaths!$C:$C, 2043), 0))+IF(Keys!$D$2="", 0, IFERROR(SUMIFS(NP2023_deaths!$D:$D, NP2023_deaths!$A:$A, Keys!$D$2, NP2023_deaths!$B:$B, Keys!$B$2, NP2023_deaths!$C:$C, 2043), 0))+IF(Keys!$E$2="", 0, IFERROR(SUMIFS(NP2023_deaths!$D:$D, NP2023_deaths!$A:$A, Keys!$E$2, NP2023_deaths!$B:$B, Keys!$B$2, NP2023_deaths!$C:$C, 2043), 0))+IF(Keys!$F$2="", 0, IFERROR(SUMIFS(NP2023_deaths!$D:$D, NP2023_deaths!$A:$A, Keys!$F$2, NP2023_deaths!$B:$B, Keys!$B$2, NP2023_deaths!$C:$C, 2043), 0))+IF(Keys!$G$2="", 0, IFERROR(SUMIFS(NP2023_deaths!$D:$D, NP2023_deaths!$A:$A, Keys!$G$2, NP2023_deaths!$B:$B, Keys!$B$2, NP2023_deaths!$C:$C, 2043), 0))+IF(Keys!$H$2="", 0, IFERROR(SUMIFS(NP2023_deaths!$D:$D, NP2023_deaths!$A:$A, Keys!$H$2, NP2023_deaths!$B:$B, Keys!$B$2, NP2023_deaths!$C:$C, 2043), 0))</f>
        <v>1939381</v>
      </c>
      <c r="V18" s="37">
        <f>IF(Keys!$C$2="", 0, IFERROR(SUMIFS(NP2023_deaths!$D:$D, NP2023_deaths!$A:$A, Keys!$C$2, NP2023_deaths!$B:$B, Keys!$B$2, NP2023_deaths!$C:$C, 2044), 0))+IF(Keys!$D$2="", 0, IFERROR(SUMIFS(NP2023_deaths!$D:$D, NP2023_deaths!$A:$A, Keys!$D$2, NP2023_deaths!$B:$B, Keys!$B$2, NP2023_deaths!$C:$C, 2044), 0))+IF(Keys!$E$2="", 0, IFERROR(SUMIFS(NP2023_deaths!$D:$D, NP2023_deaths!$A:$A, Keys!$E$2, NP2023_deaths!$B:$B, Keys!$B$2, NP2023_deaths!$C:$C, 2044), 0))+IF(Keys!$F$2="", 0, IFERROR(SUMIFS(NP2023_deaths!$D:$D, NP2023_deaths!$A:$A, Keys!$F$2, NP2023_deaths!$B:$B, Keys!$B$2, NP2023_deaths!$C:$C, 2044), 0))+IF(Keys!$G$2="", 0, IFERROR(SUMIFS(NP2023_deaths!$D:$D, NP2023_deaths!$A:$A, Keys!$G$2, NP2023_deaths!$B:$B, Keys!$B$2, NP2023_deaths!$C:$C, 2044), 0))+IF(Keys!$H$2="", 0, IFERROR(SUMIFS(NP2023_deaths!$D:$D, NP2023_deaths!$A:$A, Keys!$H$2, NP2023_deaths!$B:$B, Keys!$B$2, NP2023_deaths!$C:$C, 2044), 0))</f>
        <v>1950913</v>
      </c>
      <c r="W18" s="37">
        <f>IF(Keys!$C$2="", 0, IFERROR(SUMIFS(NP2023_deaths!$D:$D, NP2023_deaths!$A:$A, Keys!$C$2, NP2023_deaths!$B:$B, Keys!$B$2, NP2023_deaths!$C:$C, 2045), 0))+IF(Keys!$D$2="", 0, IFERROR(SUMIFS(NP2023_deaths!$D:$D, NP2023_deaths!$A:$A, Keys!$D$2, NP2023_deaths!$B:$B, Keys!$B$2, NP2023_deaths!$C:$C, 2045), 0))+IF(Keys!$E$2="", 0, IFERROR(SUMIFS(NP2023_deaths!$D:$D, NP2023_deaths!$A:$A, Keys!$E$2, NP2023_deaths!$B:$B, Keys!$B$2, NP2023_deaths!$C:$C, 2045), 0))+IF(Keys!$F$2="", 0, IFERROR(SUMIFS(NP2023_deaths!$D:$D, NP2023_deaths!$A:$A, Keys!$F$2, NP2023_deaths!$B:$B, Keys!$B$2, NP2023_deaths!$C:$C, 2045), 0))+IF(Keys!$G$2="", 0, IFERROR(SUMIFS(NP2023_deaths!$D:$D, NP2023_deaths!$A:$A, Keys!$G$2, NP2023_deaths!$B:$B, Keys!$B$2, NP2023_deaths!$C:$C, 2045), 0))+IF(Keys!$H$2="", 0, IFERROR(SUMIFS(NP2023_deaths!$D:$D, NP2023_deaths!$A:$A, Keys!$H$2, NP2023_deaths!$B:$B, Keys!$B$2, NP2023_deaths!$C:$C, 2045), 0))</f>
        <v>1960597</v>
      </c>
      <c r="X18" s="37">
        <f>IF(Keys!$C$2="", 0, IFERROR(SUMIFS(NP2023_deaths!$D:$D, NP2023_deaths!$A:$A, Keys!$C$2, NP2023_deaths!$B:$B, Keys!$B$2, NP2023_deaths!$C:$C, 2046), 0))+IF(Keys!$D$2="", 0, IFERROR(SUMIFS(NP2023_deaths!$D:$D, NP2023_deaths!$A:$A, Keys!$D$2, NP2023_deaths!$B:$B, Keys!$B$2, NP2023_deaths!$C:$C, 2046), 0))+IF(Keys!$E$2="", 0, IFERROR(SUMIFS(NP2023_deaths!$D:$D, NP2023_deaths!$A:$A, Keys!$E$2, NP2023_deaths!$B:$B, Keys!$B$2, NP2023_deaths!$C:$C, 2046), 0))+IF(Keys!$F$2="", 0, IFERROR(SUMIFS(NP2023_deaths!$D:$D, NP2023_deaths!$A:$A, Keys!$F$2, NP2023_deaths!$B:$B, Keys!$B$2, NP2023_deaths!$C:$C, 2046), 0))+IF(Keys!$G$2="", 0, IFERROR(SUMIFS(NP2023_deaths!$D:$D, NP2023_deaths!$A:$A, Keys!$G$2, NP2023_deaths!$B:$B, Keys!$B$2, NP2023_deaths!$C:$C, 2046), 0))+IF(Keys!$H$2="", 0, IFERROR(SUMIFS(NP2023_deaths!$D:$D, NP2023_deaths!$A:$A, Keys!$H$2, NP2023_deaths!$B:$B, Keys!$B$2, NP2023_deaths!$C:$C, 2046), 0))</f>
        <v>1968350</v>
      </c>
      <c r="Y18" s="37">
        <f>IF(Keys!$C$2="", 0, IFERROR(SUMIFS(NP2023_deaths!$D:$D, NP2023_deaths!$A:$A, Keys!$C$2, NP2023_deaths!$B:$B, Keys!$B$2, NP2023_deaths!$C:$C, 2047), 0))+IF(Keys!$D$2="", 0, IFERROR(SUMIFS(NP2023_deaths!$D:$D, NP2023_deaths!$A:$A, Keys!$D$2, NP2023_deaths!$B:$B, Keys!$B$2, NP2023_deaths!$C:$C, 2047), 0))+IF(Keys!$E$2="", 0, IFERROR(SUMIFS(NP2023_deaths!$D:$D, NP2023_deaths!$A:$A, Keys!$E$2, NP2023_deaths!$B:$B, Keys!$B$2, NP2023_deaths!$C:$C, 2047), 0))+IF(Keys!$F$2="", 0, IFERROR(SUMIFS(NP2023_deaths!$D:$D, NP2023_deaths!$A:$A, Keys!$F$2, NP2023_deaths!$B:$B, Keys!$B$2, NP2023_deaths!$C:$C, 2047), 0))+IF(Keys!$G$2="", 0, IFERROR(SUMIFS(NP2023_deaths!$D:$D, NP2023_deaths!$A:$A, Keys!$G$2, NP2023_deaths!$B:$B, Keys!$B$2, NP2023_deaths!$C:$C, 2047), 0))+IF(Keys!$H$2="", 0, IFERROR(SUMIFS(NP2023_deaths!$D:$D, NP2023_deaths!$A:$A, Keys!$H$2, NP2023_deaths!$B:$B, Keys!$B$2, NP2023_deaths!$C:$C, 2047), 0))</f>
        <v>1974982</v>
      </c>
      <c r="Z18" s="37">
        <f>IF(Keys!$C$2="", 0, IFERROR(SUMIFS(NP2023_deaths!$D:$D, NP2023_deaths!$A:$A, Keys!$C$2, NP2023_deaths!$B:$B, Keys!$B$2, NP2023_deaths!$C:$C, 2048), 0))+IF(Keys!$D$2="", 0, IFERROR(SUMIFS(NP2023_deaths!$D:$D, NP2023_deaths!$A:$A, Keys!$D$2, NP2023_deaths!$B:$B, Keys!$B$2, NP2023_deaths!$C:$C, 2048), 0))+IF(Keys!$E$2="", 0, IFERROR(SUMIFS(NP2023_deaths!$D:$D, NP2023_deaths!$A:$A, Keys!$E$2, NP2023_deaths!$B:$B, Keys!$B$2, NP2023_deaths!$C:$C, 2048), 0))+IF(Keys!$F$2="", 0, IFERROR(SUMIFS(NP2023_deaths!$D:$D, NP2023_deaths!$A:$A, Keys!$F$2, NP2023_deaths!$B:$B, Keys!$B$2, NP2023_deaths!$C:$C, 2048), 0))+IF(Keys!$G$2="", 0, IFERROR(SUMIFS(NP2023_deaths!$D:$D, NP2023_deaths!$A:$A, Keys!$G$2, NP2023_deaths!$B:$B, Keys!$B$2, NP2023_deaths!$C:$C, 2048), 0))+IF(Keys!$H$2="", 0, IFERROR(SUMIFS(NP2023_deaths!$D:$D, NP2023_deaths!$A:$A, Keys!$H$2, NP2023_deaths!$B:$B, Keys!$B$2, NP2023_deaths!$C:$C, 2048), 0))</f>
        <v>1979798</v>
      </c>
      <c r="AA18" s="37">
        <f>IF(Keys!$C$2="", 0, IFERROR(SUMIFS(NP2023_deaths!$D:$D, NP2023_deaths!$A:$A, Keys!$C$2, NP2023_deaths!$B:$B, Keys!$B$2, NP2023_deaths!$C:$C, 2049), 0))+IF(Keys!$D$2="", 0, IFERROR(SUMIFS(NP2023_deaths!$D:$D, NP2023_deaths!$A:$A, Keys!$D$2, NP2023_deaths!$B:$B, Keys!$B$2, NP2023_deaths!$C:$C, 2049), 0))+IF(Keys!$E$2="", 0, IFERROR(SUMIFS(NP2023_deaths!$D:$D, NP2023_deaths!$A:$A, Keys!$E$2, NP2023_deaths!$B:$B, Keys!$B$2, NP2023_deaths!$C:$C, 2049), 0))+IF(Keys!$F$2="", 0, IFERROR(SUMIFS(NP2023_deaths!$D:$D, NP2023_deaths!$A:$A, Keys!$F$2, NP2023_deaths!$B:$B, Keys!$B$2, NP2023_deaths!$C:$C, 2049), 0))+IF(Keys!$G$2="", 0, IFERROR(SUMIFS(NP2023_deaths!$D:$D, NP2023_deaths!$A:$A, Keys!$G$2, NP2023_deaths!$B:$B, Keys!$B$2, NP2023_deaths!$C:$C, 2049), 0))+IF(Keys!$H$2="", 0, IFERROR(SUMIFS(NP2023_deaths!$D:$D, NP2023_deaths!$A:$A, Keys!$H$2, NP2023_deaths!$B:$B, Keys!$B$2, NP2023_deaths!$C:$C, 2049), 0))</f>
        <v>1982934</v>
      </c>
      <c r="AB18" s="37">
        <f>IF(Keys!$C$2="", 0, IFERROR(SUMIFS(NP2023_deaths!$D:$D, NP2023_deaths!$A:$A, Keys!$C$2, NP2023_deaths!$B:$B, Keys!$B$2, NP2023_deaths!$C:$C, 2050), 0))+IF(Keys!$D$2="", 0, IFERROR(SUMIFS(NP2023_deaths!$D:$D, NP2023_deaths!$A:$A, Keys!$D$2, NP2023_deaths!$B:$B, Keys!$B$2, NP2023_deaths!$C:$C, 2050), 0))+IF(Keys!$E$2="", 0, IFERROR(SUMIFS(NP2023_deaths!$D:$D, NP2023_deaths!$A:$A, Keys!$E$2, NP2023_deaths!$B:$B, Keys!$B$2, NP2023_deaths!$C:$C, 2050), 0))+IF(Keys!$F$2="", 0, IFERROR(SUMIFS(NP2023_deaths!$D:$D, NP2023_deaths!$A:$A, Keys!$F$2, NP2023_deaths!$B:$B, Keys!$B$2, NP2023_deaths!$C:$C, 2050), 0))+IF(Keys!$G$2="", 0, IFERROR(SUMIFS(NP2023_deaths!$D:$D, NP2023_deaths!$A:$A, Keys!$G$2, NP2023_deaths!$B:$B, Keys!$B$2, NP2023_deaths!$C:$C, 2050), 0))+IF(Keys!$H$2="", 0, IFERROR(SUMIFS(NP2023_deaths!$D:$D, NP2023_deaths!$A:$A, Keys!$H$2, NP2023_deaths!$B:$B, Keys!$B$2, NP2023_deaths!$C:$C, 2050), 0))</f>
        <v>1984587</v>
      </c>
    </row>
    <row r="19" spans="1:28" x14ac:dyDescent="0.25">
      <c r="A19" s="4" t="s">
        <v>216</v>
      </c>
      <c r="B19" s="37">
        <f>IF(Keys!$C$3="", 0, IFERROR(SUMIFS(NP2023_deaths!$D:$D, NP2023_deaths!$A:$A, Keys!$C$3, NP2023_deaths!$B:$B, Keys!$B$3, NP2023_deaths!$C:$C, 2024), 0))+IF(Keys!$D$3="", 0, IFERROR(SUMIFS(NP2023_deaths!$D:$D, NP2023_deaths!$A:$A, Keys!$D$3, NP2023_deaths!$B:$B, Keys!$B$3, NP2023_deaths!$C:$C, 2024), 0))+IF(Keys!$E$3="", 0, IFERROR(SUMIFS(NP2023_deaths!$D:$D, NP2023_deaths!$A:$A, Keys!$E$3, NP2023_deaths!$B:$B, Keys!$B$3, NP2023_deaths!$C:$C, 2024), 0))+IF(Keys!$F$3="", 0, IFERROR(SUMIFS(NP2023_deaths!$D:$D, NP2023_deaths!$A:$A, Keys!$F$3, NP2023_deaths!$B:$B, Keys!$B$3, NP2023_deaths!$C:$C, 2024), 0))+IF(Keys!$G$3="", 0, IFERROR(SUMIFS(NP2023_deaths!$D:$D, NP2023_deaths!$A:$A, Keys!$G$3, NP2023_deaths!$B:$B, Keys!$B$3, NP2023_deaths!$C:$C, 2024), 0))+IF(Keys!$H$3="", 0, IFERROR(SUMIFS(NP2023_deaths!$D:$D, NP2023_deaths!$A:$A, Keys!$H$3, NP2023_deaths!$B:$B, Keys!$B$3, NP2023_deaths!$C:$C, 2024), 0))</f>
        <v>1409822</v>
      </c>
      <c r="C19" s="37">
        <f>IF(Keys!$C$3="", 0, IFERROR(SUMIFS(NP2023_deaths!$D:$D, NP2023_deaths!$A:$A, Keys!$C$3, NP2023_deaths!$B:$B, Keys!$B$3, NP2023_deaths!$C:$C, 2025), 0))+IF(Keys!$D$3="", 0, IFERROR(SUMIFS(NP2023_deaths!$D:$D, NP2023_deaths!$A:$A, Keys!$D$3, NP2023_deaths!$B:$B, Keys!$B$3, NP2023_deaths!$C:$C, 2025), 0))+IF(Keys!$E$3="", 0, IFERROR(SUMIFS(NP2023_deaths!$D:$D, NP2023_deaths!$A:$A, Keys!$E$3, NP2023_deaths!$B:$B, Keys!$B$3, NP2023_deaths!$C:$C, 2025), 0))+IF(Keys!$F$3="", 0, IFERROR(SUMIFS(NP2023_deaths!$D:$D, NP2023_deaths!$A:$A, Keys!$F$3, NP2023_deaths!$B:$B, Keys!$B$3, NP2023_deaths!$C:$C, 2025), 0))+IF(Keys!$G$3="", 0, IFERROR(SUMIFS(NP2023_deaths!$D:$D, NP2023_deaths!$A:$A, Keys!$G$3, NP2023_deaths!$B:$B, Keys!$B$3, NP2023_deaths!$C:$C, 2025), 0))+IF(Keys!$H$3="", 0, IFERROR(SUMIFS(NP2023_deaths!$D:$D, NP2023_deaths!$A:$A, Keys!$H$3, NP2023_deaths!$B:$B, Keys!$B$3, NP2023_deaths!$C:$C, 2025), 0))</f>
        <v>1431626</v>
      </c>
      <c r="D19" s="37">
        <f>IF(Keys!$C$3="", 0, IFERROR(SUMIFS(NP2023_deaths!$D:$D, NP2023_deaths!$A:$A, Keys!$C$3, NP2023_deaths!$B:$B, Keys!$B$3, NP2023_deaths!$C:$C, 2026), 0))+IF(Keys!$D$3="", 0, IFERROR(SUMIFS(NP2023_deaths!$D:$D, NP2023_deaths!$A:$A, Keys!$D$3, NP2023_deaths!$B:$B, Keys!$B$3, NP2023_deaths!$C:$C, 2026), 0))+IF(Keys!$E$3="", 0, IFERROR(SUMIFS(NP2023_deaths!$D:$D, NP2023_deaths!$A:$A, Keys!$E$3, NP2023_deaths!$B:$B, Keys!$B$3, NP2023_deaths!$C:$C, 2026), 0))+IF(Keys!$F$3="", 0, IFERROR(SUMIFS(NP2023_deaths!$D:$D, NP2023_deaths!$A:$A, Keys!$F$3, NP2023_deaths!$B:$B, Keys!$B$3, NP2023_deaths!$C:$C, 2026), 0))+IF(Keys!$G$3="", 0, IFERROR(SUMIFS(NP2023_deaths!$D:$D, NP2023_deaths!$A:$A, Keys!$G$3, NP2023_deaths!$B:$B, Keys!$B$3, NP2023_deaths!$C:$C, 2026), 0))+IF(Keys!$H$3="", 0, IFERROR(SUMIFS(NP2023_deaths!$D:$D, NP2023_deaths!$A:$A, Keys!$H$3, NP2023_deaths!$B:$B, Keys!$B$3, NP2023_deaths!$C:$C, 2026), 0))</f>
        <v>1453322</v>
      </c>
      <c r="E19" s="37">
        <f>IF(Keys!$C$3="", 0, IFERROR(SUMIFS(NP2023_deaths!$D:$D, NP2023_deaths!$A:$A, Keys!$C$3, NP2023_deaths!$B:$B, Keys!$B$3, NP2023_deaths!$C:$C, 2027), 0))+IF(Keys!$D$3="", 0, IFERROR(SUMIFS(NP2023_deaths!$D:$D, NP2023_deaths!$A:$A, Keys!$D$3, NP2023_deaths!$B:$B, Keys!$B$3, NP2023_deaths!$C:$C, 2027), 0))+IF(Keys!$E$3="", 0, IFERROR(SUMIFS(NP2023_deaths!$D:$D, NP2023_deaths!$A:$A, Keys!$E$3, NP2023_deaths!$B:$B, Keys!$B$3, NP2023_deaths!$C:$C, 2027), 0))+IF(Keys!$F$3="", 0, IFERROR(SUMIFS(NP2023_deaths!$D:$D, NP2023_deaths!$A:$A, Keys!$F$3, NP2023_deaths!$B:$B, Keys!$B$3, NP2023_deaths!$C:$C, 2027), 0))+IF(Keys!$G$3="", 0, IFERROR(SUMIFS(NP2023_deaths!$D:$D, NP2023_deaths!$A:$A, Keys!$G$3, NP2023_deaths!$B:$B, Keys!$B$3, NP2023_deaths!$C:$C, 2027), 0))+IF(Keys!$H$3="", 0, IFERROR(SUMIFS(NP2023_deaths!$D:$D, NP2023_deaths!$A:$A, Keys!$H$3, NP2023_deaths!$B:$B, Keys!$B$3, NP2023_deaths!$C:$C, 2027), 0))</f>
        <v>1475657</v>
      </c>
      <c r="F19" s="37">
        <f>IF(Keys!$C$3="", 0, IFERROR(SUMIFS(NP2023_deaths!$D:$D, NP2023_deaths!$A:$A, Keys!$C$3, NP2023_deaths!$B:$B, Keys!$B$3, NP2023_deaths!$C:$C, 2028), 0))+IF(Keys!$D$3="", 0, IFERROR(SUMIFS(NP2023_deaths!$D:$D, NP2023_deaths!$A:$A, Keys!$D$3, NP2023_deaths!$B:$B, Keys!$B$3, NP2023_deaths!$C:$C, 2028), 0))+IF(Keys!$E$3="", 0, IFERROR(SUMIFS(NP2023_deaths!$D:$D, NP2023_deaths!$A:$A, Keys!$E$3, NP2023_deaths!$B:$B, Keys!$B$3, NP2023_deaths!$C:$C, 2028), 0))+IF(Keys!$F$3="", 0, IFERROR(SUMIFS(NP2023_deaths!$D:$D, NP2023_deaths!$A:$A, Keys!$F$3, NP2023_deaths!$B:$B, Keys!$B$3, NP2023_deaths!$C:$C, 2028), 0))+IF(Keys!$G$3="", 0, IFERROR(SUMIFS(NP2023_deaths!$D:$D, NP2023_deaths!$A:$A, Keys!$G$3, NP2023_deaths!$B:$B, Keys!$B$3, NP2023_deaths!$C:$C, 2028), 0))+IF(Keys!$H$3="", 0, IFERROR(SUMIFS(NP2023_deaths!$D:$D, NP2023_deaths!$A:$A, Keys!$H$3, NP2023_deaths!$B:$B, Keys!$B$3, NP2023_deaths!$C:$C, 2028), 0))</f>
        <v>1499026</v>
      </c>
      <c r="G19" s="37">
        <f>IF(Keys!$C$3="", 0, IFERROR(SUMIFS(NP2023_deaths!$D:$D, NP2023_deaths!$A:$A, Keys!$C$3, NP2023_deaths!$B:$B, Keys!$B$3, NP2023_deaths!$C:$C, 2029), 0))+IF(Keys!$D$3="", 0, IFERROR(SUMIFS(NP2023_deaths!$D:$D, NP2023_deaths!$A:$A, Keys!$D$3, NP2023_deaths!$B:$B, Keys!$B$3, NP2023_deaths!$C:$C, 2029), 0))+IF(Keys!$E$3="", 0, IFERROR(SUMIFS(NP2023_deaths!$D:$D, NP2023_deaths!$A:$A, Keys!$E$3, NP2023_deaths!$B:$B, Keys!$B$3, NP2023_deaths!$C:$C, 2029), 0))+IF(Keys!$F$3="", 0, IFERROR(SUMIFS(NP2023_deaths!$D:$D, NP2023_deaths!$A:$A, Keys!$F$3, NP2023_deaths!$B:$B, Keys!$B$3, NP2023_deaths!$C:$C, 2029), 0))+IF(Keys!$G$3="", 0, IFERROR(SUMIFS(NP2023_deaths!$D:$D, NP2023_deaths!$A:$A, Keys!$G$3, NP2023_deaths!$B:$B, Keys!$B$3, NP2023_deaths!$C:$C, 2029), 0))+IF(Keys!$H$3="", 0, IFERROR(SUMIFS(NP2023_deaths!$D:$D, NP2023_deaths!$A:$A, Keys!$H$3, NP2023_deaths!$B:$B, Keys!$B$3, NP2023_deaths!$C:$C, 2029), 0))</f>
        <v>1523498</v>
      </c>
      <c r="H19" s="37">
        <f>IF(Keys!$C$3="", 0, IFERROR(SUMIFS(NP2023_deaths!$D:$D, NP2023_deaths!$A:$A, Keys!$C$3, NP2023_deaths!$B:$B, Keys!$B$3, NP2023_deaths!$C:$C, 2030), 0))+IF(Keys!$D$3="", 0, IFERROR(SUMIFS(NP2023_deaths!$D:$D, NP2023_deaths!$A:$A, Keys!$D$3, NP2023_deaths!$B:$B, Keys!$B$3, NP2023_deaths!$C:$C, 2030), 0))+IF(Keys!$E$3="", 0, IFERROR(SUMIFS(NP2023_deaths!$D:$D, NP2023_deaths!$A:$A, Keys!$E$3, NP2023_deaths!$B:$B, Keys!$B$3, NP2023_deaths!$C:$C, 2030), 0))+IF(Keys!$F$3="", 0, IFERROR(SUMIFS(NP2023_deaths!$D:$D, NP2023_deaths!$A:$A, Keys!$F$3, NP2023_deaths!$B:$B, Keys!$B$3, NP2023_deaths!$C:$C, 2030), 0))+IF(Keys!$G$3="", 0, IFERROR(SUMIFS(NP2023_deaths!$D:$D, NP2023_deaths!$A:$A, Keys!$G$3, NP2023_deaths!$B:$B, Keys!$B$3, NP2023_deaths!$C:$C, 2030), 0))+IF(Keys!$H$3="", 0, IFERROR(SUMIFS(NP2023_deaths!$D:$D, NP2023_deaths!$A:$A, Keys!$H$3, NP2023_deaths!$B:$B, Keys!$B$3, NP2023_deaths!$C:$C, 2030), 0))</f>
        <v>1549191</v>
      </c>
      <c r="I19" s="37">
        <f>IF(Keys!$C$3="", 0, IFERROR(SUMIFS(NP2023_deaths!$D:$D, NP2023_deaths!$A:$A, Keys!$C$3, NP2023_deaths!$B:$B, Keys!$B$3, NP2023_deaths!$C:$C, 2031), 0))+IF(Keys!$D$3="", 0, IFERROR(SUMIFS(NP2023_deaths!$D:$D, NP2023_deaths!$A:$A, Keys!$D$3, NP2023_deaths!$B:$B, Keys!$B$3, NP2023_deaths!$C:$C, 2031), 0))+IF(Keys!$E$3="", 0, IFERROR(SUMIFS(NP2023_deaths!$D:$D, NP2023_deaths!$A:$A, Keys!$E$3, NP2023_deaths!$B:$B, Keys!$B$3, NP2023_deaths!$C:$C, 2031), 0))+IF(Keys!$F$3="", 0, IFERROR(SUMIFS(NP2023_deaths!$D:$D, NP2023_deaths!$A:$A, Keys!$F$3, NP2023_deaths!$B:$B, Keys!$B$3, NP2023_deaths!$C:$C, 2031), 0))+IF(Keys!$G$3="", 0, IFERROR(SUMIFS(NP2023_deaths!$D:$D, NP2023_deaths!$A:$A, Keys!$G$3, NP2023_deaths!$B:$B, Keys!$B$3, NP2023_deaths!$C:$C, 2031), 0))+IF(Keys!$H$3="", 0, IFERROR(SUMIFS(NP2023_deaths!$D:$D, NP2023_deaths!$A:$A, Keys!$H$3, NP2023_deaths!$B:$B, Keys!$B$3, NP2023_deaths!$C:$C, 2031), 0))</f>
        <v>1575931</v>
      </c>
      <c r="J19" s="37">
        <f>IF(Keys!$C$3="", 0, IFERROR(SUMIFS(NP2023_deaths!$D:$D, NP2023_deaths!$A:$A, Keys!$C$3, NP2023_deaths!$B:$B, Keys!$B$3, NP2023_deaths!$C:$C, 2032), 0))+IF(Keys!$D$3="", 0, IFERROR(SUMIFS(NP2023_deaths!$D:$D, NP2023_deaths!$A:$A, Keys!$D$3, NP2023_deaths!$B:$B, Keys!$B$3, NP2023_deaths!$C:$C, 2032), 0))+IF(Keys!$E$3="", 0, IFERROR(SUMIFS(NP2023_deaths!$D:$D, NP2023_deaths!$A:$A, Keys!$E$3, NP2023_deaths!$B:$B, Keys!$B$3, NP2023_deaths!$C:$C, 2032), 0))+IF(Keys!$F$3="", 0, IFERROR(SUMIFS(NP2023_deaths!$D:$D, NP2023_deaths!$A:$A, Keys!$F$3, NP2023_deaths!$B:$B, Keys!$B$3, NP2023_deaths!$C:$C, 2032), 0))+IF(Keys!$G$3="", 0, IFERROR(SUMIFS(NP2023_deaths!$D:$D, NP2023_deaths!$A:$A, Keys!$G$3, NP2023_deaths!$B:$B, Keys!$B$3, NP2023_deaths!$C:$C, 2032), 0))+IF(Keys!$H$3="", 0, IFERROR(SUMIFS(NP2023_deaths!$D:$D, NP2023_deaths!$A:$A, Keys!$H$3, NP2023_deaths!$B:$B, Keys!$B$3, NP2023_deaths!$C:$C, 2032), 0))</f>
        <v>1603622</v>
      </c>
      <c r="K19" s="37">
        <f>IF(Keys!$C$3="", 0, IFERROR(SUMIFS(NP2023_deaths!$D:$D, NP2023_deaths!$A:$A, Keys!$C$3, NP2023_deaths!$B:$B, Keys!$B$3, NP2023_deaths!$C:$C, 2033), 0))+IF(Keys!$D$3="", 0, IFERROR(SUMIFS(NP2023_deaths!$D:$D, NP2023_deaths!$A:$A, Keys!$D$3, NP2023_deaths!$B:$B, Keys!$B$3, NP2023_deaths!$C:$C, 2033), 0))+IF(Keys!$E$3="", 0, IFERROR(SUMIFS(NP2023_deaths!$D:$D, NP2023_deaths!$A:$A, Keys!$E$3, NP2023_deaths!$B:$B, Keys!$B$3, NP2023_deaths!$C:$C, 2033), 0))+IF(Keys!$F$3="", 0, IFERROR(SUMIFS(NP2023_deaths!$D:$D, NP2023_deaths!$A:$A, Keys!$F$3, NP2023_deaths!$B:$B, Keys!$B$3, NP2023_deaths!$C:$C, 2033), 0))+IF(Keys!$G$3="", 0, IFERROR(SUMIFS(NP2023_deaths!$D:$D, NP2023_deaths!$A:$A, Keys!$G$3, NP2023_deaths!$B:$B, Keys!$B$3, NP2023_deaths!$C:$C, 2033), 0))+IF(Keys!$H$3="", 0, IFERROR(SUMIFS(NP2023_deaths!$D:$D, NP2023_deaths!$A:$A, Keys!$H$3, NP2023_deaths!$B:$B, Keys!$B$3, NP2023_deaths!$C:$C, 2033), 0))</f>
        <v>1631890</v>
      </c>
      <c r="L19" s="37">
        <f>IF(Keys!$C$3="", 0, IFERROR(SUMIFS(NP2023_deaths!$D:$D, NP2023_deaths!$A:$A, Keys!$C$3, NP2023_deaths!$B:$B, Keys!$B$3, NP2023_deaths!$C:$C, 2034), 0))+IF(Keys!$D$3="", 0, IFERROR(SUMIFS(NP2023_deaths!$D:$D, NP2023_deaths!$A:$A, Keys!$D$3, NP2023_deaths!$B:$B, Keys!$B$3, NP2023_deaths!$C:$C, 2034), 0))+IF(Keys!$E$3="", 0, IFERROR(SUMIFS(NP2023_deaths!$D:$D, NP2023_deaths!$A:$A, Keys!$E$3, NP2023_deaths!$B:$B, Keys!$B$3, NP2023_deaths!$C:$C, 2034), 0))+IF(Keys!$F$3="", 0, IFERROR(SUMIFS(NP2023_deaths!$D:$D, NP2023_deaths!$A:$A, Keys!$F$3, NP2023_deaths!$B:$B, Keys!$B$3, NP2023_deaths!$C:$C, 2034), 0))+IF(Keys!$G$3="", 0, IFERROR(SUMIFS(NP2023_deaths!$D:$D, NP2023_deaths!$A:$A, Keys!$G$3, NP2023_deaths!$B:$B, Keys!$B$3, NP2023_deaths!$C:$C, 2034), 0))+IF(Keys!$H$3="", 0, IFERROR(SUMIFS(NP2023_deaths!$D:$D, NP2023_deaths!$A:$A, Keys!$H$3, NP2023_deaths!$B:$B, Keys!$B$3, NP2023_deaths!$C:$C, 2034), 0))</f>
        <v>1660695</v>
      </c>
      <c r="M19" s="37">
        <f>IF(Keys!$C$3="", 0, IFERROR(SUMIFS(NP2023_deaths!$D:$D, NP2023_deaths!$A:$A, Keys!$C$3, NP2023_deaths!$B:$B, Keys!$B$3, NP2023_deaths!$C:$C, 2035), 0))+IF(Keys!$D$3="", 0, IFERROR(SUMIFS(NP2023_deaths!$D:$D, NP2023_deaths!$A:$A, Keys!$D$3, NP2023_deaths!$B:$B, Keys!$B$3, NP2023_deaths!$C:$C, 2035), 0))+IF(Keys!$E$3="", 0, IFERROR(SUMIFS(NP2023_deaths!$D:$D, NP2023_deaths!$A:$A, Keys!$E$3, NP2023_deaths!$B:$B, Keys!$B$3, NP2023_deaths!$C:$C, 2035), 0))+IF(Keys!$F$3="", 0, IFERROR(SUMIFS(NP2023_deaths!$D:$D, NP2023_deaths!$A:$A, Keys!$F$3, NP2023_deaths!$B:$B, Keys!$B$3, NP2023_deaths!$C:$C, 2035), 0))+IF(Keys!$G$3="", 0, IFERROR(SUMIFS(NP2023_deaths!$D:$D, NP2023_deaths!$A:$A, Keys!$G$3, NP2023_deaths!$B:$B, Keys!$B$3, NP2023_deaths!$C:$C, 2035), 0))+IF(Keys!$H$3="", 0, IFERROR(SUMIFS(NP2023_deaths!$D:$D, NP2023_deaths!$A:$A, Keys!$H$3, NP2023_deaths!$B:$B, Keys!$B$3, NP2023_deaths!$C:$C, 2035), 0))</f>
        <v>1689914</v>
      </c>
      <c r="N19" s="37">
        <f>IF(Keys!$C$3="", 0, IFERROR(SUMIFS(NP2023_deaths!$D:$D, NP2023_deaths!$A:$A, Keys!$C$3, NP2023_deaths!$B:$B, Keys!$B$3, NP2023_deaths!$C:$C, 2036), 0))+IF(Keys!$D$3="", 0, IFERROR(SUMIFS(NP2023_deaths!$D:$D, NP2023_deaths!$A:$A, Keys!$D$3, NP2023_deaths!$B:$B, Keys!$B$3, NP2023_deaths!$C:$C, 2036), 0))+IF(Keys!$E$3="", 0, IFERROR(SUMIFS(NP2023_deaths!$D:$D, NP2023_deaths!$A:$A, Keys!$E$3, NP2023_deaths!$B:$B, Keys!$B$3, NP2023_deaths!$C:$C, 2036), 0))+IF(Keys!$F$3="", 0, IFERROR(SUMIFS(NP2023_deaths!$D:$D, NP2023_deaths!$A:$A, Keys!$F$3, NP2023_deaths!$B:$B, Keys!$B$3, NP2023_deaths!$C:$C, 2036), 0))+IF(Keys!$G$3="", 0, IFERROR(SUMIFS(NP2023_deaths!$D:$D, NP2023_deaths!$A:$A, Keys!$G$3, NP2023_deaths!$B:$B, Keys!$B$3, NP2023_deaths!$C:$C, 2036), 0))+IF(Keys!$H$3="", 0, IFERROR(SUMIFS(NP2023_deaths!$D:$D, NP2023_deaths!$A:$A, Keys!$H$3, NP2023_deaths!$B:$B, Keys!$B$3, NP2023_deaths!$C:$C, 2036), 0))</f>
        <v>1719175</v>
      </c>
      <c r="O19" s="37">
        <f>IF(Keys!$C$3="", 0, IFERROR(SUMIFS(NP2023_deaths!$D:$D, NP2023_deaths!$A:$A, Keys!$C$3, NP2023_deaths!$B:$B, Keys!$B$3, NP2023_deaths!$C:$C, 2037), 0))+IF(Keys!$D$3="", 0, IFERROR(SUMIFS(NP2023_deaths!$D:$D, NP2023_deaths!$A:$A, Keys!$D$3, NP2023_deaths!$B:$B, Keys!$B$3, NP2023_deaths!$C:$C, 2037), 0))+IF(Keys!$E$3="", 0, IFERROR(SUMIFS(NP2023_deaths!$D:$D, NP2023_deaths!$A:$A, Keys!$E$3, NP2023_deaths!$B:$B, Keys!$B$3, NP2023_deaths!$C:$C, 2037), 0))+IF(Keys!$F$3="", 0, IFERROR(SUMIFS(NP2023_deaths!$D:$D, NP2023_deaths!$A:$A, Keys!$F$3, NP2023_deaths!$B:$B, Keys!$B$3, NP2023_deaths!$C:$C, 2037), 0))+IF(Keys!$G$3="", 0, IFERROR(SUMIFS(NP2023_deaths!$D:$D, NP2023_deaths!$A:$A, Keys!$G$3, NP2023_deaths!$B:$B, Keys!$B$3, NP2023_deaths!$C:$C, 2037), 0))+IF(Keys!$H$3="", 0, IFERROR(SUMIFS(NP2023_deaths!$D:$D, NP2023_deaths!$A:$A, Keys!$H$3, NP2023_deaths!$B:$B, Keys!$B$3, NP2023_deaths!$C:$C, 2037), 0))</f>
        <v>1748131</v>
      </c>
      <c r="P19" s="37">
        <f>IF(Keys!$C$3="", 0, IFERROR(SUMIFS(NP2023_deaths!$D:$D, NP2023_deaths!$A:$A, Keys!$C$3, NP2023_deaths!$B:$B, Keys!$B$3, NP2023_deaths!$C:$C, 2038), 0))+IF(Keys!$D$3="", 0, IFERROR(SUMIFS(NP2023_deaths!$D:$D, NP2023_deaths!$A:$A, Keys!$D$3, NP2023_deaths!$B:$B, Keys!$B$3, NP2023_deaths!$C:$C, 2038), 0))+IF(Keys!$E$3="", 0, IFERROR(SUMIFS(NP2023_deaths!$D:$D, NP2023_deaths!$A:$A, Keys!$E$3, NP2023_deaths!$B:$B, Keys!$B$3, NP2023_deaths!$C:$C, 2038), 0))+IF(Keys!$F$3="", 0, IFERROR(SUMIFS(NP2023_deaths!$D:$D, NP2023_deaths!$A:$A, Keys!$F$3, NP2023_deaths!$B:$B, Keys!$B$3, NP2023_deaths!$C:$C, 2038), 0))+IF(Keys!$G$3="", 0, IFERROR(SUMIFS(NP2023_deaths!$D:$D, NP2023_deaths!$A:$A, Keys!$G$3, NP2023_deaths!$B:$B, Keys!$B$3, NP2023_deaths!$C:$C, 2038), 0))+IF(Keys!$H$3="", 0, IFERROR(SUMIFS(NP2023_deaths!$D:$D, NP2023_deaths!$A:$A, Keys!$H$3, NP2023_deaths!$B:$B, Keys!$B$3, NP2023_deaths!$C:$C, 2038), 0))</f>
        <v>1776678</v>
      </c>
      <c r="Q19" s="37">
        <f>IF(Keys!$C$3="", 0, IFERROR(SUMIFS(NP2023_deaths!$D:$D, NP2023_deaths!$A:$A, Keys!$C$3, NP2023_deaths!$B:$B, Keys!$B$3, NP2023_deaths!$C:$C, 2039), 0))+IF(Keys!$D$3="", 0, IFERROR(SUMIFS(NP2023_deaths!$D:$D, NP2023_deaths!$A:$A, Keys!$D$3, NP2023_deaths!$B:$B, Keys!$B$3, NP2023_deaths!$C:$C, 2039), 0))+IF(Keys!$E$3="", 0, IFERROR(SUMIFS(NP2023_deaths!$D:$D, NP2023_deaths!$A:$A, Keys!$E$3, NP2023_deaths!$B:$B, Keys!$B$3, NP2023_deaths!$C:$C, 2039), 0))+IF(Keys!$F$3="", 0, IFERROR(SUMIFS(NP2023_deaths!$D:$D, NP2023_deaths!$A:$A, Keys!$F$3, NP2023_deaths!$B:$B, Keys!$B$3, NP2023_deaths!$C:$C, 2039), 0))+IF(Keys!$G$3="", 0, IFERROR(SUMIFS(NP2023_deaths!$D:$D, NP2023_deaths!$A:$A, Keys!$G$3, NP2023_deaths!$B:$B, Keys!$B$3, NP2023_deaths!$C:$C, 2039), 0))+IF(Keys!$H$3="", 0, IFERROR(SUMIFS(NP2023_deaths!$D:$D, NP2023_deaths!$A:$A, Keys!$H$3, NP2023_deaths!$B:$B, Keys!$B$3, NP2023_deaths!$C:$C, 2039), 0))</f>
        <v>1804331</v>
      </c>
      <c r="R19" s="37">
        <f>IF(Keys!$C$3="", 0, IFERROR(SUMIFS(NP2023_deaths!$D:$D, NP2023_deaths!$A:$A, Keys!$C$3, NP2023_deaths!$B:$B, Keys!$B$3, NP2023_deaths!$C:$C, 2040), 0))+IF(Keys!$D$3="", 0, IFERROR(SUMIFS(NP2023_deaths!$D:$D, NP2023_deaths!$A:$A, Keys!$D$3, NP2023_deaths!$B:$B, Keys!$B$3, NP2023_deaths!$C:$C, 2040), 0))+IF(Keys!$E$3="", 0, IFERROR(SUMIFS(NP2023_deaths!$D:$D, NP2023_deaths!$A:$A, Keys!$E$3, NP2023_deaths!$B:$B, Keys!$B$3, NP2023_deaths!$C:$C, 2040), 0))+IF(Keys!$F$3="", 0, IFERROR(SUMIFS(NP2023_deaths!$D:$D, NP2023_deaths!$A:$A, Keys!$F$3, NP2023_deaths!$B:$B, Keys!$B$3, NP2023_deaths!$C:$C, 2040), 0))+IF(Keys!$G$3="", 0, IFERROR(SUMIFS(NP2023_deaths!$D:$D, NP2023_deaths!$A:$A, Keys!$G$3, NP2023_deaths!$B:$B, Keys!$B$3, NP2023_deaths!$C:$C, 2040), 0))+IF(Keys!$H$3="", 0, IFERROR(SUMIFS(NP2023_deaths!$D:$D, NP2023_deaths!$A:$A, Keys!$H$3, NP2023_deaths!$B:$B, Keys!$B$3, NP2023_deaths!$C:$C, 2040), 0))</f>
        <v>1830939</v>
      </c>
      <c r="S19" s="37">
        <f>IF(Keys!$C$3="", 0, IFERROR(SUMIFS(NP2023_deaths!$D:$D, NP2023_deaths!$A:$A, Keys!$C$3, NP2023_deaths!$B:$B, Keys!$B$3, NP2023_deaths!$C:$C, 2041), 0))+IF(Keys!$D$3="", 0, IFERROR(SUMIFS(NP2023_deaths!$D:$D, NP2023_deaths!$A:$A, Keys!$D$3, NP2023_deaths!$B:$B, Keys!$B$3, NP2023_deaths!$C:$C, 2041), 0))+IF(Keys!$E$3="", 0, IFERROR(SUMIFS(NP2023_deaths!$D:$D, NP2023_deaths!$A:$A, Keys!$E$3, NP2023_deaths!$B:$B, Keys!$B$3, NP2023_deaths!$C:$C, 2041), 0))+IF(Keys!$F$3="", 0, IFERROR(SUMIFS(NP2023_deaths!$D:$D, NP2023_deaths!$A:$A, Keys!$F$3, NP2023_deaths!$B:$B, Keys!$B$3, NP2023_deaths!$C:$C, 2041), 0))+IF(Keys!$G$3="", 0, IFERROR(SUMIFS(NP2023_deaths!$D:$D, NP2023_deaths!$A:$A, Keys!$G$3, NP2023_deaths!$B:$B, Keys!$B$3, NP2023_deaths!$C:$C, 2041), 0))+IF(Keys!$H$3="", 0, IFERROR(SUMIFS(NP2023_deaths!$D:$D, NP2023_deaths!$A:$A, Keys!$H$3, NP2023_deaths!$B:$B, Keys!$B$3, NP2023_deaths!$C:$C, 2041), 0))</f>
        <v>1856171</v>
      </c>
      <c r="T19" s="37">
        <f>IF(Keys!$C$3="", 0, IFERROR(SUMIFS(NP2023_deaths!$D:$D, NP2023_deaths!$A:$A, Keys!$C$3, NP2023_deaths!$B:$B, Keys!$B$3, NP2023_deaths!$C:$C, 2042), 0))+IF(Keys!$D$3="", 0, IFERROR(SUMIFS(NP2023_deaths!$D:$D, NP2023_deaths!$A:$A, Keys!$D$3, NP2023_deaths!$B:$B, Keys!$B$3, NP2023_deaths!$C:$C, 2042), 0))+IF(Keys!$E$3="", 0, IFERROR(SUMIFS(NP2023_deaths!$D:$D, NP2023_deaths!$A:$A, Keys!$E$3, NP2023_deaths!$B:$B, Keys!$B$3, NP2023_deaths!$C:$C, 2042), 0))+IF(Keys!$F$3="", 0, IFERROR(SUMIFS(NP2023_deaths!$D:$D, NP2023_deaths!$A:$A, Keys!$F$3, NP2023_deaths!$B:$B, Keys!$B$3, NP2023_deaths!$C:$C, 2042), 0))+IF(Keys!$G$3="", 0, IFERROR(SUMIFS(NP2023_deaths!$D:$D, NP2023_deaths!$A:$A, Keys!$G$3, NP2023_deaths!$B:$B, Keys!$B$3, NP2023_deaths!$C:$C, 2042), 0))+IF(Keys!$H$3="", 0, IFERROR(SUMIFS(NP2023_deaths!$D:$D, NP2023_deaths!$A:$A, Keys!$H$3, NP2023_deaths!$B:$B, Keys!$B$3, NP2023_deaths!$C:$C, 2042), 0))</f>
        <v>1879892</v>
      </c>
      <c r="U19" s="37">
        <f>IF(Keys!$C$3="", 0, IFERROR(SUMIFS(NP2023_deaths!$D:$D, NP2023_deaths!$A:$A, Keys!$C$3, NP2023_deaths!$B:$B, Keys!$B$3, NP2023_deaths!$C:$C, 2043), 0))+IF(Keys!$D$3="", 0, IFERROR(SUMIFS(NP2023_deaths!$D:$D, NP2023_deaths!$A:$A, Keys!$D$3, NP2023_deaths!$B:$B, Keys!$B$3, NP2023_deaths!$C:$C, 2043), 0))+IF(Keys!$E$3="", 0, IFERROR(SUMIFS(NP2023_deaths!$D:$D, NP2023_deaths!$A:$A, Keys!$E$3, NP2023_deaths!$B:$B, Keys!$B$3, NP2023_deaths!$C:$C, 2043), 0))+IF(Keys!$F$3="", 0, IFERROR(SUMIFS(NP2023_deaths!$D:$D, NP2023_deaths!$A:$A, Keys!$F$3, NP2023_deaths!$B:$B, Keys!$B$3, NP2023_deaths!$C:$C, 2043), 0))+IF(Keys!$G$3="", 0, IFERROR(SUMIFS(NP2023_deaths!$D:$D, NP2023_deaths!$A:$A, Keys!$G$3, NP2023_deaths!$B:$B, Keys!$B$3, NP2023_deaths!$C:$C, 2043), 0))+IF(Keys!$H$3="", 0, IFERROR(SUMIFS(NP2023_deaths!$D:$D, NP2023_deaths!$A:$A, Keys!$H$3, NP2023_deaths!$B:$B, Keys!$B$3, NP2023_deaths!$C:$C, 2043), 0))</f>
        <v>1901934</v>
      </c>
      <c r="V19" s="37">
        <f>IF(Keys!$C$3="", 0, IFERROR(SUMIFS(NP2023_deaths!$D:$D, NP2023_deaths!$A:$A, Keys!$C$3, NP2023_deaths!$B:$B, Keys!$B$3, NP2023_deaths!$C:$C, 2044), 0))+IF(Keys!$D$3="", 0, IFERROR(SUMIFS(NP2023_deaths!$D:$D, NP2023_deaths!$A:$A, Keys!$D$3, NP2023_deaths!$B:$B, Keys!$B$3, NP2023_deaths!$C:$C, 2044), 0))+IF(Keys!$E$3="", 0, IFERROR(SUMIFS(NP2023_deaths!$D:$D, NP2023_deaths!$A:$A, Keys!$E$3, NP2023_deaths!$B:$B, Keys!$B$3, NP2023_deaths!$C:$C, 2044), 0))+IF(Keys!$F$3="", 0, IFERROR(SUMIFS(NP2023_deaths!$D:$D, NP2023_deaths!$A:$A, Keys!$F$3, NP2023_deaths!$B:$B, Keys!$B$3, NP2023_deaths!$C:$C, 2044), 0))+IF(Keys!$G$3="", 0, IFERROR(SUMIFS(NP2023_deaths!$D:$D, NP2023_deaths!$A:$A, Keys!$G$3, NP2023_deaths!$B:$B, Keys!$B$3, NP2023_deaths!$C:$C, 2044), 0))+IF(Keys!$H$3="", 0, IFERROR(SUMIFS(NP2023_deaths!$D:$D, NP2023_deaths!$A:$A, Keys!$H$3, NP2023_deaths!$B:$B, Keys!$B$3, NP2023_deaths!$C:$C, 2044), 0))</f>
        <v>1921880</v>
      </c>
      <c r="W19" s="37">
        <f>IF(Keys!$C$3="", 0, IFERROR(SUMIFS(NP2023_deaths!$D:$D, NP2023_deaths!$A:$A, Keys!$C$3, NP2023_deaths!$B:$B, Keys!$B$3, NP2023_deaths!$C:$C, 2045), 0))+IF(Keys!$D$3="", 0, IFERROR(SUMIFS(NP2023_deaths!$D:$D, NP2023_deaths!$A:$A, Keys!$D$3, NP2023_deaths!$B:$B, Keys!$B$3, NP2023_deaths!$C:$C, 2045), 0))+IF(Keys!$E$3="", 0, IFERROR(SUMIFS(NP2023_deaths!$D:$D, NP2023_deaths!$A:$A, Keys!$E$3, NP2023_deaths!$B:$B, Keys!$B$3, NP2023_deaths!$C:$C, 2045), 0))+IF(Keys!$F$3="", 0, IFERROR(SUMIFS(NP2023_deaths!$D:$D, NP2023_deaths!$A:$A, Keys!$F$3, NP2023_deaths!$B:$B, Keys!$B$3, NP2023_deaths!$C:$C, 2045), 0))+IF(Keys!$G$3="", 0, IFERROR(SUMIFS(NP2023_deaths!$D:$D, NP2023_deaths!$A:$A, Keys!$G$3, NP2023_deaths!$B:$B, Keys!$B$3, NP2023_deaths!$C:$C, 2045), 0))+IF(Keys!$H$3="", 0, IFERROR(SUMIFS(NP2023_deaths!$D:$D, NP2023_deaths!$A:$A, Keys!$H$3, NP2023_deaths!$B:$B, Keys!$B$3, NP2023_deaths!$C:$C, 2045), 0))</f>
        <v>1939357</v>
      </c>
      <c r="X19" s="37">
        <f>IF(Keys!$C$3="", 0, IFERROR(SUMIFS(NP2023_deaths!$D:$D, NP2023_deaths!$A:$A, Keys!$C$3, NP2023_deaths!$B:$B, Keys!$B$3, NP2023_deaths!$C:$C, 2046), 0))+IF(Keys!$D$3="", 0, IFERROR(SUMIFS(NP2023_deaths!$D:$D, NP2023_deaths!$A:$A, Keys!$D$3, NP2023_deaths!$B:$B, Keys!$B$3, NP2023_deaths!$C:$C, 2046), 0))+IF(Keys!$E$3="", 0, IFERROR(SUMIFS(NP2023_deaths!$D:$D, NP2023_deaths!$A:$A, Keys!$E$3, NP2023_deaths!$B:$B, Keys!$B$3, NP2023_deaths!$C:$C, 2046), 0))+IF(Keys!$F$3="", 0, IFERROR(SUMIFS(NP2023_deaths!$D:$D, NP2023_deaths!$A:$A, Keys!$F$3, NP2023_deaths!$B:$B, Keys!$B$3, NP2023_deaths!$C:$C, 2046), 0))+IF(Keys!$G$3="", 0, IFERROR(SUMIFS(NP2023_deaths!$D:$D, NP2023_deaths!$A:$A, Keys!$G$3, NP2023_deaths!$B:$B, Keys!$B$3, NP2023_deaths!$C:$C, 2046), 0))+IF(Keys!$H$3="", 0, IFERROR(SUMIFS(NP2023_deaths!$D:$D, NP2023_deaths!$A:$A, Keys!$H$3, NP2023_deaths!$B:$B, Keys!$B$3, NP2023_deaths!$C:$C, 2046), 0))</f>
        <v>1954481</v>
      </c>
      <c r="Y19" s="37">
        <f>IF(Keys!$C$3="", 0, IFERROR(SUMIFS(NP2023_deaths!$D:$D, NP2023_deaths!$A:$A, Keys!$C$3, NP2023_deaths!$B:$B, Keys!$B$3, NP2023_deaths!$C:$C, 2047), 0))+IF(Keys!$D$3="", 0, IFERROR(SUMIFS(NP2023_deaths!$D:$D, NP2023_deaths!$A:$A, Keys!$D$3, NP2023_deaths!$B:$B, Keys!$B$3, NP2023_deaths!$C:$C, 2047), 0))+IF(Keys!$E$3="", 0, IFERROR(SUMIFS(NP2023_deaths!$D:$D, NP2023_deaths!$A:$A, Keys!$E$3, NP2023_deaths!$B:$B, Keys!$B$3, NP2023_deaths!$C:$C, 2047), 0))+IF(Keys!$F$3="", 0, IFERROR(SUMIFS(NP2023_deaths!$D:$D, NP2023_deaths!$A:$A, Keys!$F$3, NP2023_deaths!$B:$B, Keys!$B$3, NP2023_deaths!$C:$C, 2047), 0))+IF(Keys!$G$3="", 0, IFERROR(SUMIFS(NP2023_deaths!$D:$D, NP2023_deaths!$A:$A, Keys!$G$3, NP2023_deaths!$B:$B, Keys!$B$3, NP2023_deaths!$C:$C, 2047), 0))+IF(Keys!$H$3="", 0, IFERROR(SUMIFS(NP2023_deaths!$D:$D, NP2023_deaths!$A:$A, Keys!$H$3, NP2023_deaths!$B:$B, Keys!$B$3, NP2023_deaths!$C:$C, 2047), 0))</f>
        <v>1968172</v>
      </c>
      <c r="Z19" s="37">
        <f>IF(Keys!$C$3="", 0, IFERROR(SUMIFS(NP2023_deaths!$D:$D, NP2023_deaths!$A:$A, Keys!$C$3, NP2023_deaths!$B:$B, Keys!$B$3, NP2023_deaths!$C:$C, 2048), 0))+IF(Keys!$D$3="", 0, IFERROR(SUMIFS(NP2023_deaths!$D:$D, NP2023_deaths!$A:$A, Keys!$D$3, NP2023_deaths!$B:$B, Keys!$B$3, NP2023_deaths!$C:$C, 2048), 0))+IF(Keys!$E$3="", 0, IFERROR(SUMIFS(NP2023_deaths!$D:$D, NP2023_deaths!$A:$A, Keys!$E$3, NP2023_deaths!$B:$B, Keys!$B$3, NP2023_deaths!$C:$C, 2048), 0))+IF(Keys!$F$3="", 0, IFERROR(SUMIFS(NP2023_deaths!$D:$D, NP2023_deaths!$A:$A, Keys!$F$3, NP2023_deaths!$B:$B, Keys!$B$3, NP2023_deaths!$C:$C, 2048), 0))+IF(Keys!$G$3="", 0, IFERROR(SUMIFS(NP2023_deaths!$D:$D, NP2023_deaths!$A:$A, Keys!$G$3, NP2023_deaths!$B:$B, Keys!$B$3, NP2023_deaths!$C:$C, 2048), 0))+IF(Keys!$H$3="", 0, IFERROR(SUMIFS(NP2023_deaths!$D:$D, NP2023_deaths!$A:$A, Keys!$H$3, NP2023_deaths!$B:$B, Keys!$B$3, NP2023_deaths!$C:$C, 2048), 0))</f>
        <v>1979598</v>
      </c>
      <c r="AA19" s="37">
        <f>IF(Keys!$C$3="", 0, IFERROR(SUMIFS(NP2023_deaths!$D:$D, NP2023_deaths!$A:$A, Keys!$C$3, NP2023_deaths!$B:$B, Keys!$B$3, NP2023_deaths!$C:$C, 2049), 0))+IF(Keys!$D$3="", 0, IFERROR(SUMIFS(NP2023_deaths!$D:$D, NP2023_deaths!$A:$A, Keys!$D$3, NP2023_deaths!$B:$B, Keys!$B$3, NP2023_deaths!$C:$C, 2049), 0))+IF(Keys!$E$3="", 0, IFERROR(SUMIFS(NP2023_deaths!$D:$D, NP2023_deaths!$A:$A, Keys!$E$3, NP2023_deaths!$B:$B, Keys!$B$3, NP2023_deaths!$C:$C, 2049), 0))+IF(Keys!$F$3="", 0, IFERROR(SUMIFS(NP2023_deaths!$D:$D, NP2023_deaths!$A:$A, Keys!$F$3, NP2023_deaths!$B:$B, Keys!$B$3, NP2023_deaths!$C:$C, 2049), 0))+IF(Keys!$G$3="", 0, IFERROR(SUMIFS(NP2023_deaths!$D:$D, NP2023_deaths!$A:$A, Keys!$G$3, NP2023_deaths!$B:$B, Keys!$B$3, NP2023_deaths!$C:$C, 2049), 0))+IF(Keys!$H$3="", 0, IFERROR(SUMIFS(NP2023_deaths!$D:$D, NP2023_deaths!$A:$A, Keys!$H$3, NP2023_deaths!$B:$B, Keys!$B$3, NP2023_deaths!$C:$C, 2049), 0))</f>
        <v>1988476</v>
      </c>
      <c r="AB19" s="37">
        <f>IF(Keys!$C$3="", 0, IFERROR(SUMIFS(NP2023_deaths!$D:$D, NP2023_deaths!$A:$A, Keys!$C$3, NP2023_deaths!$B:$B, Keys!$B$3, NP2023_deaths!$C:$C, 2050), 0))+IF(Keys!$D$3="", 0, IFERROR(SUMIFS(NP2023_deaths!$D:$D, NP2023_deaths!$A:$A, Keys!$D$3, NP2023_deaths!$B:$B, Keys!$B$3, NP2023_deaths!$C:$C, 2050), 0))+IF(Keys!$E$3="", 0, IFERROR(SUMIFS(NP2023_deaths!$D:$D, NP2023_deaths!$A:$A, Keys!$E$3, NP2023_deaths!$B:$B, Keys!$B$3, NP2023_deaths!$C:$C, 2050), 0))+IF(Keys!$F$3="", 0, IFERROR(SUMIFS(NP2023_deaths!$D:$D, NP2023_deaths!$A:$A, Keys!$F$3, NP2023_deaths!$B:$B, Keys!$B$3, NP2023_deaths!$C:$C, 2050), 0))+IF(Keys!$G$3="", 0, IFERROR(SUMIFS(NP2023_deaths!$D:$D, NP2023_deaths!$A:$A, Keys!$G$3, NP2023_deaths!$B:$B, Keys!$B$3, NP2023_deaths!$C:$C, 2050), 0))+IF(Keys!$H$3="", 0, IFERROR(SUMIFS(NP2023_deaths!$D:$D, NP2023_deaths!$A:$A, Keys!$H$3, NP2023_deaths!$B:$B, Keys!$B$3, NP2023_deaths!$C:$C, 2050), 0))</f>
        <v>1994860</v>
      </c>
    </row>
    <row r="20" spans="1:28" x14ac:dyDescent="0.25">
      <c r="A20" s="4" t="s">
        <v>217</v>
      </c>
      <c r="B20" s="37">
        <f>IF(Keys!$C$4="", 0, IFERROR(SUMIFS(NP2023_deaths!$D:$D, NP2023_deaths!$A:$A, Keys!$C$4, NP2023_deaths!$B:$B, Keys!$B$4, NP2023_deaths!$C:$C, 2024), 0))+IF(Keys!$D$4="", 0, IFERROR(SUMIFS(NP2023_deaths!$D:$D, NP2023_deaths!$A:$A, Keys!$D$4, NP2023_deaths!$B:$B, Keys!$B$4, NP2023_deaths!$C:$C, 2024), 0))+IF(Keys!$E$4="", 0, IFERROR(SUMIFS(NP2023_deaths!$D:$D, NP2023_deaths!$A:$A, Keys!$E$4, NP2023_deaths!$B:$B, Keys!$B$4, NP2023_deaths!$C:$C, 2024), 0))+IF(Keys!$F$4="", 0, IFERROR(SUMIFS(NP2023_deaths!$D:$D, NP2023_deaths!$A:$A, Keys!$F$4, NP2023_deaths!$B:$B, Keys!$B$4, NP2023_deaths!$C:$C, 2024), 0))+IF(Keys!$G$4="", 0, IFERROR(SUMIFS(NP2023_deaths!$D:$D, NP2023_deaths!$A:$A, Keys!$G$4, NP2023_deaths!$B:$B, Keys!$B$4, NP2023_deaths!$C:$C, 2024), 0))+IF(Keys!$H$4="", 0, IFERROR(SUMIFS(NP2023_deaths!$D:$D, NP2023_deaths!$A:$A, Keys!$H$4, NP2023_deaths!$B:$B, Keys!$B$4, NP2023_deaths!$C:$C, 2024), 0))</f>
        <v>2354064</v>
      </c>
      <c r="C20" s="37">
        <f>IF(Keys!$C$4="", 0, IFERROR(SUMIFS(NP2023_deaths!$D:$D, NP2023_deaths!$A:$A, Keys!$C$4, NP2023_deaths!$B:$B, Keys!$B$4, NP2023_deaths!$C:$C, 2025), 0))+IF(Keys!$D$4="", 0, IFERROR(SUMIFS(NP2023_deaths!$D:$D, NP2023_deaths!$A:$A, Keys!$D$4, NP2023_deaths!$B:$B, Keys!$B$4, NP2023_deaths!$C:$C, 2025), 0))+IF(Keys!$E$4="", 0, IFERROR(SUMIFS(NP2023_deaths!$D:$D, NP2023_deaths!$A:$A, Keys!$E$4, NP2023_deaths!$B:$B, Keys!$B$4, NP2023_deaths!$C:$C, 2025), 0))+IF(Keys!$F$4="", 0, IFERROR(SUMIFS(NP2023_deaths!$D:$D, NP2023_deaths!$A:$A, Keys!$F$4, NP2023_deaths!$B:$B, Keys!$B$4, NP2023_deaths!$C:$C, 2025), 0))+IF(Keys!$G$4="", 0, IFERROR(SUMIFS(NP2023_deaths!$D:$D, NP2023_deaths!$A:$A, Keys!$G$4, NP2023_deaths!$B:$B, Keys!$B$4, NP2023_deaths!$C:$C, 2025), 0))+IF(Keys!$H$4="", 0, IFERROR(SUMIFS(NP2023_deaths!$D:$D, NP2023_deaths!$A:$A, Keys!$H$4, NP2023_deaths!$B:$B, Keys!$B$4, NP2023_deaths!$C:$C, 2025), 0))</f>
        <v>2393222</v>
      </c>
      <c r="D20" s="37">
        <f>IF(Keys!$C$4="", 0, IFERROR(SUMIFS(NP2023_deaths!$D:$D, NP2023_deaths!$A:$A, Keys!$C$4, NP2023_deaths!$B:$B, Keys!$B$4, NP2023_deaths!$C:$C, 2026), 0))+IF(Keys!$D$4="", 0, IFERROR(SUMIFS(NP2023_deaths!$D:$D, NP2023_deaths!$A:$A, Keys!$D$4, NP2023_deaths!$B:$B, Keys!$B$4, NP2023_deaths!$C:$C, 2026), 0))+IF(Keys!$E$4="", 0, IFERROR(SUMIFS(NP2023_deaths!$D:$D, NP2023_deaths!$A:$A, Keys!$E$4, NP2023_deaths!$B:$B, Keys!$B$4, NP2023_deaths!$C:$C, 2026), 0))+IF(Keys!$F$4="", 0, IFERROR(SUMIFS(NP2023_deaths!$D:$D, NP2023_deaths!$A:$A, Keys!$F$4, NP2023_deaths!$B:$B, Keys!$B$4, NP2023_deaths!$C:$C, 2026), 0))+IF(Keys!$G$4="", 0, IFERROR(SUMIFS(NP2023_deaths!$D:$D, NP2023_deaths!$A:$A, Keys!$G$4, NP2023_deaths!$B:$B, Keys!$B$4, NP2023_deaths!$C:$C, 2026), 0))+IF(Keys!$H$4="", 0, IFERROR(SUMIFS(NP2023_deaths!$D:$D, NP2023_deaths!$A:$A, Keys!$H$4, NP2023_deaths!$B:$B, Keys!$B$4, NP2023_deaths!$C:$C, 2026), 0))</f>
        <v>2431915</v>
      </c>
      <c r="E20" s="37">
        <f>IF(Keys!$C$4="", 0, IFERROR(SUMIFS(NP2023_deaths!$D:$D, NP2023_deaths!$A:$A, Keys!$C$4, NP2023_deaths!$B:$B, Keys!$B$4, NP2023_deaths!$C:$C, 2027), 0))+IF(Keys!$D$4="", 0, IFERROR(SUMIFS(NP2023_deaths!$D:$D, NP2023_deaths!$A:$A, Keys!$D$4, NP2023_deaths!$B:$B, Keys!$B$4, NP2023_deaths!$C:$C, 2027), 0))+IF(Keys!$E$4="", 0, IFERROR(SUMIFS(NP2023_deaths!$D:$D, NP2023_deaths!$A:$A, Keys!$E$4, NP2023_deaths!$B:$B, Keys!$B$4, NP2023_deaths!$C:$C, 2027), 0))+IF(Keys!$F$4="", 0, IFERROR(SUMIFS(NP2023_deaths!$D:$D, NP2023_deaths!$A:$A, Keys!$F$4, NP2023_deaths!$B:$B, Keys!$B$4, NP2023_deaths!$C:$C, 2027), 0))+IF(Keys!$G$4="", 0, IFERROR(SUMIFS(NP2023_deaths!$D:$D, NP2023_deaths!$A:$A, Keys!$G$4, NP2023_deaths!$B:$B, Keys!$B$4, NP2023_deaths!$C:$C, 2027), 0))+IF(Keys!$H$4="", 0, IFERROR(SUMIFS(NP2023_deaths!$D:$D, NP2023_deaths!$A:$A, Keys!$H$4, NP2023_deaths!$B:$B, Keys!$B$4, NP2023_deaths!$C:$C, 2027), 0))</f>
        <v>2470805</v>
      </c>
      <c r="F20" s="37">
        <f>IF(Keys!$C$4="", 0, IFERROR(SUMIFS(NP2023_deaths!$D:$D, NP2023_deaths!$A:$A, Keys!$C$4, NP2023_deaths!$B:$B, Keys!$B$4, NP2023_deaths!$C:$C, 2028), 0))+IF(Keys!$D$4="", 0, IFERROR(SUMIFS(NP2023_deaths!$D:$D, NP2023_deaths!$A:$A, Keys!$D$4, NP2023_deaths!$B:$B, Keys!$B$4, NP2023_deaths!$C:$C, 2028), 0))+IF(Keys!$E$4="", 0, IFERROR(SUMIFS(NP2023_deaths!$D:$D, NP2023_deaths!$A:$A, Keys!$E$4, NP2023_deaths!$B:$B, Keys!$B$4, NP2023_deaths!$C:$C, 2028), 0))+IF(Keys!$F$4="", 0, IFERROR(SUMIFS(NP2023_deaths!$D:$D, NP2023_deaths!$A:$A, Keys!$F$4, NP2023_deaths!$B:$B, Keys!$B$4, NP2023_deaths!$C:$C, 2028), 0))+IF(Keys!$G$4="", 0, IFERROR(SUMIFS(NP2023_deaths!$D:$D, NP2023_deaths!$A:$A, Keys!$G$4, NP2023_deaths!$B:$B, Keys!$B$4, NP2023_deaths!$C:$C, 2028), 0))+IF(Keys!$H$4="", 0, IFERROR(SUMIFS(NP2023_deaths!$D:$D, NP2023_deaths!$A:$A, Keys!$H$4, NP2023_deaths!$B:$B, Keys!$B$4, NP2023_deaths!$C:$C, 2028), 0))</f>
        <v>2510363</v>
      </c>
      <c r="G20" s="37">
        <f>IF(Keys!$C$4="", 0, IFERROR(SUMIFS(NP2023_deaths!$D:$D, NP2023_deaths!$A:$A, Keys!$C$4, NP2023_deaths!$B:$B, Keys!$B$4, NP2023_deaths!$C:$C, 2029), 0))+IF(Keys!$D$4="", 0, IFERROR(SUMIFS(NP2023_deaths!$D:$D, NP2023_deaths!$A:$A, Keys!$D$4, NP2023_deaths!$B:$B, Keys!$B$4, NP2023_deaths!$C:$C, 2029), 0))+IF(Keys!$E$4="", 0, IFERROR(SUMIFS(NP2023_deaths!$D:$D, NP2023_deaths!$A:$A, Keys!$E$4, NP2023_deaths!$B:$B, Keys!$B$4, NP2023_deaths!$C:$C, 2029), 0))+IF(Keys!$F$4="", 0, IFERROR(SUMIFS(NP2023_deaths!$D:$D, NP2023_deaths!$A:$A, Keys!$F$4, NP2023_deaths!$B:$B, Keys!$B$4, NP2023_deaths!$C:$C, 2029), 0))+IF(Keys!$G$4="", 0, IFERROR(SUMIFS(NP2023_deaths!$D:$D, NP2023_deaths!$A:$A, Keys!$G$4, NP2023_deaths!$B:$B, Keys!$B$4, NP2023_deaths!$C:$C, 2029), 0))+IF(Keys!$H$4="", 0, IFERROR(SUMIFS(NP2023_deaths!$D:$D, NP2023_deaths!$A:$A, Keys!$H$4, NP2023_deaths!$B:$B, Keys!$B$4, NP2023_deaths!$C:$C, 2029), 0))</f>
        <v>2550579</v>
      </c>
      <c r="H20" s="37">
        <f>IF(Keys!$C$4="", 0, IFERROR(SUMIFS(NP2023_deaths!$D:$D, NP2023_deaths!$A:$A, Keys!$C$4, NP2023_deaths!$B:$B, Keys!$B$4, NP2023_deaths!$C:$C, 2030), 0))+IF(Keys!$D$4="", 0, IFERROR(SUMIFS(NP2023_deaths!$D:$D, NP2023_deaths!$A:$A, Keys!$D$4, NP2023_deaths!$B:$B, Keys!$B$4, NP2023_deaths!$C:$C, 2030), 0))+IF(Keys!$E$4="", 0, IFERROR(SUMIFS(NP2023_deaths!$D:$D, NP2023_deaths!$A:$A, Keys!$E$4, NP2023_deaths!$B:$B, Keys!$B$4, NP2023_deaths!$C:$C, 2030), 0))+IF(Keys!$F$4="", 0, IFERROR(SUMIFS(NP2023_deaths!$D:$D, NP2023_deaths!$A:$A, Keys!$F$4, NP2023_deaths!$B:$B, Keys!$B$4, NP2023_deaths!$C:$C, 2030), 0))+IF(Keys!$G$4="", 0, IFERROR(SUMIFS(NP2023_deaths!$D:$D, NP2023_deaths!$A:$A, Keys!$G$4, NP2023_deaths!$B:$B, Keys!$B$4, NP2023_deaths!$C:$C, 2030), 0))+IF(Keys!$H$4="", 0, IFERROR(SUMIFS(NP2023_deaths!$D:$D, NP2023_deaths!$A:$A, Keys!$H$4, NP2023_deaths!$B:$B, Keys!$B$4, NP2023_deaths!$C:$C, 2030), 0))</f>
        <v>2591506</v>
      </c>
      <c r="I20" s="37">
        <f>IF(Keys!$C$4="", 0, IFERROR(SUMIFS(NP2023_deaths!$D:$D, NP2023_deaths!$A:$A, Keys!$C$4, NP2023_deaths!$B:$B, Keys!$B$4, NP2023_deaths!$C:$C, 2031), 0))+IF(Keys!$D$4="", 0, IFERROR(SUMIFS(NP2023_deaths!$D:$D, NP2023_deaths!$A:$A, Keys!$D$4, NP2023_deaths!$B:$B, Keys!$B$4, NP2023_deaths!$C:$C, 2031), 0))+IF(Keys!$E$4="", 0, IFERROR(SUMIFS(NP2023_deaths!$D:$D, NP2023_deaths!$A:$A, Keys!$E$4, NP2023_deaths!$B:$B, Keys!$B$4, NP2023_deaths!$C:$C, 2031), 0))+IF(Keys!$F$4="", 0, IFERROR(SUMIFS(NP2023_deaths!$D:$D, NP2023_deaths!$A:$A, Keys!$F$4, NP2023_deaths!$B:$B, Keys!$B$4, NP2023_deaths!$C:$C, 2031), 0))+IF(Keys!$G$4="", 0, IFERROR(SUMIFS(NP2023_deaths!$D:$D, NP2023_deaths!$A:$A, Keys!$G$4, NP2023_deaths!$B:$B, Keys!$B$4, NP2023_deaths!$C:$C, 2031), 0))+IF(Keys!$H$4="", 0, IFERROR(SUMIFS(NP2023_deaths!$D:$D, NP2023_deaths!$A:$A, Keys!$H$4, NP2023_deaths!$B:$B, Keys!$B$4, NP2023_deaths!$C:$C, 2031), 0))</f>
        <v>2632857</v>
      </c>
      <c r="J20" s="37">
        <f>IF(Keys!$C$4="", 0, IFERROR(SUMIFS(NP2023_deaths!$D:$D, NP2023_deaths!$A:$A, Keys!$C$4, NP2023_deaths!$B:$B, Keys!$B$4, NP2023_deaths!$C:$C, 2032), 0))+IF(Keys!$D$4="", 0, IFERROR(SUMIFS(NP2023_deaths!$D:$D, NP2023_deaths!$A:$A, Keys!$D$4, NP2023_deaths!$B:$B, Keys!$B$4, NP2023_deaths!$C:$C, 2032), 0))+IF(Keys!$E$4="", 0, IFERROR(SUMIFS(NP2023_deaths!$D:$D, NP2023_deaths!$A:$A, Keys!$E$4, NP2023_deaths!$B:$B, Keys!$B$4, NP2023_deaths!$C:$C, 2032), 0))+IF(Keys!$F$4="", 0, IFERROR(SUMIFS(NP2023_deaths!$D:$D, NP2023_deaths!$A:$A, Keys!$F$4, NP2023_deaths!$B:$B, Keys!$B$4, NP2023_deaths!$C:$C, 2032), 0))+IF(Keys!$G$4="", 0, IFERROR(SUMIFS(NP2023_deaths!$D:$D, NP2023_deaths!$A:$A, Keys!$G$4, NP2023_deaths!$B:$B, Keys!$B$4, NP2023_deaths!$C:$C, 2032), 0))+IF(Keys!$H$4="", 0, IFERROR(SUMIFS(NP2023_deaths!$D:$D, NP2023_deaths!$A:$A, Keys!$H$4, NP2023_deaths!$B:$B, Keys!$B$4, NP2023_deaths!$C:$C, 2032), 0))</f>
        <v>2674359</v>
      </c>
      <c r="K20" s="37">
        <f>IF(Keys!$C$4="", 0, IFERROR(SUMIFS(NP2023_deaths!$D:$D, NP2023_deaths!$A:$A, Keys!$C$4, NP2023_deaths!$B:$B, Keys!$B$4, NP2023_deaths!$C:$C, 2033), 0))+IF(Keys!$D$4="", 0, IFERROR(SUMIFS(NP2023_deaths!$D:$D, NP2023_deaths!$A:$A, Keys!$D$4, NP2023_deaths!$B:$B, Keys!$B$4, NP2023_deaths!$C:$C, 2033), 0))+IF(Keys!$E$4="", 0, IFERROR(SUMIFS(NP2023_deaths!$D:$D, NP2023_deaths!$A:$A, Keys!$E$4, NP2023_deaths!$B:$B, Keys!$B$4, NP2023_deaths!$C:$C, 2033), 0))+IF(Keys!$F$4="", 0, IFERROR(SUMIFS(NP2023_deaths!$D:$D, NP2023_deaths!$A:$A, Keys!$F$4, NP2023_deaths!$B:$B, Keys!$B$4, NP2023_deaths!$C:$C, 2033), 0))+IF(Keys!$G$4="", 0, IFERROR(SUMIFS(NP2023_deaths!$D:$D, NP2023_deaths!$A:$A, Keys!$G$4, NP2023_deaths!$B:$B, Keys!$B$4, NP2023_deaths!$C:$C, 2033), 0))+IF(Keys!$H$4="", 0, IFERROR(SUMIFS(NP2023_deaths!$D:$D, NP2023_deaths!$A:$A, Keys!$H$4, NP2023_deaths!$B:$B, Keys!$B$4, NP2023_deaths!$C:$C, 2033), 0))</f>
        <v>2715613</v>
      </c>
      <c r="L20" s="37">
        <f>IF(Keys!$C$4="", 0, IFERROR(SUMIFS(NP2023_deaths!$D:$D, NP2023_deaths!$A:$A, Keys!$C$4, NP2023_deaths!$B:$B, Keys!$B$4, NP2023_deaths!$C:$C, 2034), 0))+IF(Keys!$D$4="", 0, IFERROR(SUMIFS(NP2023_deaths!$D:$D, NP2023_deaths!$A:$A, Keys!$D$4, NP2023_deaths!$B:$B, Keys!$B$4, NP2023_deaths!$C:$C, 2034), 0))+IF(Keys!$E$4="", 0, IFERROR(SUMIFS(NP2023_deaths!$D:$D, NP2023_deaths!$A:$A, Keys!$E$4, NP2023_deaths!$B:$B, Keys!$B$4, NP2023_deaths!$C:$C, 2034), 0))+IF(Keys!$F$4="", 0, IFERROR(SUMIFS(NP2023_deaths!$D:$D, NP2023_deaths!$A:$A, Keys!$F$4, NP2023_deaths!$B:$B, Keys!$B$4, NP2023_deaths!$C:$C, 2034), 0))+IF(Keys!$G$4="", 0, IFERROR(SUMIFS(NP2023_deaths!$D:$D, NP2023_deaths!$A:$A, Keys!$G$4, NP2023_deaths!$B:$B, Keys!$B$4, NP2023_deaths!$C:$C, 2034), 0))+IF(Keys!$H$4="", 0, IFERROR(SUMIFS(NP2023_deaths!$D:$D, NP2023_deaths!$A:$A, Keys!$H$4, NP2023_deaths!$B:$B, Keys!$B$4, NP2023_deaths!$C:$C, 2034), 0))</f>
        <v>2756451</v>
      </c>
      <c r="M20" s="37">
        <f>IF(Keys!$C$4="", 0, IFERROR(SUMIFS(NP2023_deaths!$D:$D, NP2023_deaths!$A:$A, Keys!$C$4, NP2023_deaths!$B:$B, Keys!$B$4, NP2023_deaths!$C:$C, 2035), 0))+IF(Keys!$D$4="", 0, IFERROR(SUMIFS(NP2023_deaths!$D:$D, NP2023_deaths!$A:$A, Keys!$D$4, NP2023_deaths!$B:$B, Keys!$B$4, NP2023_deaths!$C:$C, 2035), 0))+IF(Keys!$E$4="", 0, IFERROR(SUMIFS(NP2023_deaths!$D:$D, NP2023_deaths!$A:$A, Keys!$E$4, NP2023_deaths!$B:$B, Keys!$B$4, NP2023_deaths!$C:$C, 2035), 0))+IF(Keys!$F$4="", 0, IFERROR(SUMIFS(NP2023_deaths!$D:$D, NP2023_deaths!$A:$A, Keys!$F$4, NP2023_deaths!$B:$B, Keys!$B$4, NP2023_deaths!$C:$C, 2035), 0))+IF(Keys!$G$4="", 0, IFERROR(SUMIFS(NP2023_deaths!$D:$D, NP2023_deaths!$A:$A, Keys!$G$4, NP2023_deaths!$B:$B, Keys!$B$4, NP2023_deaths!$C:$C, 2035), 0))+IF(Keys!$H$4="", 0, IFERROR(SUMIFS(NP2023_deaths!$D:$D, NP2023_deaths!$A:$A, Keys!$H$4, NP2023_deaths!$B:$B, Keys!$B$4, NP2023_deaths!$C:$C, 2035), 0))</f>
        <v>2796744</v>
      </c>
      <c r="N20" s="37">
        <f>IF(Keys!$C$4="", 0, IFERROR(SUMIFS(NP2023_deaths!$D:$D, NP2023_deaths!$A:$A, Keys!$C$4, NP2023_deaths!$B:$B, Keys!$B$4, NP2023_deaths!$C:$C, 2036), 0))+IF(Keys!$D$4="", 0, IFERROR(SUMIFS(NP2023_deaths!$D:$D, NP2023_deaths!$A:$A, Keys!$D$4, NP2023_deaths!$B:$B, Keys!$B$4, NP2023_deaths!$C:$C, 2036), 0))+IF(Keys!$E$4="", 0, IFERROR(SUMIFS(NP2023_deaths!$D:$D, NP2023_deaths!$A:$A, Keys!$E$4, NP2023_deaths!$B:$B, Keys!$B$4, NP2023_deaths!$C:$C, 2036), 0))+IF(Keys!$F$4="", 0, IFERROR(SUMIFS(NP2023_deaths!$D:$D, NP2023_deaths!$A:$A, Keys!$F$4, NP2023_deaths!$B:$B, Keys!$B$4, NP2023_deaths!$C:$C, 2036), 0))+IF(Keys!$G$4="", 0, IFERROR(SUMIFS(NP2023_deaths!$D:$D, NP2023_deaths!$A:$A, Keys!$G$4, NP2023_deaths!$B:$B, Keys!$B$4, NP2023_deaths!$C:$C, 2036), 0))+IF(Keys!$H$4="", 0, IFERROR(SUMIFS(NP2023_deaths!$D:$D, NP2023_deaths!$A:$A, Keys!$H$4, NP2023_deaths!$B:$B, Keys!$B$4, NP2023_deaths!$C:$C, 2036), 0))</f>
        <v>2835966</v>
      </c>
      <c r="O20" s="37">
        <f>IF(Keys!$C$4="", 0, IFERROR(SUMIFS(NP2023_deaths!$D:$D, NP2023_deaths!$A:$A, Keys!$C$4, NP2023_deaths!$B:$B, Keys!$B$4, NP2023_deaths!$C:$C, 2037), 0))+IF(Keys!$D$4="", 0, IFERROR(SUMIFS(NP2023_deaths!$D:$D, NP2023_deaths!$A:$A, Keys!$D$4, NP2023_deaths!$B:$B, Keys!$B$4, NP2023_deaths!$C:$C, 2037), 0))+IF(Keys!$E$4="", 0, IFERROR(SUMIFS(NP2023_deaths!$D:$D, NP2023_deaths!$A:$A, Keys!$E$4, NP2023_deaths!$B:$B, Keys!$B$4, NP2023_deaths!$C:$C, 2037), 0))+IF(Keys!$F$4="", 0, IFERROR(SUMIFS(NP2023_deaths!$D:$D, NP2023_deaths!$A:$A, Keys!$F$4, NP2023_deaths!$B:$B, Keys!$B$4, NP2023_deaths!$C:$C, 2037), 0))+IF(Keys!$G$4="", 0, IFERROR(SUMIFS(NP2023_deaths!$D:$D, NP2023_deaths!$A:$A, Keys!$G$4, NP2023_deaths!$B:$B, Keys!$B$4, NP2023_deaths!$C:$C, 2037), 0))+IF(Keys!$H$4="", 0, IFERROR(SUMIFS(NP2023_deaths!$D:$D, NP2023_deaths!$A:$A, Keys!$H$4, NP2023_deaths!$B:$B, Keys!$B$4, NP2023_deaths!$C:$C, 2037), 0))</f>
        <v>2873812</v>
      </c>
      <c r="P20" s="37">
        <f>IF(Keys!$C$4="", 0, IFERROR(SUMIFS(NP2023_deaths!$D:$D, NP2023_deaths!$A:$A, Keys!$C$4, NP2023_deaths!$B:$B, Keys!$B$4, NP2023_deaths!$C:$C, 2038), 0))+IF(Keys!$D$4="", 0, IFERROR(SUMIFS(NP2023_deaths!$D:$D, NP2023_deaths!$A:$A, Keys!$D$4, NP2023_deaths!$B:$B, Keys!$B$4, NP2023_deaths!$C:$C, 2038), 0))+IF(Keys!$E$4="", 0, IFERROR(SUMIFS(NP2023_deaths!$D:$D, NP2023_deaths!$A:$A, Keys!$E$4, NP2023_deaths!$B:$B, Keys!$B$4, NP2023_deaths!$C:$C, 2038), 0))+IF(Keys!$F$4="", 0, IFERROR(SUMIFS(NP2023_deaths!$D:$D, NP2023_deaths!$A:$A, Keys!$F$4, NP2023_deaths!$B:$B, Keys!$B$4, NP2023_deaths!$C:$C, 2038), 0))+IF(Keys!$G$4="", 0, IFERROR(SUMIFS(NP2023_deaths!$D:$D, NP2023_deaths!$A:$A, Keys!$G$4, NP2023_deaths!$B:$B, Keys!$B$4, NP2023_deaths!$C:$C, 2038), 0))+IF(Keys!$H$4="", 0, IFERROR(SUMIFS(NP2023_deaths!$D:$D, NP2023_deaths!$A:$A, Keys!$H$4, NP2023_deaths!$B:$B, Keys!$B$4, NP2023_deaths!$C:$C, 2038), 0))</f>
        <v>2909899</v>
      </c>
      <c r="Q20" s="37">
        <f>IF(Keys!$C$4="", 0, IFERROR(SUMIFS(NP2023_deaths!$D:$D, NP2023_deaths!$A:$A, Keys!$C$4, NP2023_deaths!$B:$B, Keys!$B$4, NP2023_deaths!$C:$C, 2039), 0))+IF(Keys!$D$4="", 0, IFERROR(SUMIFS(NP2023_deaths!$D:$D, NP2023_deaths!$A:$A, Keys!$D$4, NP2023_deaths!$B:$B, Keys!$B$4, NP2023_deaths!$C:$C, 2039), 0))+IF(Keys!$E$4="", 0, IFERROR(SUMIFS(NP2023_deaths!$D:$D, NP2023_deaths!$A:$A, Keys!$E$4, NP2023_deaths!$B:$B, Keys!$B$4, NP2023_deaths!$C:$C, 2039), 0))+IF(Keys!$F$4="", 0, IFERROR(SUMIFS(NP2023_deaths!$D:$D, NP2023_deaths!$A:$A, Keys!$F$4, NP2023_deaths!$B:$B, Keys!$B$4, NP2023_deaths!$C:$C, 2039), 0))+IF(Keys!$G$4="", 0, IFERROR(SUMIFS(NP2023_deaths!$D:$D, NP2023_deaths!$A:$A, Keys!$G$4, NP2023_deaths!$B:$B, Keys!$B$4, NP2023_deaths!$C:$C, 2039), 0))+IF(Keys!$H$4="", 0, IFERROR(SUMIFS(NP2023_deaths!$D:$D, NP2023_deaths!$A:$A, Keys!$H$4, NP2023_deaths!$B:$B, Keys!$B$4, NP2023_deaths!$C:$C, 2039), 0))</f>
        <v>2943824</v>
      </c>
      <c r="R20" s="37">
        <f>IF(Keys!$C$4="", 0, IFERROR(SUMIFS(NP2023_deaths!$D:$D, NP2023_deaths!$A:$A, Keys!$C$4, NP2023_deaths!$B:$B, Keys!$B$4, NP2023_deaths!$C:$C, 2040), 0))+IF(Keys!$D$4="", 0, IFERROR(SUMIFS(NP2023_deaths!$D:$D, NP2023_deaths!$A:$A, Keys!$D$4, NP2023_deaths!$B:$B, Keys!$B$4, NP2023_deaths!$C:$C, 2040), 0))+IF(Keys!$E$4="", 0, IFERROR(SUMIFS(NP2023_deaths!$D:$D, NP2023_deaths!$A:$A, Keys!$E$4, NP2023_deaths!$B:$B, Keys!$B$4, NP2023_deaths!$C:$C, 2040), 0))+IF(Keys!$F$4="", 0, IFERROR(SUMIFS(NP2023_deaths!$D:$D, NP2023_deaths!$A:$A, Keys!$F$4, NP2023_deaths!$B:$B, Keys!$B$4, NP2023_deaths!$C:$C, 2040), 0))+IF(Keys!$G$4="", 0, IFERROR(SUMIFS(NP2023_deaths!$D:$D, NP2023_deaths!$A:$A, Keys!$G$4, NP2023_deaths!$B:$B, Keys!$B$4, NP2023_deaths!$C:$C, 2040), 0))+IF(Keys!$H$4="", 0, IFERROR(SUMIFS(NP2023_deaths!$D:$D, NP2023_deaths!$A:$A, Keys!$H$4, NP2023_deaths!$B:$B, Keys!$B$4, NP2023_deaths!$C:$C, 2040), 0))</f>
        <v>2975204</v>
      </c>
      <c r="S20" s="37">
        <f>IF(Keys!$C$4="", 0, IFERROR(SUMIFS(NP2023_deaths!$D:$D, NP2023_deaths!$A:$A, Keys!$C$4, NP2023_deaths!$B:$B, Keys!$B$4, NP2023_deaths!$C:$C, 2041), 0))+IF(Keys!$D$4="", 0, IFERROR(SUMIFS(NP2023_deaths!$D:$D, NP2023_deaths!$A:$A, Keys!$D$4, NP2023_deaths!$B:$B, Keys!$B$4, NP2023_deaths!$C:$C, 2041), 0))+IF(Keys!$E$4="", 0, IFERROR(SUMIFS(NP2023_deaths!$D:$D, NP2023_deaths!$A:$A, Keys!$E$4, NP2023_deaths!$B:$B, Keys!$B$4, NP2023_deaths!$C:$C, 2041), 0))+IF(Keys!$F$4="", 0, IFERROR(SUMIFS(NP2023_deaths!$D:$D, NP2023_deaths!$A:$A, Keys!$F$4, NP2023_deaths!$B:$B, Keys!$B$4, NP2023_deaths!$C:$C, 2041), 0))+IF(Keys!$G$4="", 0, IFERROR(SUMIFS(NP2023_deaths!$D:$D, NP2023_deaths!$A:$A, Keys!$G$4, NP2023_deaths!$B:$B, Keys!$B$4, NP2023_deaths!$C:$C, 2041), 0))+IF(Keys!$H$4="", 0, IFERROR(SUMIFS(NP2023_deaths!$D:$D, NP2023_deaths!$A:$A, Keys!$H$4, NP2023_deaths!$B:$B, Keys!$B$4, NP2023_deaths!$C:$C, 2041), 0))</f>
        <v>3003782</v>
      </c>
      <c r="T20" s="37">
        <f>IF(Keys!$C$4="", 0, IFERROR(SUMIFS(NP2023_deaths!$D:$D, NP2023_deaths!$A:$A, Keys!$C$4, NP2023_deaths!$B:$B, Keys!$B$4, NP2023_deaths!$C:$C, 2042), 0))+IF(Keys!$D$4="", 0, IFERROR(SUMIFS(NP2023_deaths!$D:$D, NP2023_deaths!$A:$A, Keys!$D$4, NP2023_deaths!$B:$B, Keys!$B$4, NP2023_deaths!$C:$C, 2042), 0))+IF(Keys!$E$4="", 0, IFERROR(SUMIFS(NP2023_deaths!$D:$D, NP2023_deaths!$A:$A, Keys!$E$4, NP2023_deaths!$B:$B, Keys!$B$4, NP2023_deaths!$C:$C, 2042), 0))+IF(Keys!$F$4="", 0, IFERROR(SUMIFS(NP2023_deaths!$D:$D, NP2023_deaths!$A:$A, Keys!$F$4, NP2023_deaths!$B:$B, Keys!$B$4, NP2023_deaths!$C:$C, 2042), 0))+IF(Keys!$G$4="", 0, IFERROR(SUMIFS(NP2023_deaths!$D:$D, NP2023_deaths!$A:$A, Keys!$G$4, NP2023_deaths!$B:$B, Keys!$B$4, NP2023_deaths!$C:$C, 2042), 0))+IF(Keys!$H$4="", 0, IFERROR(SUMIFS(NP2023_deaths!$D:$D, NP2023_deaths!$A:$A, Keys!$H$4, NP2023_deaths!$B:$B, Keys!$B$4, NP2023_deaths!$C:$C, 2042), 0))</f>
        <v>3029391</v>
      </c>
      <c r="U20" s="37">
        <f>IF(Keys!$C$4="", 0, IFERROR(SUMIFS(NP2023_deaths!$D:$D, NP2023_deaths!$A:$A, Keys!$C$4, NP2023_deaths!$B:$B, Keys!$B$4, NP2023_deaths!$C:$C, 2043), 0))+IF(Keys!$D$4="", 0, IFERROR(SUMIFS(NP2023_deaths!$D:$D, NP2023_deaths!$A:$A, Keys!$D$4, NP2023_deaths!$B:$B, Keys!$B$4, NP2023_deaths!$C:$C, 2043), 0))+IF(Keys!$E$4="", 0, IFERROR(SUMIFS(NP2023_deaths!$D:$D, NP2023_deaths!$A:$A, Keys!$E$4, NP2023_deaths!$B:$B, Keys!$B$4, NP2023_deaths!$C:$C, 2043), 0))+IF(Keys!$F$4="", 0, IFERROR(SUMIFS(NP2023_deaths!$D:$D, NP2023_deaths!$A:$A, Keys!$F$4, NP2023_deaths!$B:$B, Keys!$B$4, NP2023_deaths!$C:$C, 2043), 0))+IF(Keys!$G$4="", 0, IFERROR(SUMIFS(NP2023_deaths!$D:$D, NP2023_deaths!$A:$A, Keys!$G$4, NP2023_deaths!$B:$B, Keys!$B$4, NP2023_deaths!$C:$C, 2043), 0))+IF(Keys!$H$4="", 0, IFERROR(SUMIFS(NP2023_deaths!$D:$D, NP2023_deaths!$A:$A, Keys!$H$4, NP2023_deaths!$B:$B, Keys!$B$4, NP2023_deaths!$C:$C, 2043), 0))</f>
        <v>3052031</v>
      </c>
      <c r="V20" s="37">
        <f>IF(Keys!$C$4="", 0, IFERROR(SUMIFS(NP2023_deaths!$D:$D, NP2023_deaths!$A:$A, Keys!$C$4, NP2023_deaths!$B:$B, Keys!$B$4, NP2023_deaths!$C:$C, 2044), 0))+IF(Keys!$D$4="", 0, IFERROR(SUMIFS(NP2023_deaths!$D:$D, NP2023_deaths!$A:$A, Keys!$D$4, NP2023_deaths!$B:$B, Keys!$B$4, NP2023_deaths!$C:$C, 2044), 0))+IF(Keys!$E$4="", 0, IFERROR(SUMIFS(NP2023_deaths!$D:$D, NP2023_deaths!$A:$A, Keys!$E$4, NP2023_deaths!$B:$B, Keys!$B$4, NP2023_deaths!$C:$C, 2044), 0))+IF(Keys!$F$4="", 0, IFERROR(SUMIFS(NP2023_deaths!$D:$D, NP2023_deaths!$A:$A, Keys!$F$4, NP2023_deaths!$B:$B, Keys!$B$4, NP2023_deaths!$C:$C, 2044), 0))+IF(Keys!$G$4="", 0, IFERROR(SUMIFS(NP2023_deaths!$D:$D, NP2023_deaths!$A:$A, Keys!$G$4, NP2023_deaths!$B:$B, Keys!$B$4, NP2023_deaths!$C:$C, 2044), 0))+IF(Keys!$H$4="", 0, IFERROR(SUMIFS(NP2023_deaths!$D:$D, NP2023_deaths!$A:$A, Keys!$H$4, NP2023_deaths!$B:$B, Keys!$B$4, NP2023_deaths!$C:$C, 2044), 0))</f>
        <v>3070908</v>
      </c>
      <c r="W20" s="37">
        <f>IF(Keys!$C$4="", 0, IFERROR(SUMIFS(NP2023_deaths!$D:$D, NP2023_deaths!$A:$A, Keys!$C$4, NP2023_deaths!$B:$B, Keys!$B$4, NP2023_deaths!$C:$C, 2045), 0))+IF(Keys!$D$4="", 0, IFERROR(SUMIFS(NP2023_deaths!$D:$D, NP2023_deaths!$A:$A, Keys!$D$4, NP2023_deaths!$B:$B, Keys!$B$4, NP2023_deaths!$C:$C, 2045), 0))+IF(Keys!$E$4="", 0, IFERROR(SUMIFS(NP2023_deaths!$D:$D, NP2023_deaths!$A:$A, Keys!$E$4, NP2023_deaths!$B:$B, Keys!$B$4, NP2023_deaths!$C:$C, 2045), 0))+IF(Keys!$F$4="", 0, IFERROR(SUMIFS(NP2023_deaths!$D:$D, NP2023_deaths!$A:$A, Keys!$F$4, NP2023_deaths!$B:$B, Keys!$B$4, NP2023_deaths!$C:$C, 2045), 0))+IF(Keys!$G$4="", 0, IFERROR(SUMIFS(NP2023_deaths!$D:$D, NP2023_deaths!$A:$A, Keys!$G$4, NP2023_deaths!$B:$B, Keys!$B$4, NP2023_deaths!$C:$C, 2045), 0))+IF(Keys!$H$4="", 0, IFERROR(SUMIFS(NP2023_deaths!$D:$D, NP2023_deaths!$A:$A, Keys!$H$4, NP2023_deaths!$B:$B, Keys!$B$4, NP2023_deaths!$C:$C, 2045), 0))</f>
        <v>3085815</v>
      </c>
      <c r="X20" s="37">
        <f>IF(Keys!$C$4="", 0, IFERROR(SUMIFS(NP2023_deaths!$D:$D, NP2023_deaths!$A:$A, Keys!$C$4, NP2023_deaths!$B:$B, Keys!$B$4, NP2023_deaths!$C:$C, 2046), 0))+IF(Keys!$D$4="", 0, IFERROR(SUMIFS(NP2023_deaths!$D:$D, NP2023_deaths!$A:$A, Keys!$D$4, NP2023_deaths!$B:$B, Keys!$B$4, NP2023_deaths!$C:$C, 2046), 0))+IF(Keys!$E$4="", 0, IFERROR(SUMIFS(NP2023_deaths!$D:$D, NP2023_deaths!$A:$A, Keys!$E$4, NP2023_deaths!$B:$B, Keys!$B$4, NP2023_deaths!$C:$C, 2046), 0))+IF(Keys!$F$4="", 0, IFERROR(SUMIFS(NP2023_deaths!$D:$D, NP2023_deaths!$A:$A, Keys!$F$4, NP2023_deaths!$B:$B, Keys!$B$4, NP2023_deaths!$C:$C, 2046), 0))+IF(Keys!$G$4="", 0, IFERROR(SUMIFS(NP2023_deaths!$D:$D, NP2023_deaths!$A:$A, Keys!$G$4, NP2023_deaths!$B:$B, Keys!$B$4, NP2023_deaths!$C:$C, 2046), 0))+IF(Keys!$H$4="", 0, IFERROR(SUMIFS(NP2023_deaths!$D:$D, NP2023_deaths!$A:$A, Keys!$H$4, NP2023_deaths!$B:$B, Keys!$B$4, NP2023_deaths!$C:$C, 2046), 0))</f>
        <v>3096843</v>
      </c>
      <c r="Y20" s="37">
        <f>IF(Keys!$C$4="", 0, IFERROR(SUMIFS(NP2023_deaths!$D:$D, NP2023_deaths!$A:$A, Keys!$C$4, NP2023_deaths!$B:$B, Keys!$B$4, NP2023_deaths!$C:$C, 2047), 0))+IF(Keys!$D$4="", 0, IFERROR(SUMIFS(NP2023_deaths!$D:$D, NP2023_deaths!$A:$A, Keys!$D$4, NP2023_deaths!$B:$B, Keys!$B$4, NP2023_deaths!$C:$C, 2047), 0))+IF(Keys!$E$4="", 0, IFERROR(SUMIFS(NP2023_deaths!$D:$D, NP2023_deaths!$A:$A, Keys!$E$4, NP2023_deaths!$B:$B, Keys!$B$4, NP2023_deaths!$C:$C, 2047), 0))+IF(Keys!$F$4="", 0, IFERROR(SUMIFS(NP2023_deaths!$D:$D, NP2023_deaths!$A:$A, Keys!$F$4, NP2023_deaths!$B:$B, Keys!$B$4, NP2023_deaths!$C:$C, 2047), 0))+IF(Keys!$G$4="", 0, IFERROR(SUMIFS(NP2023_deaths!$D:$D, NP2023_deaths!$A:$A, Keys!$G$4, NP2023_deaths!$B:$B, Keys!$B$4, NP2023_deaths!$C:$C, 2047), 0))+IF(Keys!$H$4="", 0, IFERROR(SUMIFS(NP2023_deaths!$D:$D, NP2023_deaths!$A:$A, Keys!$H$4, NP2023_deaths!$B:$B, Keys!$B$4, NP2023_deaths!$C:$C, 2047), 0))</f>
        <v>3105579</v>
      </c>
      <c r="Z20" s="37">
        <f>IF(Keys!$C$4="", 0, IFERROR(SUMIFS(NP2023_deaths!$D:$D, NP2023_deaths!$A:$A, Keys!$C$4, NP2023_deaths!$B:$B, Keys!$B$4, NP2023_deaths!$C:$C, 2048), 0))+IF(Keys!$D$4="", 0, IFERROR(SUMIFS(NP2023_deaths!$D:$D, NP2023_deaths!$A:$A, Keys!$D$4, NP2023_deaths!$B:$B, Keys!$B$4, NP2023_deaths!$C:$C, 2048), 0))+IF(Keys!$E$4="", 0, IFERROR(SUMIFS(NP2023_deaths!$D:$D, NP2023_deaths!$A:$A, Keys!$E$4, NP2023_deaths!$B:$B, Keys!$B$4, NP2023_deaths!$C:$C, 2048), 0))+IF(Keys!$F$4="", 0, IFERROR(SUMIFS(NP2023_deaths!$D:$D, NP2023_deaths!$A:$A, Keys!$F$4, NP2023_deaths!$B:$B, Keys!$B$4, NP2023_deaths!$C:$C, 2048), 0))+IF(Keys!$G$4="", 0, IFERROR(SUMIFS(NP2023_deaths!$D:$D, NP2023_deaths!$A:$A, Keys!$G$4, NP2023_deaths!$B:$B, Keys!$B$4, NP2023_deaths!$C:$C, 2048), 0))+IF(Keys!$H$4="", 0, IFERROR(SUMIFS(NP2023_deaths!$D:$D, NP2023_deaths!$A:$A, Keys!$H$4, NP2023_deaths!$B:$B, Keys!$B$4, NP2023_deaths!$C:$C, 2048), 0))</f>
        <v>3110665</v>
      </c>
      <c r="AA20" s="37">
        <f>IF(Keys!$C$4="", 0, IFERROR(SUMIFS(NP2023_deaths!$D:$D, NP2023_deaths!$A:$A, Keys!$C$4, NP2023_deaths!$B:$B, Keys!$B$4, NP2023_deaths!$C:$C, 2049), 0))+IF(Keys!$D$4="", 0, IFERROR(SUMIFS(NP2023_deaths!$D:$D, NP2023_deaths!$A:$A, Keys!$D$4, NP2023_deaths!$B:$B, Keys!$B$4, NP2023_deaths!$C:$C, 2049), 0))+IF(Keys!$E$4="", 0, IFERROR(SUMIFS(NP2023_deaths!$D:$D, NP2023_deaths!$A:$A, Keys!$E$4, NP2023_deaths!$B:$B, Keys!$B$4, NP2023_deaths!$C:$C, 2049), 0))+IF(Keys!$F$4="", 0, IFERROR(SUMIFS(NP2023_deaths!$D:$D, NP2023_deaths!$A:$A, Keys!$F$4, NP2023_deaths!$B:$B, Keys!$B$4, NP2023_deaths!$C:$C, 2049), 0))+IF(Keys!$G$4="", 0, IFERROR(SUMIFS(NP2023_deaths!$D:$D, NP2023_deaths!$A:$A, Keys!$G$4, NP2023_deaths!$B:$B, Keys!$B$4, NP2023_deaths!$C:$C, 2049), 0))+IF(Keys!$H$4="", 0, IFERROR(SUMIFS(NP2023_deaths!$D:$D, NP2023_deaths!$A:$A, Keys!$H$4, NP2023_deaths!$B:$B, Keys!$B$4, NP2023_deaths!$C:$C, 2049), 0))</f>
        <v>3111939</v>
      </c>
      <c r="AB20" s="37">
        <f>IF(Keys!$C$4="", 0, IFERROR(SUMIFS(NP2023_deaths!$D:$D, NP2023_deaths!$A:$A, Keys!$C$4, NP2023_deaths!$B:$B, Keys!$B$4, NP2023_deaths!$C:$C, 2050), 0))+IF(Keys!$D$4="", 0, IFERROR(SUMIFS(NP2023_deaths!$D:$D, NP2023_deaths!$A:$A, Keys!$D$4, NP2023_deaths!$B:$B, Keys!$B$4, NP2023_deaths!$C:$C, 2050), 0))+IF(Keys!$E$4="", 0, IFERROR(SUMIFS(NP2023_deaths!$D:$D, NP2023_deaths!$A:$A, Keys!$E$4, NP2023_deaths!$B:$B, Keys!$B$4, NP2023_deaths!$C:$C, 2050), 0))+IF(Keys!$F$4="", 0, IFERROR(SUMIFS(NP2023_deaths!$D:$D, NP2023_deaths!$A:$A, Keys!$F$4, NP2023_deaths!$B:$B, Keys!$B$4, NP2023_deaths!$C:$C, 2050), 0))+IF(Keys!$G$4="", 0, IFERROR(SUMIFS(NP2023_deaths!$D:$D, NP2023_deaths!$A:$A, Keys!$G$4, NP2023_deaths!$B:$B, Keys!$B$4, NP2023_deaths!$C:$C, 2050), 0))+IF(Keys!$H$4="", 0, IFERROR(SUMIFS(NP2023_deaths!$D:$D, NP2023_deaths!$A:$A, Keys!$H$4, NP2023_deaths!$B:$B, Keys!$B$4, NP2023_deaths!$C:$C, 2050), 0))</f>
        <v>3109692</v>
      </c>
    </row>
    <row r="21" spans="1:28" x14ac:dyDescent="0.25">
      <c r="A21" s="4" t="s">
        <v>218</v>
      </c>
      <c r="B21" s="37">
        <f>IF(Keys!$C$5="", 0, IFERROR(SUMIFS(NP2023_deaths!$D:$D, NP2023_deaths!$A:$A, Keys!$C$5, NP2023_deaths!$B:$B, Keys!$B$5, NP2023_deaths!$C:$C, 2024), 0))+IF(Keys!$D$5="", 0, IFERROR(SUMIFS(NP2023_deaths!$D:$D, NP2023_deaths!$A:$A, Keys!$D$5, NP2023_deaths!$B:$B, Keys!$B$5, NP2023_deaths!$C:$C, 2024), 0))+IF(Keys!$E$5="", 0, IFERROR(SUMIFS(NP2023_deaths!$D:$D, NP2023_deaths!$A:$A, Keys!$E$5, NP2023_deaths!$B:$B, Keys!$B$5, NP2023_deaths!$C:$C, 2024), 0))+IF(Keys!$F$5="", 0, IFERROR(SUMIFS(NP2023_deaths!$D:$D, NP2023_deaths!$A:$A, Keys!$F$5, NP2023_deaths!$B:$B, Keys!$B$5, NP2023_deaths!$C:$C, 2024), 0))+IF(Keys!$G$5="", 0, IFERROR(SUMIFS(NP2023_deaths!$D:$D, NP2023_deaths!$A:$A, Keys!$G$5, NP2023_deaths!$B:$B, Keys!$B$5, NP2023_deaths!$C:$C, 2024), 0))+IF(Keys!$H$5="", 0, IFERROR(SUMIFS(NP2023_deaths!$D:$D, NP2023_deaths!$A:$A, Keys!$H$5, NP2023_deaths!$B:$B, Keys!$B$5, NP2023_deaths!$C:$C, 2024), 0))</f>
        <v>366342</v>
      </c>
      <c r="C21" s="37">
        <f>IF(Keys!$C$5="", 0, IFERROR(SUMIFS(NP2023_deaths!$D:$D, NP2023_deaths!$A:$A, Keys!$C$5, NP2023_deaths!$B:$B, Keys!$B$5, NP2023_deaths!$C:$C, 2025), 0))+IF(Keys!$D$5="", 0, IFERROR(SUMIFS(NP2023_deaths!$D:$D, NP2023_deaths!$A:$A, Keys!$D$5, NP2023_deaths!$B:$B, Keys!$B$5, NP2023_deaths!$C:$C, 2025), 0))+IF(Keys!$E$5="", 0, IFERROR(SUMIFS(NP2023_deaths!$D:$D, NP2023_deaths!$A:$A, Keys!$E$5, NP2023_deaths!$B:$B, Keys!$B$5, NP2023_deaths!$C:$C, 2025), 0))+IF(Keys!$F$5="", 0, IFERROR(SUMIFS(NP2023_deaths!$D:$D, NP2023_deaths!$A:$A, Keys!$F$5, NP2023_deaths!$B:$B, Keys!$B$5, NP2023_deaths!$C:$C, 2025), 0))+IF(Keys!$G$5="", 0, IFERROR(SUMIFS(NP2023_deaths!$D:$D, NP2023_deaths!$A:$A, Keys!$G$5, NP2023_deaths!$B:$B, Keys!$B$5, NP2023_deaths!$C:$C, 2025), 0))+IF(Keys!$H$5="", 0, IFERROR(SUMIFS(NP2023_deaths!$D:$D, NP2023_deaths!$A:$A, Keys!$H$5, NP2023_deaths!$B:$B, Keys!$B$5, NP2023_deaths!$C:$C, 2025), 0))</f>
        <v>371735</v>
      </c>
      <c r="D21" s="37">
        <f>IF(Keys!$C$5="", 0, IFERROR(SUMIFS(NP2023_deaths!$D:$D, NP2023_deaths!$A:$A, Keys!$C$5, NP2023_deaths!$B:$B, Keys!$B$5, NP2023_deaths!$C:$C, 2026), 0))+IF(Keys!$D$5="", 0, IFERROR(SUMIFS(NP2023_deaths!$D:$D, NP2023_deaths!$A:$A, Keys!$D$5, NP2023_deaths!$B:$B, Keys!$B$5, NP2023_deaths!$C:$C, 2026), 0))+IF(Keys!$E$5="", 0, IFERROR(SUMIFS(NP2023_deaths!$D:$D, NP2023_deaths!$A:$A, Keys!$E$5, NP2023_deaths!$B:$B, Keys!$B$5, NP2023_deaths!$C:$C, 2026), 0))+IF(Keys!$F$5="", 0, IFERROR(SUMIFS(NP2023_deaths!$D:$D, NP2023_deaths!$A:$A, Keys!$F$5, NP2023_deaths!$B:$B, Keys!$B$5, NP2023_deaths!$C:$C, 2026), 0))+IF(Keys!$G$5="", 0, IFERROR(SUMIFS(NP2023_deaths!$D:$D, NP2023_deaths!$A:$A, Keys!$G$5, NP2023_deaths!$B:$B, Keys!$B$5, NP2023_deaths!$C:$C, 2026), 0))+IF(Keys!$H$5="", 0, IFERROR(SUMIFS(NP2023_deaths!$D:$D, NP2023_deaths!$A:$A, Keys!$H$5, NP2023_deaths!$B:$B, Keys!$B$5, NP2023_deaths!$C:$C, 2026), 0))</f>
        <v>377117</v>
      </c>
      <c r="E21" s="37">
        <f>IF(Keys!$C$5="", 0, IFERROR(SUMIFS(NP2023_deaths!$D:$D, NP2023_deaths!$A:$A, Keys!$C$5, NP2023_deaths!$B:$B, Keys!$B$5, NP2023_deaths!$C:$C, 2027), 0))+IF(Keys!$D$5="", 0, IFERROR(SUMIFS(NP2023_deaths!$D:$D, NP2023_deaths!$A:$A, Keys!$D$5, NP2023_deaths!$B:$B, Keys!$B$5, NP2023_deaths!$C:$C, 2027), 0))+IF(Keys!$E$5="", 0, IFERROR(SUMIFS(NP2023_deaths!$D:$D, NP2023_deaths!$A:$A, Keys!$E$5, NP2023_deaths!$B:$B, Keys!$B$5, NP2023_deaths!$C:$C, 2027), 0))+IF(Keys!$F$5="", 0, IFERROR(SUMIFS(NP2023_deaths!$D:$D, NP2023_deaths!$A:$A, Keys!$F$5, NP2023_deaths!$B:$B, Keys!$B$5, NP2023_deaths!$C:$C, 2027), 0))+IF(Keys!$G$5="", 0, IFERROR(SUMIFS(NP2023_deaths!$D:$D, NP2023_deaths!$A:$A, Keys!$G$5, NP2023_deaths!$B:$B, Keys!$B$5, NP2023_deaths!$C:$C, 2027), 0))+IF(Keys!$H$5="", 0, IFERROR(SUMIFS(NP2023_deaths!$D:$D, NP2023_deaths!$A:$A, Keys!$H$5, NP2023_deaths!$B:$B, Keys!$B$5, NP2023_deaths!$C:$C, 2027), 0))</f>
        <v>382512</v>
      </c>
      <c r="F21" s="37">
        <f>IF(Keys!$C$5="", 0, IFERROR(SUMIFS(NP2023_deaths!$D:$D, NP2023_deaths!$A:$A, Keys!$C$5, NP2023_deaths!$B:$B, Keys!$B$5, NP2023_deaths!$C:$C, 2028), 0))+IF(Keys!$D$5="", 0, IFERROR(SUMIFS(NP2023_deaths!$D:$D, NP2023_deaths!$A:$A, Keys!$D$5, NP2023_deaths!$B:$B, Keys!$B$5, NP2023_deaths!$C:$C, 2028), 0))+IF(Keys!$E$5="", 0, IFERROR(SUMIFS(NP2023_deaths!$D:$D, NP2023_deaths!$A:$A, Keys!$E$5, NP2023_deaths!$B:$B, Keys!$B$5, NP2023_deaths!$C:$C, 2028), 0))+IF(Keys!$F$5="", 0, IFERROR(SUMIFS(NP2023_deaths!$D:$D, NP2023_deaths!$A:$A, Keys!$F$5, NP2023_deaths!$B:$B, Keys!$B$5, NP2023_deaths!$C:$C, 2028), 0))+IF(Keys!$G$5="", 0, IFERROR(SUMIFS(NP2023_deaths!$D:$D, NP2023_deaths!$A:$A, Keys!$G$5, NP2023_deaths!$B:$B, Keys!$B$5, NP2023_deaths!$C:$C, 2028), 0))+IF(Keys!$H$5="", 0, IFERROR(SUMIFS(NP2023_deaths!$D:$D, NP2023_deaths!$A:$A, Keys!$H$5, NP2023_deaths!$B:$B, Keys!$B$5, NP2023_deaths!$C:$C, 2028), 0))</f>
        <v>388039</v>
      </c>
      <c r="G21" s="37">
        <f>IF(Keys!$C$5="", 0, IFERROR(SUMIFS(NP2023_deaths!$D:$D, NP2023_deaths!$A:$A, Keys!$C$5, NP2023_deaths!$B:$B, Keys!$B$5, NP2023_deaths!$C:$C, 2029), 0))+IF(Keys!$D$5="", 0, IFERROR(SUMIFS(NP2023_deaths!$D:$D, NP2023_deaths!$A:$A, Keys!$D$5, NP2023_deaths!$B:$B, Keys!$B$5, NP2023_deaths!$C:$C, 2029), 0))+IF(Keys!$E$5="", 0, IFERROR(SUMIFS(NP2023_deaths!$D:$D, NP2023_deaths!$A:$A, Keys!$E$5, NP2023_deaths!$B:$B, Keys!$B$5, NP2023_deaths!$C:$C, 2029), 0))+IF(Keys!$F$5="", 0, IFERROR(SUMIFS(NP2023_deaths!$D:$D, NP2023_deaths!$A:$A, Keys!$F$5, NP2023_deaths!$B:$B, Keys!$B$5, NP2023_deaths!$C:$C, 2029), 0))+IF(Keys!$G$5="", 0, IFERROR(SUMIFS(NP2023_deaths!$D:$D, NP2023_deaths!$A:$A, Keys!$G$5, NP2023_deaths!$B:$B, Keys!$B$5, NP2023_deaths!$C:$C, 2029), 0))+IF(Keys!$H$5="", 0, IFERROR(SUMIFS(NP2023_deaths!$D:$D, NP2023_deaths!$A:$A, Keys!$H$5, NP2023_deaths!$B:$B, Keys!$B$5, NP2023_deaths!$C:$C, 2029), 0))</f>
        <v>393708</v>
      </c>
      <c r="H21" s="37">
        <f>IF(Keys!$C$5="", 0, IFERROR(SUMIFS(NP2023_deaths!$D:$D, NP2023_deaths!$A:$A, Keys!$C$5, NP2023_deaths!$B:$B, Keys!$B$5, NP2023_deaths!$C:$C, 2030), 0))+IF(Keys!$D$5="", 0, IFERROR(SUMIFS(NP2023_deaths!$D:$D, NP2023_deaths!$A:$A, Keys!$D$5, NP2023_deaths!$B:$B, Keys!$B$5, NP2023_deaths!$C:$C, 2030), 0))+IF(Keys!$E$5="", 0, IFERROR(SUMIFS(NP2023_deaths!$D:$D, NP2023_deaths!$A:$A, Keys!$E$5, NP2023_deaths!$B:$B, Keys!$B$5, NP2023_deaths!$C:$C, 2030), 0))+IF(Keys!$F$5="", 0, IFERROR(SUMIFS(NP2023_deaths!$D:$D, NP2023_deaths!$A:$A, Keys!$F$5, NP2023_deaths!$B:$B, Keys!$B$5, NP2023_deaths!$C:$C, 2030), 0))+IF(Keys!$G$5="", 0, IFERROR(SUMIFS(NP2023_deaths!$D:$D, NP2023_deaths!$A:$A, Keys!$G$5, NP2023_deaths!$B:$B, Keys!$B$5, NP2023_deaths!$C:$C, 2030), 0))+IF(Keys!$H$5="", 0, IFERROR(SUMIFS(NP2023_deaths!$D:$D, NP2023_deaths!$A:$A, Keys!$H$5, NP2023_deaths!$B:$B, Keys!$B$5, NP2023_deaths!$C:$C, 2030), 0))</f>
        <v>399502</v>
      </c>
      <c r="I21" s="37">
        <f>IF(Keys!$C$5="", 0, IFERROR(SUMIFS(NP2023_deaths!$D:$D, NP2023_deaths!$A:$A, Keys!$C$5, NP2023_deaths!$B:$B, Keys!$B$5, NP2023_deaths!$C:$C, 2031), 0))+IF(Keys!$D$5="", 0, IFERROR(SUMIFS(NP2023_deaths!$D:$D, NP2023_deaths!$A:$A, Keys!$D$5, NP2023_deaths!$B:$B, Keys!$B$5, NP2023_deaths!$C:$C, 2031), 0))+IF(Keys!$E$5="", 0, IFERROR(SUMIFS(NP2023_deaths!$D:$D, NP2023_deaths!$A:$A, Keys!$E$5, NP2023_deaths!$B:$B, Keys!$B$5, NP2023_deaths!$C:$C, 2031), 0))+IF(Keys!$F$5="", 0, IFERROR(SUMIFS(NP2023_deaths!$D:$D, NP2023_deaths!$A:$A, Keys!$F$5, NP2023_deaths!$B:$B, Keys!$B$5, NP2023_deaths!$C:$C, 2031), 0))+IF(Keys!$G$5="", 0, IFERROR(SUMIFS(NP2023_deaths!$D:$D, NP2023_deaths!$A:$A, Keys!$G$5, NP2023_deaths!$B:$B, Keys!$B$5, NP2023_deaths!$C:$C, 2031), 0))+IF(Keys!$H$5="", 0, IFERROR(SUMIFS(NP2023_deaths!$D:$D, NP2023_deaths!$A:$A, Keys!$H$5, NP2023_deaths!$B:$B, Keys!$B$5, NP2023_deaths!$C:$C, 2031), 0))</f>
        <v>405437</v>
      </c>
      <c r="J21" s="37">
        <f>IF(Keys!$C$5="", 0, IFERROR(SUMIFS(NP2023_deaths!$D:$D, NP2023_deaths!$A:$A, Keys!$C$5, NP2023_deaths!$B:$B, Keys!$B$5, NP2023_deaths!$C:$C, 2032), 0))+IF(Keys!$D$5="", 0, IFERROR(SUMIFS(NP2023_deaths!$D:$D, NP2023_deaths!$A:$A, Keys!$D$5, NP2023_deaths!$B:$B, Keys!$B$5, NP2023_deaths!$C:$C, 2032), 0))+IF(Keys!$E$5="", 0, IFERROR(SUMIFS(NP2023_deaths!$D:$D, NP2023_deaths!$A:$A, Keys!$E$5, NP2023_deaths!$B:$B, Keys!$B$5, NP2023_deaths!$C:$C, 2032), 0))+IF(Keys!$F$5="", 0, IFERROR(SUMIFS(NP2023_deaths!$D:$D, NP2023_deaths!$A:$A, Keys!$F$5, NP2023_deaths!$B:$B, Keys!$B$5, NP2023_deaths!$C:$C, 2032), 0))+IF(Keys!$G$5="", 0, IFERROR(SUMIFS(NP2023_deaths!$D:$D, NP2023_deaths!$A:$A, Keys!$G$5, NP2023_deaths!$B:$B, Keys!$B$5, NP2023_deaths!$C:$C, 2032), 0))+IF(Keys!$H$5="", 0, IFERROR(SUMIFS(NP2023_deaths!$D:$D, NP2023_deaths!$A:$A, Keys!$H$5, NP2023_deaths!$B:$B, Keys!$B$5, NP2023_deaths!$C:$C, 2032), 0))</f>
        <v>411481</v>
      </c>
      <c r="K21" s="37">
        <f>IF(Keys!$C$5="", 0, IFERROR(SUMIFS(NP2023_deaths!$D:$D, NP2023_deaths!$A:$A, Keys!$C$5, NP2023_deaths!$B:$B, Keys!$B$5, NP2023_deaths!$C:$C, 2033), 0))+IF(Keys!$D$5="", 0, IFERROR(SUMIFS(NP2023_deaths!$D:$D, NP2023_deaths!$A:$A, Keys!$D$5, NP2023_deaths!$B:$B, Keys!$B$5, NP2023_deaths!$C:$C, 2033), 0))+IF(Keys!$E$5="", 0, IFERROR(SUMIFS(NP2023_deaths!$D:$D, NP2023_deaths!$A:$A, Keys!$E$5, NP2023_deaths!$B:$B, Keys!$B$5, NP2023_deaths!$C:$C, 2033), 0))+IF(Keys!$F$5="", 0, IFERROR(SUMIFS(NP2023_deaths!$D:$D, NP2023_deaths!$A:$A, Keys!$F$5, NP2023_deaths!$B:$B, Keys!$B$5, NP2023_deaths!$C:$C, 2033), 0))+IF(Keys!$G$5="", 0, IFERROR(SUMIFS(NP2023_deaths!$D:$D, NP2023_deaths!$A:$A, Keys!$G$5, NP2023_deaths!$B:$B, Keys!$B$5, NP2023_deaths!$C:$C, 2033), 0))+IF(Keys!$H$5="", 0, IFERROR(SUMIFS(NP2023_deaths!$D:$D, NP2023_deaths!$A:$A, Keys!$H$5, NP2023_deaths!$B:$B, Keys!$B$5, NP2023_deaths!$C:$C, 2033), 0))</f>
        <v>417620</v>
      </c>
      <c r="L21" s="37">
        <f>IF(Keys!$C$5="", 0, IFERROR(SUMIFS(NP2023_deaths!$D:$D, NP2023_deaths!$A:$A, Keys!$C$5, NP2023_deaths!$B:$B, Keys!$B$5, NP2023_deaths!$C:$C, 2034), 0))+IF(Keys!$D$5="", 0, IFERROR(SUMIFS(NP2023_deaths!$D:$D, NP2023_deaths!$A:$A, Keys!$D$5, NP2023_deaths!$B:$B, Keys!$B$5, NP2023_deaths!$C:$C, 2034), 0))+IF(Keys!$E$5="", 0, IFERROR(SUMIFS(NP2023_deaths!$D:$D, NP2023_deaths!$A:$A, Keys!$E$5, NP2023_deaths!$B:$B, Keys!$B$5, NP2023_deaths!$C:$C, 2034), 0))+IF(Keys!$F$5="", 0, IFERROR(SUMIFS(NP2023_deaths!$D:$D, NP2023_deaths!$A:$A, Keys!$F$5, NP2023_deaths!$B:$B, Keys!$B$5, NP2023_deaths!$C:$C, 2034), 0))+IF(Keys!$G$5="", 0, IFERROR(SUMIFS(NP2023_deaths!$D:$D, NP2023_deaths!$A:$A, Keys!$G$5, NP2023_deaths!$B:$B, Keys!$B$5, NP2023_deaths!$C:$C, 2034), 0))+IF(Keys!$H$5="", 0, IFERROR(SUMIFS(NP2023_deaths!$D:$D, NP2023_deaths!$A:$A, Keys!$H$5, NP2023_deaths!$B:$B, Keys!$B$5, NP2023_deaths!$C:$C, 2034), 0))</f>
        <v>423854</v>
      </c>
      <c r="M21" s="37">
        <f>IF(Keys!$C$5="", 0, IFERROR(SUMIFS(NP2023_deaths!$D:$D, NP2023_deaths!$A:$A, Keys!$C$5, NP2023_deaths!$B:$B, Keys!$B$5, NP2023_deaths!$C:$C, 2035), 0))+IF(Keys!$D$5="", 0, IFERROR(SUMIFS(NP2023_deaths!$D:$D, NP2023_deaths!$A:$A, Keys!$D$5, NP2023_deaths!$B:$B, Keys!$B$5, NP2023_deaths!$C:$C, 2035), 0))+IF(Keys!$E$5="", 0, IFERROR(SUMIFS(NP2023_deaths!$D:$D, NP2023_deaths!$A:$A, Keys!$E$5, NP2023_deaths!$B:$B, Keys!$B$5, NP2023_deaths!$C:$C, 2035), 0))+IF(Keys!$F$5="", 0, IFERROR(SUMIFS(NP2023_deaths!$D:$D, NP2023_deaths!$A:$A, Keys!$F$5, NP2023_deaths!$B:$B, Keys!$B$5, NP2023_deaths!$C:$C, 2035), 0))+IF(Keys!$G$5="", 0, IFERROR(SUMIFS(NP2023_deaths!$D:$D, NP2023_deaths!$A:$A, Keys!$G$5, NP2023_deaths!$B:$B, Keys!$B$5, NP2023_deaths!$C:$C, 2035), 0))+IF(Keys!$H$5="", 0, IFERROR(SUMIFS(NP2023_deaths!$D:$D, NP2023_deaths!$A:$A, Keys!$H$5, NP2023_deaths!$B:$B, Keys!$B$5, NP2023_deaths!$C:$C, 2035), 0))</f>
        <v>430160</v>
      </c>
      <c r="N21" s="37">
        <f>IF(Keys!$C$5="", 0, IFERROR(SUMIFS(NP2023_deaths!$D:$D, NP2023_deaths!$A:$A, Keys!$C$5, NP2023_deaths!$B:$B, Keys!$B$5, NP2023_deaths!$C:$C, 2036), 0))+IF(Keys!$D$5="", 0, IFERROR(SUMIFS(NP2023_deaths!$D:$D, NP2023_deaths!$A:$A, Keys!$D$5, NP2023_deaths!$B:$B, Keys!$B$5, NP2023_deaths!$C:$C, 2036), 0))+IF(Keys!$E$5="", 0, IFERROR(SUMIFS(NP2023_deaths!$D:$D, NP2023_deaths!$A:$A, Keys!$E$5, NP2023_deaths!$B:$B, Keys!$B$5, NP2023_deaths!$C:$C, 2036), 0))+IF(Keys!$F$5="", 0, IFERROR(SUMIFS(NP2023_deaths!$D:$D, NP2023_deaths!$A:$A, Keys!$F$5, NP2023_deaths!$B:$B, Keys!$B$5, NP2023_deaths!$C:$C, 2036), 0))+IF(Keys!$G$5="", 0, IFERROR(SUMIFS(NP2023_deaths!$D:$D, NP2023_deaths!$A:$A, Keys!$G$5, NP2023_deaths!$B:$B, Keys!$B$5, NP2023_deaths!$C:$C, 2036), 0))+IF(Keys!$H$5="", 0, IFERROR(SUMIFS(NP2023_deaths!$D:$D, NP2023_deaths!$A:$A, Keys!$H$5, NP2023_deaths!$B:$B, Keys!$B$5, NP2023_deaths!$C:$C, 2036), 0))</f>
        <v>436553</v>
      </c>
      <c r="O21" s="37">
        <f>IF(Keys!$C$5="", 0, IFERROR(SUMIFS(NP2023_deaths!$D:$D, NP2023_deaths!$A:$A, Keys!$C$5, NP2023_deaths!$B:$B, Keys!$B$5, NP2023_deaths!$C:$C, 2037), 0))+IF(Keys!$D$5="", 0, IFERROR(SUMIFS(NP2023_deaths!$D:$D, NP2023_deaths!$A:$A, Keys!$D$5, NP2023_deaths!$B:$B, Keys!$B$5, NP2023_deaths!$C:$C, 2037), 0))+IF(Keys!$E$5="", 0, IFERROR(SUMIFS(NP2023_deaths!$D:$D, NP2023_deaths!$A:$A, Keys!$E$5, NP2023_deaths!$B:$B, Keys!$B$5, NP2023_deaths!$C:$C, 2037), 0))+IF(Keys!$F$5="", 0, IFERROR(SUMIFS(NP2023_deaths!$D:$D, NP2023_deaths!$A:$A, Keys!$F$5, NP2023_deaths!$B:$B, Keys!$B$5, NP2023_deaths!$C:$C, 2037), 0))+IF(Keys!$G$5="", 0, IFERROR(SUMIFS(NP2023_deaths!$D:$D, NP2023_deaths!$A:$A, Keys!$G$5, NP2023_deaths!$B:$B, Keys!$B$5, NP2023_deaths!$C:$C, 2037), 0))+IF(Keys!$H$5="", 0, IFERROR(SUMIFS(NP2023_deaths!$D:$D, NP2023_deaths!$A:$A, Keys!$H$5, NP2023_deaths!$B:$B, Keys!$B$5, NP2023_deaths!$C:$C, 2037), 0))</f>
        <v>442924</v>
      </c>
      <c r="P21" s="37">
        <f>IF(Keys!$C$5="", 0, IFERROR(SUMIFS(NP2023_deaths!$D:$D, NP2023_deaths!$A:$A, Keys!$C$5, NP2023_deaths!$B:$B, Keys!$B$5, NP2023_deaths!$C:$C, 2038), 0))+IF(Keys!$D$5="", 0, IFERROR(SUMIFS(NP2023_deaths!$D:$D, NP2023_deaths!$A:$A, Keys!$D$5, NP2023_deaths!$B:$B, Keys!$B$5, NP2023_deaths!$C:$C, 2038), 0))+IF(Keys!$E$5="", 0, IFERROR(SUMIFS(NP2023_deaths!$D:$D, NP2023_deaths!$A:$A, Keys!$E$5, NP2023_deaths!$B:$B, Keys!$B$5, NP2023_deaths!$C:$C, 2038), 0))+IF(Keys!$F$5="", 0, IFERROR(SUMIFS(NP2023_deaths!$D:$D, NP2023_deaths!$A:$A, Keys!$F$5, NP2023_deaths!$B:$B, Keys!$B$5, NP2023_deaths!$C:$C, 2038), 0))+IF(Keys!$G$5="", 0, IFERROR(SUMIFS(NP2023_deaths!$D:$D, NP2023_deaths!$A:$A, Keys!$G$5, NP2023_deaths!$B:$B, Keys!$B$5, NP2023_deaths!$C:$C, 2038), 0))+IF(Keys!$H$5="", 0, IFERROR(SUMIFS(NP2023_deaths!$D:$D, NP2023_deaths!$A:$A, Keys!$H$5, NP2023_deaths!$B:$B, Keys!$B$5, NP2023_deaths!$C:$C, 2038), 0))</f>
        <v>449316</v>
      </c>
      <c r="Q21" s="37">
        <f>IF(Keys!$C$5="", 0, IFERROR(SUMIFS(NP2023_deaths!$D:$D, NP2023_deaths!$A:$A, Keys!$C$5, NP2023_deaths!$B:$B, Keys!$B$5, NP2023_deaths!$C:$C, 2039), 0))+IF(Keys!$D$5="", 0, IFERROR(SUMIFS(NP2023_deaths!$D:$D, NP2023_deaths!$A:$A, Keys!$D$5, NP2023_deaths!$B:$B, Keys!$B$5, NP2023_deaths!$C:$C, 2039), 0))+IF(Keys!$E$5="", 0, IFERROR(SUMIFS(NP2023_deaths!$D:$D, NP2023_deaths!$A:$A, Keys!$E$5, NP2023_deaths!$B:$B, Keys!$B$5, NP2023_deaths!$C:$C, 2039), 0))+IF(Keys!$F$5="", 0, IFERROR(SUMIFS(NP2023_deaths!$D:$D, NP2023_deaths!$A:$A, Keys!$F$5, NP2023_deaths!$B:$B, Keys!$B$5, NP2023_deaths!$C:$C, 2039), 0))+IF(Keys!$G$5="", 0, IFERROR(SUMIFS(NP2023_deaths!$D:$D, NP2023_deaths!$A:$A, Keys!$G$5, NP2023_deaths!$B:$B, Keys!$B$5, NP2023_deaths!$C:$C, 2039), 0))+IF(Keys!$H$5="", 0, IFERROR(SUMIFS(NP2023_deaths!$D:$D, NP2023_deaths!$A:$A, Keys!$H$5, NP2023_deaths!$B:$B, Keys!$B$5, NP2023_deaths!$C:$C, 2039), 0))</f>
        <v>455639</v>
      </c>
      <c r="R21" s="37">
        <f>IF(Keys!$C$5="", 0, IFERROR(SUMIFS(NP2023_deaths!$D:$D, NP2023_deaths!$A:$A, Keys!$C$5, NP2023_deaths!$B:$B, Keys!$B$5, NP2023_deaths!$C:$C, 2040), 0))+IF(Keys!$D$5="", 0, IFERROR(SUMIFS(NP2023_deaths!$D:$D, NP2023_deaths!$A:$A, Keys!$D$5, NP2023_deaths!$B:$B, Keys!$B$5, NP2023_deaths!$C:$C, 2040), 0))+IF(Keys!$E$5="", 0, IFERROR(SUMIFS(NP2023_deaths!$D:$D, NP2023_deaths!$A:$A, Keys!$E$5, NP2023_deaths!$B:$B, Keys!$B$5, NP2023_deaths!$C:$C, 2040), 0))+IF(Keys!$F$5="", 0, IFERROR(SUMIFS(NP2023_deaths!$D:$D, NP2023_deaths!$A:$A, Keys!$F$5, NP2023_deaths!$B:$B, Keys!$B$5, NP2023_deaths!$C:$C, 2040), 0))+IF(Keys!$G$5="", 0, IFERROR(SUMIFS(NP2023_deaths!$D:$D, NP2023_deaths!$A:$A, Keys!$G$5, NP2023_deaths!$B:$B, Keys!$B$5, NP2023_deaths!$C:$C, 2040), 0))+IF(Keys!$H$5="", 0, IFERROR(SUMIFS(NP2023_deaths!$D:$D, NP2023_deaths!$A:$A, Keys!$H$5, NP2023_deaths!$B:$B, Keys!$B$5, NP2023_deaths!$C:$C, 2040), 0))</f>
        <v>461880</v>
      </c>
      <c r="S21" s="37">
        <f>IF(Keys!$C$5="", 0, IFERROR(SUMIFS(NP2023_deaths!$D:$D, NP2023_deaths!$A:$A, Keys!$C$5, NP2023_deaths!$B:$B, Keys!$B$5, NP2023_deaths!$C:$C, 2041), 0))+IF(Keys!$D$5="", 0, IFERROR(SUMIFS(NP2023_deaths!$D:$D, NP2023_deaths!$A:$A, Keys!$D$5, NP2023_deaths!$B:$B, Keys!$B$5, NP2023_deaths!$C:$C, 2041), 0))+IF(Keys!$E$5="", 0, IFERROR(SUMIFS(NP2023_deaths!$D:$D, NP2023_deaths!$A:$A, Keys!$E$5, NP2023_deaths!$B:$B, Keys!$B$5, NP2023_deaths!$C:$C, 2041), 0))+IF(Keys!$F$5="", 0, IFERROR(SUMIFS(NP2023_deaths!$D:$D, NP2023_deaths!$A:$A, Keys!$F$5, NP2023_deaths!$B:$B, Keys!$B$5, NP2023_deaths!$C:$C, 2041), 0))+IF(Keys!$G$5="", 0, IFERROR(SUMIFS(NP2023_deaths!$D:$D, NP2023_deaths!$A:$A, Keys!$G$5, NP2023_deaths!$B:$B, Keys!$B$5, NP2023_deaths!$C:$C, 2041), 0))+IF(Keys!$H$5="", 0, IFERROR(SUMIFS(NP2023_deaths!$D:$D, NP2023_deaths!$A:$A, Keys!$H$5, NP2023_deaths!$B:$B, Keys!$B$5, NP2023_deaths!$C:$C, 2041), 0))</f>
        <v>468039</v>
      </c>
      <c r="T21" s="37">
        <f>IF(Keys!$C$5="", 0, IFERROR(SUMIFS(NP2023_deaths!$D:$D, NP2023_deaths!$A:$A, Keys!$C$5, NP2023_deaths!$B:$B, Keys!$B$5, NP2023_deaths!$C:$C, 2042), 0))+IF(Keys!$D$5="", 0, IFERROR(SUMIFS(NP2023_deaths!$D:$D, NP2023_deaths!$A:$A, Keys!$D$5, NP2023_deaths!$B:$B, Keys!$B$5, NP2023_deaths!$C:$C, 2042), 0))+IF(Keys!$E$5="", 0, IFERROR(SUMIFS(NP2023_deaths!$D:$D, NP2023_deaths!$A:$A, Keys!$E$5, NP2023_deaths!$B:$B, Keys!$B$5, NP2023_deaths!$C:$C, 2042), 0))+IF(Keys!$F$5="", 0, IFERROR(SUMIFS(NP2023_deaths!$D:$D, NP2023_deaths!$A:$A, Keys!$F$5, NP2023_deaths!$B:$B, Keys!$B$5, NP2023_deaths!$C:$C, 2042), 0))+IF(Keys!$G$5="", 0, IFERROR(SUMIFS(NP2023_deaths!$D:$D, NP2023_deaths!$A:$A, Keys!$G$5, NP2023_deaths!$B:$B, Keys!$B$5, NP2023_deaths!$C:$C, 2042), 0))+IF(Keys!$H$5="", 0, IFERROR(SUMIFS(NP2023_deaths!$D:$D, NP2023_deaths!$A:$A, Keys!$H$5, NP2023_deaths!$B:$B, Keys!$B$5, NP2023_deaths!$C:$C, 2042), 0))</f>
        <v>474027</v>
      </c>
      <c r="U21" s="37">
        <f>IF(Keys!$C$5="", 0, IFERROR(SUMIFS(NP2023_deaths!$D:$D, NP2023_deaths!$A:$A, Keys!$C$5, NP2023_deaths!$B:$B, Keys!$B$5, NP2023_deaths!$C:$C, 2043), 0))+IF(Keys!$D$5="", 0, IFERROR(SUMIFS(NP2023_deaths!$D:$D, NP2023_deaths!$A:$A, Keys!$D$5, NP2023_deaths!$B:$B, Keys!$B$5, NP2023_deaths!$C:$C, 2043), 0))+IF(Keys!$E$5="", 0, IFERROR(SUMIFS(NP2023_deaths!$D:$D, NP2023_deaths!$A:$A, Keys!$E$5, NP2023_deaths!$B:$B, Keys!$B$5, NP2023_deaths!$C:$C, 2043), 0))+IF(Keys!$F$5="", 0, IFERROR(SUMIFS(NP2023_deaths!$D:$D, NP2023_deaths!$A:$A, Keys!$F$5, NP2023_deaths!$B:$B, Keys!$B$5, NP2023_deaths!$C:$C, 2043), 0))+IF(Keys!$G$5="", 0, IFERROR(SUMIFS(NP2023_deaths!$D:$D, NP2023_deaths!$A:$A, Keys!$G$5, NP2023_deaths!$B:$B, Keys!$B$5, NP2023_deaths!$C:$C, 2043), 0))+IF(Keys!$H$5="", 0, IFERROR(SUMIFS(NP2023_deaths!$D:$D, NP2023_deaths!$A:$A, Keys!$H$5, NP2023_deaths!$B:$B, Keys!$B$5, NP2023_deaths!$C:$C, 2043), 0))</f>
        <v>479851</v>
      </c>
      <c r="V21" s="37">
        <f>IF(Keys!$C$5="", 0, IFERROR(SUMIFS(NP2023_deaths!$D:$D, NP2023_deaths!$A:$A, Keys!$C$5, NP2023_deaths!$B:$B, Keys!$B$5, NP2023_deaths!$C:$C, 2044), 0))+IF(Keys!$D$5="", 0, IFERROR(SUMIFS(NP2023_deaths!$D:$D, NP2023_deaths!$A:$A, Keys!$D$5, NP2023_deaths!$B:$B, Keys!$B$5, NP2023_deaths!$C:$C, 2044), 0))+IF(Keys!$E$5="", 0, IFERROR(SUMIFS(NP2023_deaths!$D:$D, NP2023_deaths!$A:$A, Keys!$E$5, NP2023_deaths!$B:$B, Keys!$B$5, NP2023_deaths!$C:$C, 2044), 0))+IF(Keys!$F$5="", 0, IFERROR(SUMIFS(NP2023_deaths!$D:$D, NP2023_deaths!$A:$A, Keys!$F$5, NP2023_deaths!$B:$B, Keys!$B$5, NP2023_deaths!$C:$C, 2044), 0))+IF(Keys!$G$5="", 0, IFERROR(SUMIFS(NP2023_deaths!$D:$D, NP2023_deaths!$A:$A, Keys!$G$5, NP2023_deaths!$B:$B, Keys!$B$5, NP2023_deaths!$C:$C, 2044), 0))+IF(Keys!$H$5="", 0, IFERROR(SUMIFS(NP2023_deaths!$D:$D, NP2023_deaths!$A:$A, Keys!$H$5, NP2023_deaths!$B:$B, Keys!$B$5, NP2023_deaths!$C:$C, 2044), 0))</f>
        <v>485460</v>
      </c>
      <c r="W21" s="37">
        <f>IF(Keys!$C$5="", 0, IFERROR(SUMIFS(NP2023_deaths!$D:$D, NP2023_deaths!$A:$A, Keys!$C$5, NP2023_deaths!$B:$B, Keys!$B$5, NP2023_deaths!$C:$C, 2045), 0))+IF(Keys!$D$5="", 0, IFERROR(SUMIFS(NP2023_deaths!$D:$D, NP2023_deaths!$A:$A, Keys!$D$5, NP2023_deaths!$B:$B, Keys!$B$5, NP2023_deaths!$C:$C, 2045), 0))+IF(Keys!$E$5="", 0, IFERROR(SUMIFS(NP2023_deaths!$D:$D, NP2023_deaths!$A:$A, Keys!$E$5, NP2023_deaths!$B:$B, Keys!$B$5, NP2023_deaths!$C:$C, 2045), 0))+IF(Keys!$F$5="", 0, IFERROR(SUMIFS(NP2023_deaths!$D:$D, NP2023_deaths!$A:$A, Keys!$F$5, NP2023_deaths!$B:$B, Keys!$B$5, NP2023_deaths!$C:$C, 2045), 0))+IF(Keys!$G$5="", 0, IFERROR(SUMIFS(NP2023_deaths!$D:$D, NP2023_deaths!$A:$A, Keys!$G$5, NP2023_deaths!$B:$B, Keys!$B$5, NP2023_deaths!$C:$C, 2045), 0))+IF(Keys!$H$5="", 0, IFERROR(SUMIFS(NP2023_deaths!$D:$D, NP2023_deaths!$A:$A, Keys!$H$5, NP2023_deaths!$B:$B, Keys!$B$5, NP2023_deaths!$C:$C, 2045), 0))</f>
        <v>490765</v>
      </c>
      <c r="X21" s="37">
        <f>IF(Keys!$C$5="", 0, IFERROR(SUMIFS(NP2023_deaths!$D:$D, NP2023_deaths!$A:$A, Keys!$C$5, NP2023_deaths!$B:$B, Keys!$B$5, NP2023_deaths!$C:$C, 2046), 0))+IF(Keys!$D$5="", 0, IFERROR(SUMIFS(NP2023_deaths!$D:$D, NP2023_deaths!$A:$A, Keys!$D$5, NP2023_deaths!$B:$B, Keys!$B$5, NP2023_deaths!$C:$C, 2046), 0))+IF(Keys!$E$5="", 0, IFERROR(SUMIFS(NP2023_deaths!$D:$D, NP2023_deaths!$A:$A, Keys!$E$5, NP2023_deaths!$B:$B, Keys!$B$5, NP2023_deaths!$C:$C, 2046), 0))+IF(Keys!$F$5="", 0, IFERROR(SUMIFS(NP2023_deaths!$D:$D, NP2023_deaths!$A:$A, Keys!$F$5, NP2023_deaths!$B:$B, Keys!$B$5, NP2023_deaths!$C:$C, 2046), 0))+IF(Keys!$G$5="", 0, IFERROR(SUMIFS(NP2023_deaths!$D:$D, NP2023_deaths!$A:$A, Keys!$G$5, NP2023_deaths!$B:$B, Keys!$B$5, NP2023_deaths!$C:$C, 2046), 0))+IF(Keys!$H$5="", 0, IFERROR(SUMIFS(NP2023_deaths!$D:$D, NP2023_deaths!$A:$A, Keys!$H$5, NP2023_deaths!$B:$B, Keys!$B$5, NP2023_deaths!$C:$C, 2046), 0))</f>
        <v>495740</v>
      </c>
      <c r="Y21" s="37">
        <f>IF(Keys!$C$5="", 0, IFERROR(SUMIFS(NP2023_deaths!$D:$D, NP2023_deaths!$A:$A, Keys!$C$5, NP2023_deaths!$B:$B, Keys!$B$5, NP2023_deaths!$C:$C, 2047), 0))+IF(Keys!$D$5="", 0, IFERROR(SUMIFS(NP2023_deaths!$D:$D, NP2023_deaths!$A:$A, Keys!$D$5, NP2023_deaths!$B:$B, Keys!$B$5, NP2023_deaths!$C:$C, 2047), 0))+IF(Keys!$E$5="", 0, IFERROR(SUMIFS(NP2023_deaths!$D:$D, NP2023_deaths!$A:$A, Keys!$E$5, NP2023_deaths!$B:$B, Keys!$B$5, NP2023_deaths!$C:$C, 2047), 0))+IF(Keys!$F$5="", 0, IFERROR(SUMIFS(NP2023_deaths!$D:$D, NP2023_deaths!$A:$A, Keys!$F$5, NP2023_deaths!$B:$B, Keys!$B$5, NP2023_deaths!$C:$C, 2047), 0))+IF(Keys!$G$5="", 0, IFERROR(SUMIFS(NP2023_deaths!$D:$D, NP2023_deaths!$A:$A, Keys!$G$5, NP2023_deaths!$B:$B, Keys!$B$5, NP2023_deaths!$C:$C, 2047), 0))+IF(Keys!$H$5="", 0, IFERROR(SUMIFS(NP2023_deaths!$D:$D, NP2023_deaths!$A:$A, Keys!$H$5, NP2023_deaths!$B:$B, Keys!$B$5, NP2023_deaths!$C:$C, 2047), 0))</f>
        <v>500512</v>
      </c>
      <c r="Z21" s="37">
        <f>IF(Keys!$C$5="", 0, IFERROR(SUMIFS(NP2023_deaths!$D:$D, NP2023_deaths!$A:$A, Keys!$C$5, NP2023_deaths!$B:$B, Keys!$B$5, NP2023_deaths!$C:$C, 2048), 0))+IF(Keys!$D$5="", 0, IFERROR(SUMIFS(NP2023_deaths!$D:$D, NP2023_deaths!$A:$A, Keys!$D$5, NP2023_deaths!$B:$B, Keys!$B$5, NP2023_deaths!$C:$C, 2048), 0))+IF(Keys!$E$5="", 0, IFERROR(SUMIFS(NP2023_deaths!$D:$D, NP2023_deaths!$A:$A, Keys!$E$5, NP2023_deaths!$B:$B, Keys!$B$5, NP2023_deaths!$C:$C, 2048), 0))+IF(Keys!$F$5="", 0, IFERROR(SUMIFS(NP2023_deaths!$D:$D, NP2023_deaths!$A:$A, Keys!$F$5, NP2023_deaths!$B:$B, Keys!$B$5, NP2023_deaths!$C:$C, 2048), 0))+IF(Keys!$G$5="", 0, IFERROR(SUMIFS(NP2023_deaths!$D:$D, NP2023_deaths!$A:$A, Keys!$G$5, NP2023_deaths!$B:$B, Keys!$B$5, NP2023_deaths!$C:$C, 2048), 0))+IF(Keys!$H$5="", 0, IFERROR(SUMIFS(NP2023_deaths!$D:$D, NP2023_deaths!$A:$A, Keys!$H$5, NP2023_deaths!$B:$B, Keys!$B$5, NP2023_deaths!$C:$C, 2048), 0))</f>
        <v>504945</v>
      </c>
      <c r="AA21" s="37">
        <f>IF(Keys!$C$5="", 0, IFERROR(SUMIFS(NP2023_deaths!$D:$D, NP2023_deaths!$A:$A, Keys!$C$5, NP2023_deaths!$B:$B, Keys!$B$5, NP2023_deaths!$C:$C, 2049), 0))+IF(Keys!$D$5="", 0, IFERROR(SUMIFS(NP2023_deaths!$D:$D, NP2023_deaths!$A:$A, Keys!$D$5, NP2023_deaths!$B:$B, Keys!$B$5, NP2023_deaths!$C:$C, 2049), 0))+IF(Keys!$E$5="", 0, IFERROR(SUMIFS(NP2023_deaths!$D:$D, NP2023_deaths!$A:$A, Keys!$E$5, NP2023_deaths!$B:$B, Keys!$B$5, NP2023_deaths!$C:$C, 2049), 0))+IF(Keys!$F$5="", 0, IFERROR(SUMIFS(NP2023_deaths!$D:$D, NP2023_deaths!$A:$A, Keys!$F$5, NP2023_deaths!$B:$B, Keys!$B$5, NP2023_deaths!$C:$C, 2049), 0))+IF(Keys!$G$5="", 0, IFERROR(SUMIFS(NP2023_deaths!$D:$D, NP2023_deaths!$A:$A, Keys!$G$5, NP2023_deaths!$B:$B, Keys!$B$5, NP2023_deaths!$C:$C, 2049), 0))+IF(Keys!$H$5="", 0, IFERROR(SUMIFS(NP2023_deaths!$D:$D, NP2023_deaths!$A:$A, Keys!$H$5, NP2023_deaths!$B:$B, Keys!$B$5, NP2023_deaths!$C:$C, 2049), 0))</f>
        <v>509041</v>
      </c>
      <c r="AB21" s="37">
        <f>IF(Keys!$C$5="", 0, IFERROR(SUMIFS(NP2023_deaths!$D:$D, NP2023_deaths!$A:$A, Keys!$C$5, NP2023_deaths!$B:$B, Keys!$B$5, NP2023_deaths!$C:$C, 2050), 0))+IF(Keys!$D$5="", 0, IFERROR(SUMIFS(NP2023_deaths!$D:$D, NP2023_deaths!$A:$A, Keys!$D$5, NP2023_deaths!$B:$B, Keys!$B$5, NP2023_deaths!$C:$C, 2050), 0))+IF(Keys!$E$5="", 0, IFERROR(SUMIFS(NP2023_deaths!$D:$D, NP2023_deaths!$A:$A, Keys!$E$5, NP2023_deaths!$B:$B, Keys!$B$5, NP2023_deaths!$C:$C, 2050), 0))+IF(Keys!$F$5="", 0, IFERROR(SUMIFS(NP2023_deaths!$D:$D, NP2023_deaths!$A:$A, Keys!$F$5, NP2023_deaths!$B:$B, Keys!$B$5, NP2023_deaths!$C:$C, 2050), 0))+IF(Keys!$G$5="", 0, IFERROR(SUMIFS(NP2023_deaths!$D:$D, NP2023_deaths!$A:$A, Keys!$G$5, NP2023_deaths!$B:$B, Keys!$B$5, NP2023_deaths!$C:$C, 2050), 0))+IF(Keys!$H$5="", 0, IFERROR(SUMIFS(NP2023_deaths!$D:$D, NP2023_deaths!$A:$A, Keys!$H$5, NP2023_deaths!$B:$B, Keys!$B$5, NP2023_deaths!$C:$C, 2050), 0))</f>
        <v>512750</v>
      </c>
    </row>
    <row r="22" spans="1:28" x14ac:dyDescent="0.25">
      <c r="A22" s="4" t="s">
        <v>219</v>
      </c>
      <c r="B22" s="37">
        <f>IF(Keys!$C$6="", 0, IFERROR(SUMIFS(NP2023_deaths!$D:$D, NP2023_deaths!$A:$A, Keys!$C$6, NP2023_deaths!$B:$B, Keys!$B$6, NP2023_deaths!$C:$C, 2024), 0))+IF(Keys!$D$6="", 0, IFERROR(SUMIFS(NP2023_deaths!$D:$D, NP2023_deaths!$A:$A, Keys!$D$6, NP2023_deaths!$B:$B, Keys!$B$6, NP2023_deaths!$C:$C, 2024), 0))+IF(Keys!$E$6="", 0, IFERROR(SUMIFS(NP2023_deaths!$D:$D, NP2023_deaths!$A:$A, Keys!$E$6, NP2023_deaths!$B:$B, Keys!$B$6, NP2023_deaths!$C:$C, 2024), 0))+IF(Keys!$F$6="", 0, IFERROR(SUMIFS(NP2023_deaths!$D:$D, NP2023_deaths!$A:$A, Keys!$F$6, NP2023_deaths!$B:$B, Keys!$B$6, NP2023_deaths!$C:$C, 2024), 0))+IF(Keys!$G$6="", 0, IFERROR(SUMIFS(NP2023_deaths!$D:$D, NP2023_deaths!$A:$A, Keys!$G$6, NP2023_deaths!$B:$B, Keys!$B$6, NP2023_deaths!$C:$C, 2024), 0))+IF(Keys!$H$6="", 0, IFERROR(SUMIFS(NP2023_deaths!$D:$D, NP2023_deaths!$A:$A, Keys!$H$6, NP2023_deaths!$B:$B, Keys!$B$6, NP2023_deaths!$C:$C, 2024), 0))</f>
        <v>122714</v>
      </c>
      <c r="C22" s="37">
        <f>IF(Keys!$C$6="", 0, IFERROR(SUMIFS(NP2023_deaths!$D:$D, NP2023_deaths!$A:$A, Keys!$C$6, NP2023_deaths!$B:$B, Keys!$B$6, NP2023_deaths!$C:$C, 2025), 0))+IF(Keys!$D$6="", 0, IFERROR(SUMIFS(NP2023_deaths!$D:$D, NP2023_deaths!$A:$A, Keys!$D$6, NP2023_deaths!$B:$B, Keys!$B$6, NP2023_deaths!$C:$C, 2025), 0))+IF(Keys!$E$6="", 0, IFERROR(SUMIFS(NP2023_deaths!$D:$D, NP2023_deaths!$A:$A, Keys!$E$6, NP2023_deaths!$B:$B, Keys!$B$6, NP2023_deaths!$C:$C, 2025), 0))+IF(Keys!$F$6="", 0, IFERROR(SUMIFS(NP2023_deaths!$D:$D, NP2023_deaths!$A:$A, Keys!$F$6, NP2023_deaths!$B:$B, Keys!$B$6, NP2023_deaths!$C:$C, 2025), 0))+IF(Keys!$G$6="", 0, IFERROR(SUMIFS(NP2023_deaths!$D:$D, NP2023_deaths!$A:$A, Keys!$G$6, NP2023_deaths!$B:$B, Keys!$B$6, NP2023_deaths!$C:$C, 2025), 0))+IF(Keys!$H$6="", 0, IFERROR(SUMIFS(NP2023_deaths!$D:$D, NP2023_deaths!$A:$A, Keys!$H$6, NP2023_deaths!$B:$B, Keys!$B$6, NP2023_deaths!$C:$C, 2025), 0))</f>
        <v>125586</v>
      </c>
      <c r="D22" s="37">
        <f>IF(Keys!$C$6="", 0, IFERROR(SUMIFS(NP2023_deaths!$D:$D, NP2023_deaths!$A:$A, Keys!$C$6, NP2023_deaths!$B:$B, Keys!$B$6, NP2023_deaths!$C:$C, 2026), 0))+IF(Keys!$D$6="", 0, IFERROR(SUMIFS(NP2023_deaths!$D:$D, NP2023_deaths!$A:$A, Keys!$D$6, NP2023_deaths!$B:$B, Keys!$B$6, NP2023_deaths!$C:$C, 2026), 0))+IF(Keys!$E$6="", 0, IFERROR(SUMIFS(NP2023_deaths!$D:$D, NP2023_deaths!$A:$A, Keys!$E$6, NP2023_deaths!$B:$B, Keys!$B$6, NP2023_deaths!$C:$C, 2026), 0))+IF(Keys!$F$6="", 0, IFERROR(SUMIFS(NP2023_deaths!$D:$D, NP2023_deaths!$A:$A, Keys!$F$6, NP2023_deaths!$B:$B, Keys!$B$6, NP2023_deaths!$C:$C, 2026), 0))+IF(Keys!$G$6="", 0, IFERROR(SUMIFS(NP2023_deaths!$D:$D, NP2023_deaths!$A:$A, Keys!$G$6, NP2023_deaths!$B:$B, Keys!$B$6, NP2023_deaths!$C:$C, 2026), 0))+IF(Keys!$H$6="", 0, IFERROR(SUMIFS(NP2023_deaths!$D:$D, NP2023_deaths!$A:$A, Keys!$H$6, NP2023_deaths!$B:$B, Keys!$B$6, NP2023_deaths!$C:$C, 2026), 0))</f>
        <v>128545</v>
      </c>
      <c r="E22" s="37">
        <f>IF(Keys!$C$6="", 0, IFERROR(SUMIFS(NP2023_deaths!$D:$D, NP2023_deaths!$A:$A, Keys!$C$6, NP2023_deaths!$B:$B, Keys!$B$6, NP2023_deaths!$C:$C, 2027), 0))+IF(Keys!$D$6="", 0, IFERROR(SUMIFS(NP2023_deaths!$D:$D, NP2023_deaths!$A:$A, Keys!$D$6, NP2023_deaths!$B:$B, Keys!$B$6, NP2023_deaths!$C:$C, 2027), 0))+IF(Keys!$E$6="", 0, IFERROR(SUMIFS(NP2023_deaths!$D:$D, NP2023_deaths!$A:$A, Keys!$E$6, NP2023_deaths!$B:$B, Keys!$B$6, NP2023_deaths!$C:$C, 2027), 0))+IF(Keys!$F$6="", 0, IFERROR(SUMIFS(NP2023_deaths!$D:$D, NP2023_deaths!$A:$A, Keys!$F$6, NP2023_deaths!$B:$B, Keys!$B$6, NP2023_deaths!$C:$C, 2027), 0))+IF(Keys!$G$6="", 0, IFERROR(SUMIFS(NP2023_deaths!$D:$D, NP2023_deaths!$A:$A, Keys!$G$6, NP2023_deaths!$B:$B, Keys!$B$6, NP2023_deaths!$C:$C, 2027), 0))+IF(Keys!$H$6="", 0, IFERROR(SUMIFS(NP2023_deaths!$D:$D, NP2023_deaths!$A:$A, Keys!$H$6, NP2023_deaths!$B:$B, Keys!$B$6, NP2023_deaths!$C:$C, 2027), 0))</f>
        <v>131692</v>
      </c>
      <c r="F22" s="37">
        <f>IF(Keys!$C$6="", 0, IFERROR(SUMIFS(NP2023_deaths!$D:$D, NP2023_deaths!$A:$A, Keys!$C$6, NP2023_deaths!$B:$B, Keys!$B$6, NP2023_deaths!$C:$C, 2028), 0))+IF(Keys!$D$6="", 0, IFERROR(SUMIFS(NP2023_deaths!$D:$D, NP2023_deaths!$A:$A, Keys!$D$6, NP2023_deaths!$B:$B, Keys!$B$6, NP2023_deaths!$C:$C, 2028), 0))+IF(Keys!$E$6="", 0, IFERROR(SUMIFS(NP2023_deaths!$D:$D, NP2023_deaths!$A:$A, Keys!$E$6, NP2023_deaths!$B:$B, Keys!$B$6, NP2023_deaths!$C:$C, 2028), 0))+IF(Keys!$F$6="", 0, IFERROR(SUMIFS(NP2023_deaths!$D:$D, NP2023_deaths!$A:$A, Keys!$F$6, NP2023_deaths!$B:$B, Keys!$B$6, NP2023_deaths!$C:$C, 2028), 0))+IF(Keys!$G$6="", 0, IFERROR(SUMIFS(NP2023_deaths!$D:$D, NP2023_deaths!$A:$A, Keys!$G$6, NP2023_deaths!$B:$B, Keys!$B$6, NP2023_deaths!$C:$C, 2028), 0))+IF(Keys!$H$6="", 0, IFERROR(SUMIFS(NP2023_deaths!$D:$D, NP2023_deaths!$A:$A, Keys!$H$6, NP2023_deaths!$B:$B, Keys!$B$6, NP2023_deaths!$C:$C, 2028), 0))</f>
        <v>135063</v>
      </c>
      <c r="G22" s="37">
        <f>IF(Keys!$C$6="", 0, IFERROR(SUMIFS(NP2023_deaths!$D:$D, NP2023_deaths!$A:$A, Keys!$C$6, NP2023_deaths!$B:$B, Keys!$B$6, NP2023_deaths!$C:$C, 2029), 0))+IF(Keys!$D$6="", 0, IFERROR(SUMIFS(NP2023_deaths!$D:$D, NP2023_deaths!$A:$A, Keys!$D$6, NP2023_deaths!$B:$B, Keys!$B$6, NP2023_deaths!$C:$C, 2029), 0))+IF(Keys!$E$6="", 0, IFERROR(SUMIFS(NP2023_deaths!$D:$D, NP2023_deaths!$A:$A, Keys!$E$6, NP2023_deaths!$B:$B, Keys!$B$6, NP2023_deaths!$C:$C, 2029), 0))+IF(Keys!$F$6="", 0, IFERROR(SUMIFS(NP2023_deaths!$D:$D, NP2023_deaths!$A:$A, Keys!$F$6, NP2023_deaths!$B:$B, Keys!$B$6, NP2023_deaths!$C:$C, 2029), 0))+IF(Keys!$G$6="", 0, IFERROR(SUMIFS(NP2023_deaths!$D:$D, NP2023_deaths!$A:$A, Keys!$G$6, NP2023_deaths!$B:$B, Keys!$B$6, NP2023_deaths!$C:$C, 2029), 0))+IF(Keys!$H$6="", 0, IFERROR(SUMIFS(NP2023_deaths!$D:$D, NP2023_deaths!$A:$A, Keys!$H$6, NP2023_deaths!$B:$B, Keys!$B$6, NP2023_deaths!$C:$C, 2029), 0))</f>
        <v>138655</v>
      </c>
      <c r="H22" s="37">
        <f>IF(Keys!$C$6="", 0, IFERROR(SUMIFS(NP2023_deaths!$D:$D, NP2023_deaths!$A:$A, Keys!$C$6, NP2023_deaths!$B:$B, Keys!$B$6, NP2023_deaths!$C:$C, 2030), 0))+IF(Keys!$D$6="", 0, IFERROR(SUMIFS(NP2023_deaths!$D:$D, NP2023_deaths!$A:$A, Keys!$D$6, NP2023_deaths!$B:$B, Keys!$B$6, NP2023_deaths!$C:$C, 2030), 0))+IF(Keys!$E$6="", 0, IFERROR(SUMIFS(NP2023_deaths!$D:$D, NP2023_deaths!$A:$A, Keys!$E$6, NP2023_deaths!$B:$B, Keys!$B$6, NP2023_deaths!$C:$C, 2030), 0))+IF(Keys!$F$6="", 0, IFERROR(SUMIFS(NP2023_deaths!$D:$D, NP2023_deaths!$A:$A, Keys!$F$6, NP2023_deaths!$B:$B, Keys!$B$6, NP2023_deaths!$C:$C, 2030), 0))+IF(Keys!$G$6="", 0, IFERROR(SUMIFS(NP2023_deaths!$D:$D, NP2023_deaths!$A:$A, Keys!$G$6, NP2023_deaths!$B:$B, Keys!$B$6, NP2023_deaths!$C:$C, 2030), 0))+IF(Keys!$H$6="", 0, IFERROR(SUMIFS(NP2023_deaths!$D:$D, NP2023_deaths!$A:$A, Keys!$H$6, NP2023_deaths!$B:$B, Keys!$B$6, NP2023_deaths!$C:$C, 2030), 0))</f>
        <v>142476</v>
      </c>
      <c r="I22" s="37">
        <f>IF(Keys!$C$6="", 0, IFERROR(SUMIFS(NP2023_deaths!$D:$D, NP2023_deaths!$A:$A, Keys!$C$6, NP2023_deaths!$B:$B, Keys!$B$6, NP2023_deaths!$C:$C, 2031), 0))+IF(Keys!$D$6="", 0, IFERROR(SUMIFS(NP2023_deaths!$D:$D, NP2023_deaths!$A:$A, Keys!$D$6, NP2023_deaths!$B:$B, Keys!$B$6, NP2023_deaths!$C:$C, 2031), 0))+IF(Keys!$E$6="", 0, IFERROR(SUMIFS(NP2023_deaths!$D:$D, NP2023_deaths!$A:$A, Keys!$E$6, NP2023_deaths!$B:$B, Keys!$B$6, NP2023_deaths!$C:$C, 2031), 0))+IF(Keys!$F$6="", 0, IFERROR(SUMIFS(NP2023_deaths!$D:$D, NP2023_deaths!$A:$A, Keys!$F$6, NP2023_deaths!$B:$B, Keys!$B$6, NP2023_deaths!$C:$C, 2031), 0))+IF(Keys!$G$6="", 0, IFERROR(SUMIFS(NP2023_deaths!$D:$D, NP2023_deaths!$A:$A, Keys!$G$6, NP2023_deaths!$B:$B, Keys!$B$6, NP2023_deaths!$C:$C, 2031), 0))+IF(Keys!$H$6="", 0, IFERROR(SUMIFS(NP2023_deaths!$D:$D, NP2023_deaths!$A:$A, Keys!$H$6, NP2023_deaths!$B:$B, Keys!$B$6, NP2023_deaths!$C:$C, 2031), 0))</f>
        <v>146526</v>
      </c>
      <c r="J22" s="37">
        <f>IF(Keys!$C$6="", 0, IFERROR(SUMIFS(NP2023_deaths!$D:$D, NP2023_deaths!$A:$A, Keys!$C$6, NP2023_deaths!$B:$B, Keys!$B$6, NP2023_deaths!$C:$C, 2032), 0))+IF(Keys!$D$6="", 0, IFERROR(SUMIFS(NP2023_deaths!$D:$D, NP2023_deaths!$A:$A, Keys!$D$6, NP2023_deaths!$B:$B, Keys!$B$6, NP2023_deaths!$C:$C, 2032), 0))+IF(Keys!$E$6="", 0, IFERROR(SUMIFS(NP2023_deaths!$D:$D, NP2023_deaths!$A:$A, Keys!$E$6, NP2023_deaths!$B:$B, Keys!$B$6, NP2023_deaths!$C:$C, 2032), 0))+IF(Keys!$F$6="", 0, IFERROR(SUMIFS(NP2023_deaths!$D:$D, NP2023_deaths!$A:$A, Keys!$F$6, NP2023_deaths!$B:$B, Keys!$B$6, NP2023_deaths!$C:$C, 2032), 0))+IF(Keys!$G$6="", 0, IFERROR(SUMIFS(NP2023_deaths!$D:$D, NP2023_deaths!$A:$A, Keys!$G$6, NP2023_deaths!$B:$B, Keys!$B$6, NP2023_deaths!$C:$C, 2032), 0))+IF(Keys!$H$6="", 0, IFERROR(SUMIFS(NP2023_deaths!$D:$D, NP2023_deaths!$A:$A, Keys!$H$6, NP2023_deaths!$B:$B, Keys!$B$6, NP2023_deaths!$C:$C, 2032), 0))</f>
        <v>150727</v>
      </c>
      <c r="K22" s="37">
        <f>IF(Keys!$C$6="", 0, IFERROR(SUMIFS(NP2023_deaths!$D:$D, NP2023_deaths!$A:$A, Keys!$C$6, NP2023_deaths!$B:$B, Keys!$B$6, NP2023_deaths!$C:$C, 2033), 0))+IF(Keys!$D$6="", 0, IFERROR(SUMIFS(NP2023_deaths!$D:$D, NP2023_deaths!$A:$A, Keys!$D$6, NP2023_deaths!$B:$B, Keys!$B$6, NP2023_deaths!$C:$C, 2033), 0))+IF(Keys!$E$6="", 0, IFERROR(SUMIFS(NP2023_deaths!$D:$D, NP2023_deaths!$A:$A, Keys!$E$6, NP2023_deaths!$B:$B, Keys!$B$6, NP2023_deaths!$C:$C, 2033), 0))+IF(Keys!$F$6="", 0, IFERROR(SUMIFS(NP2023_deaths!$D:$D, NP2023_deaths!$A:$A, Keys!$F$6, NP2023_deaths!$B:$B, Keys!$B$6, NP2023_deaths!$C:$C, 2033), 0))+IF(Keys!$G$6="", 0, IFERROR(SUMIFS(NP2023_deaths!$D:$D, NP2023_deaths!$A:$A, Keys!$G$6, NP2023_deaths!$B:$B, Keys!$B$6, NP2023_deaths!$C:$C, 2033), 0))+IF(Keys!$H$6="", 0, IFERROR(SUMIFS(NP2023_deaths!$D:$D, NP2023_deaths!$A:$A, Keys!$H$6, NP2023_deaths!$B:$B, Keys!$B$6, NP2023_deaths!$C:$C, 2033), 0))</f>
        <v>155055</v>
      </c>
      <c r="L22" s="37">
        <f>IF(Keys!$C$6="", 0, IFERROR(SUMIFS(NP2023_deaths!$D:$D, NP2023_deaths!$A:$A, Keys!$C$6, NP2023_deaths!$B:$B, Keys!$B$6, NP2023_deaths!$C:$C, 2034), 0))+IF(Keys!$D$6="", 0, IFERROR(SUMIFS(NP2023_deaths!$D:$D, NP2023_deaths!$A:$A, Keys!$D$6, NP2023_deaths!$B:$B, Keys!$B$6, NP2023_deaths!$C:$C, 2034), 0))+IF(Keys!$E$6="", 0, IFERROR(SUMIFS(NP2023_deaths!$D:$D, NP2023_deaths!$A:$A, Keys!$E$6, NP2023_deaths!$B:$B, Keys!$B$6, NP2023_deaths!$C:$C, 2034), 0))+IF(Keys!$F$6="", 0, IFERROR(SUMIFS(NP2023_deaths!$D:$D, NP2023_deaths!$A:$A, Keys!$F$6, NP2023_deaths!$B:$B, Keys!$B$6, NP2023_deaths!$C:$C, 2034), 0))+IF(Keys!$G$6="", 0, IFERROR(SUMIFS(NP2023_deaths!$D:$D, NP2023_deaths!$A:$A, Keys!$G$6, NP2023_deaths!$B:$B, Keys!$B$6, NP2023_deaths!$C:$C, 2034), 0))+IF(Keys!$H$6="", 0, IFERROR(SUMIFS(NP2023_deaths!$D:$D, NP2023_deaths!$A:$A, Keys!$H$6, NP2023_deaths!$B:$B, Keys!$B$6, NP2023_deaths!$C:$C, 2034), 0))</f>
        <v>159544</v>
      </c>
      <c r="M22" s="37">
        <f>IF(Keys!$C$6="", 0, IFERROR(SUMIFS(NP2023_deaths!$D:$D, NP2023_deaths!$A:$A, Keys!$C$6, NP2023_deaths!$B:$B, Keys!$B$6, NP2023_deaths!$C:$C, 2035), 0))+IF(Keys!$D$6="", 0, IFERROR(SUMIFS(NP2023_deaths!$D:$D, NP2023_deaths!$A:$A, Keys!$D$6, NP2023_deaths!$B:$B, Keys!$B$6, NP2023_deaths!$C:$C, 2035), 0))+IF(Keys!$E$6="", 0, IFERROR(SUMIFS(NP2023_deaths!$D:$D, NP2023_deaths!$A:$A, Keys!$E$6, NP2023_deaths!$B:$B, Keys!$B$6, NP2023_deaths!$C:$C, 2035), 0))+IF(Keys!$F$6="", 0, IFERROR(SUMIFS(NP2023_deaths!$D:$D, NP2023_deaths!$A:$A, Keys!$F$6, NP2023_deaths!$B:$B, Keys!$B$6, NP2023_deaths!$C:$C, 2035), 0))+IF(Keys!$G$6="", 0, IFERROR(SUMIFS(NP2023_deaths!$D:$D, NP2023_deaths!$A:$A, Keys!$G$6, NP2023_deaths!$B:$B, Keys!$B$6, NP2023_deaths!$C:$C, 2035), 0))+IF(Keys!$H$6="", 0, IFERROR(SUMIFS(NP2023_deaths!$D:$D, NP2023_deaths!$A:$A, Keys!$H$6, NP2023_deaths!$B:$B, Keys!$B$6, NP2023_deaths!$C:$C, 2035), 0))</f>
        <v>164164</v>
      </c>
      <c r="N22" s="37">
        <f>IF(Keys!$C$6="", 0, IFERROR(SUMIFS(NP2023_deaths!$D:$D, NP2023_deaths!$A:$A, Keys!$C$6, NP2023_deaths!$B:$B, Keys!$B$6, NP2023_deaths!$C:$C, 2036), 0))+IF(Keys!$D$6="", 0, IFERROR(SUMIFS(NP2023_deaths!$D:$D, NP2023_deaths!$A:$A, Keys!$D$6, NP2023_deaths!$B:$B, Keys!$B$6, NP2023_deaths!$C:$C, 2036), 0))+IF(Keys!$E$6="", 0, IFERROR(SUMIFS(NP2023_deaths!$D:$D, NP2023_deaths!$A:$A, Keys!$E$6, NP2023_deaths!$B:$B, Keys!$B$6, NP2023_deaths!$C:$C, 2036), 0))+IF(Keys!$F$6="", 0, IFERROR(SUMIFS(NP2023_deaths!$D:$D, NP2023_deaths!$A:$A, Keys!$F$6, NP2023_deaths!$B:$B, Keys!$B$6, NP2023_deaths!$C:$C, 2036), 0))+IF(Keys!$G$6="", 0, IFERROR(SUMIFS(NP2023_deaths!$D:$D, NP2023_deaths!$A:$A, Keys!$G$6, NP2023_deaths!$B:$B, Keys!$B$6, NP2023_deaths!$C:$C, 2036), 0))+IF(Keys!$H$6="", 0, IFERROR(SUMIFS(NP2023_deaths!$D:$D, NP2023_deaths!$A:$A, Keys!$H$6, NP2023_deaths!$B:$B, Keys!$B$6, NP2023_deaths!$C:$C, 2036), 0))</f>
        <v>168893</v>
      </c>
      <c r="O22" s="37">
        <f>IF(Keys!$C$6="", 0, IFERROR(SUMIFS(NP2023_deaths!$D:$D, NP2023_deaths!$A:$A, Keys!$C$6, NP2023_deaths!$B:$B, Keys!$B$6, NP2023_deaths!$C:$C, 2037), 0))+IF(Keys!$D$6="", 0, IFERROR(SUMIFS(NP2023_deaths!$D:$D, NP2023_deaths!$A:$A, Keys!$D$6, NP2023_deaths!$B:$B, Keys!$B$6, NP2023_deaths!$C:$C, 2037), 0))+IF(Keys!$E$6="", 0, IFERROR(SUMIFS(NP2023_deaths!$D:$D, NP2023_deaths!$A:$A, Keys!$E$6, NP2023_deaths!$B:$B, Keys!$B$6, NP2023_deaths!$C:$C, 2037), 0))+IF(Keys!$F$6="", 0, IFERROR(SUMIFS(NP2023_deaths!$D:$D, NP2023_deaths!$A:$A, Keys!$F$6, NP2023_deaths!$B:$B, Keys!$B$6, NP2023_deaths!$C:$C, 2037), 0))+IF(Keys!$G$6="", 0, IFERROR(SUMIFS(NP2023_deaths!$D:$D, NP2023_deaths!$A:$A, Keys!$G$6, NP2023_deaths!$B:$B, Keys!$B$6, NP2023_deaths!$C:$C, 2037), 0))+IF(Keys!$H$6="", 0, IFERROR(SUMIFS(NP2023_deaths!$D:$D, NP2023_deaths!$A:$A, Keys!$H$6, NP2023_deaths!$B:$B, Keys!$B$6, NP2023_deaths!$C:$C, 2037), 0))</f>
        <v>173700</v>
      </c>
      <c r="P22" s="37">
        <f>IF(Keys!$C$6="", 0, IFERROR(SUMIFS(NP2023_deaths!$D:$D, NP2023_deaths!$A:$A, Keys!$C$6, NP2023_deaths!$B:$B, Keys!$B$6, NP2023_deaths!$C:$C, 2038), 0))+IF(Keys!$D$6="", 0, IFERROR(SUMIFS(NP2023_deaths!$D:$D, NP2023_deaths!$A:$A, Keys!$D$6, NP2023_deaths!$B:$B, Keys!$B$6, NP2023_deaths!$C:$C, 2038), 0))+IF(Keys!$E$6="", 0, IFERROR(SUMIFS(NP2023_deaths!$D:$D, NP2023_deaths!$A:$A, Keys!$E$6, NP2023_deaths!$B:$B, Keys!$B$6, NP2023_deaths!$C:$C, 2038), 0))+IF(Keys!$F$6="", 0, IFERROR(SUMIFS(NP2023_deaths!$D:$D, NP2023_deaths!$A:$A, Keys!$F$6, NP2023_deaths!$B:$B, Keys!$B$6, NP2023_deaths!$C:$C, 2038), 0))+IF(Keys!$G$6="", 0, IFERROR(SUMIFS(NP2023_deaths!$D:$D, NP2023_deaths!$A:$A, Keys!$G$6, NP2023_deaths!$B:$B, Keys!$B$6, NP2023_deaths!$C:$C, 2038), 0))+IF(Keys!$H$6="", 0, IFERROR(SUMIFS(NP2023_deaths!$D:$D, NP2023_deaths!$A:$A, Keys!$H$6, NP2023_deaths!$B:$B, Keys!$B$6, NP2023_deaths!$C:$C, 2038), 0))</f>
        <v>178567</v>
      </c>
      <c r="Q22" s="37">
        <f>IF(Keys!$C$6="", 0, IFERROR(SUMIFS(NP2023_deaths!$D:$D, NP2023_deaths!$A:$A, Keys!$C$6, NP2023_deaths!$B:$B, Keys!$B$6, NP2023_deaths!$C:$C, 2039), 0))+IF(Keys!$D$6="", 0, IFERROR(SUMIFS(NP2023_deaths!$D:$D, NP2023_deaths!$A:$A, Keys!$D$6, NP2023_deaths!$B:$B, Keys!$B$6, NP2023_deaths!$C:$C, 2039), 0))+IF(Keys!$E$6="", 0, IFERROR(SUMIFS(NP2023_deaths!$D:$D, NP2023_deaths!$A:$A, Keys!$E$6, NP2023_deaths!$B:$B, Keys!$B$6, NP2023_deaths!$C:$C, 2039), 0))+IF(Keys!$F$6="", 0, IFERROR(SUMIFS(NP2023_deaths!$D:$D, NP2023_deaths!$A:$A, Keys!$F$6, NP2023_deaths!$B:$B, Keys!$B$6, NP2023_deaths!$C:$C, 2039), 0))+IF(Keys!$G$6="", 0, IFERROR(SUMIFS(NP2023_deaths!$D:$D, NP2023_deaths!$A:$A, Keys!$G$6, NP2023_deaths!$B:$B, Keys!$B$6, NP2023_deaths!$C:$C, 2039), 0))+IF(Keys!$H$6="", 0, IFERROR(SUMIFS(NP2023_deaths!$D:$D, NP2023_deaths!$A:$A, Keys!$H$6, NP2023_deaths!$B:$B, Keys!$B$6, NP2023_deaths!$C:$C, 2039), 0))</f>
        <v>183461</v>
      </c>
      <c r="R22" s="37">
        <f>IF(Keys!$C$6="", 0, IFERROR(SUMIFS(NP2023_deaths!$D:$D, NP2023_deaths!$A:$A, Keys!$C$6, NP2023_deaths!$B:$B, Keys!$B$6, NP2023_deaths!$C:$C, 2040), 0))+IF(Keys!$D$6="", 0, IFERROR(SUMIFS(NP2023_deaths!$D:$D, NP2023_deaths!$A:$A, Keys!$D$6, NP2023_deaths!$B:$B, Keys!$B$6, NP2023_deaths!$C:$C, 2040), 0))+IF(Keys!$E$6="", 0, IFERROR(SUMIFS(NP2023_deaths!$D:$D, NP2023_deaths!$A:$A, Keys!$E$6, NP2023_deaths!$B:$B, Keys!$B$6, NP2023_deaths!$C:$C, 2040), 0))+IF(Keys!$F$6="", 0, IFERROR(SUMIFS(NP2023_deaths!$D:$D, NP2023_deaths!$A:$A, Keys!$F$6, NP2023_deaths!$B:$B, Keys!$B$6, NP2023_deaths!$C:$C, 2040), 0))+IF(Keys!$G$6="", 0, IFERROR(SUMIFS(NP2023_deaths!$D:$D, NP2023_deaths!$A:$A, Keys!$G$6, NP2023_deaths!$B:$B, Keys!$B$6, NP2023_deaths!$C:$C, 2040), 0))+IF(Keys!$H$6="", 0, IFERROR(SUMIFS(NP2023_deaths!$D:$D, NP2023_deaths!$A:$A, Keys!$H$6, NP2023_deaths!$B:$B, Keys!$B$6, NP2023_deaths!$C:$C, 2040), 0))</f>
        <v>188361</v>
      </c>
      <c r="S22" s="37">
        <f>IF(Keys!$C$6="", 0, IFERROR(SUMIFS(NP2023_deaths!$D:$D, NP2023_deaths!$A:$A, Keys!$C$6, NP2023_deaths!$B:$B, Keys!$B$6, NP2023_deaths!$C:$C, 2041), 0))+IF(Keys!$D$6="", 0, IFERROR(SUMIFS(NP2023_deaths!$D:$D, NP2023_deaths!$A:$A, Keys!$D$6, NP2023_deaths!$B:$B, Keys!$B$6, NP2023_deaths!$C:$C, 2041), 0))+IF(Keys!$E$6="", 0, IFERROR(SUMIFS(NP2023_deaths!$D:$D, NP2023_deaths!$A:$A, Keys!$E$6, NP2023_deaths!$B:$B, Keys!$B$6, NP2023_deaths!$C:$C, 2041), 0))+IF(Keys!$F$6="", 0, IFERROR(SUMIFS(NP2023_deaths!$D:$D, NP2023_deaths!$A:$A, Keys!$F$6, NP2023_deaths!$B:$B, Keys!$B$6, NP2023_deaths!$C:$C, 2041), 0))+IF(Keys!$G$6="", 0, IFERROR(SUMIFS(NP2023_deaths!$D:$D, NP2023_deaths!$A:$A, Keys!$G$6, NP2023_deaths!$B:$B, Keys!$B$6, NP2023_deaths!$C:$C, 2041), 0))+IF(Keys!$H$6="", 0, IFERROR(SUMIFS(NP2023_deaths!$D:$D, NP2023_deaths!$A:$A, Keys!$H$6, NP2023_deaths!$B:$B, Keys!$B$6, NP2023_deaths!$C:$C, 2041), 0))</f>
        <v>193237</v>
      </c>
      <c r="T22" s="37">
        <f>IF(Keys!$C$6="", 0, IFERROR(SUMIFS(NP2023_deaths!$D:$D, NP2023_deaths!$A:$A, Keys!$C$6, NP2023_deaths!$B:$B, Keys!$B$6, NP2023_deaths!$C:$C, 2042), 0))+IF(Keys!$D$6="", 0, IFERROR(SUMIFS(NP2023_deaths!$D:$D, NP2023_deaths!$A:$A, Keys!$D$6, NP2023_deaths!$B:$B, Keys!$B$6, NP2023_deaths!$C:$C, 2042), 0))+IF(Keys!$E$6="", 0, IFERROR(SUMIFS(NP2023_deaths!$D:$D, NP2023_deaths!$A:$A, Keys!$E$6, NP2023_deaths!$B:$B, Keys!$B$6, NP2023_deaths!$C:$C, 2042), 0))+IF(Keys!$F$6="", 0, IFERROR(SUMIFS(NP2023_deaths!$D:$D, NP2023_deaths!$A:$A, Keys!$F$6, NP2023_deaths!$B:$B, Keys!$B$6, NP2023_deaths!$C:$C, 2042), 0))+IF(Keys!$G$6="", 0, IFERROR(SUMIFS(NP2023_deaths!$D:$D, NP2023_deaths!$A:$A, Keys!$G$6, NP2023_deaths!$B:$B, Keys!$B$6, NP2023_deaths!$C:$C, 2042), 0))+IF(Keys!$H$6="", 0, IFERROR(SUMIFS(NP2023_deaths!$D:$D, NP2023_deaths!$A:$A, Keys!$H$6, NP2023_deaths!$B:$B, Keys!$B$6, NP2023_deaths!$C:$C, 2042), 0))</f>
        <v>198091</v>
      </c>
      <c r="U22" s="37">
        <f>IF(Keys!$C$6="", 0, IFERROR(SUMIFS(NP2023_deaths!$D:$D, NP2023_deaths!$A:$A, Keys!$C$6, NP2023_deaths!$B:$B, Keys!$B$6, NP2023_deaths!$C:$C, 2043), 0))+IF(Keys!$D$6="", 0, IFERROR(SUMIFS(NP2023_deaths!$D:$D, NP2023_deaths!$A:$A, Keys!$D$6, NP2023_deaths!$B:$B, Keys!$B$6, NP2023_deaths!$C:$C, 2043), 0))+IF(Keys!$E$6="", 0, IFERROR(SUMIFS(NP2023_deaths!$D:$D, NP2023_deaths!$A:$A, Keys!$E$6, NP2023_deaths!$B:$B, Keys!$B$6, NP2023_deaths!$C:$C, 2043), 0))+IF(Keys!$F$6="", 0, IFERROR(SUMIFS(NP2023_deaths!$D:$D, NP2023_deaths!$A:$A, Keys!$F$6, NP2023_deaths!$B:$B, Keys!$B$6, NP2023_deaths!$C:$C, 2043), 0))+IF(Keys!$G$6="", 0, IFERROR(SUMIFS(NP2023_deaths!$D:$D, NP2023_deaths!$A:$A, Keys!$G$6, NP2023_deaths!$B:$B, Keys!$B$6, NP2023_deaths!$C:$C, 2043), 0))+IF(Keys!$H$6="", 0, IFERROR(SUMIFS(NP2023_deaths!$D:$D, NP2023_deaths!$A:$A, Keys!$H$6, NP2023_deaths!$B:$B, Keys!$B$6, NP2023_deaths!$C:$C, 2043), 0))</f>
        <v>202877</v>
      </c>
      <c r="V22" s="37">
        <f>IF(Keys!$C$6="", 0, IFERROR(SUMIFS(NP2023_deaths!$D:$D, NP2023_deaths!$A:$A, Keys!$C$6, NP2023_deaths!$B:$B, Keys!$B$6, NP2023_deaths!$C:$C, 2044), 0))+IF(Keys!$D$6="", 0, IFERROR(SUMIFS(NP2023_deaths!$D:$D, NP2023_deaths!$A:$A, Keys!$D$6, NP2023_deaths!$B:$B, Keys!$B$6, NP2023_deaths!$C:$C, 2044), 0))+IF(Keys!$E$6="", 0, IFERROR(SUMIFS(NP2023_deaths!$D:$D, NP2023_deaths!$A:$A, Keys!$E$6, NP2023_deaths!$B:$B, Keys!$B$6, NP2023_deaths!$C:$C, 2044), 0))+IF(Keys!$F$6="", 0, IFERROR(SUMIFS(NP2023_deaths!$D:$D, NP2023_deaths!$A:$A, Keys!$F$6, NP2023_deaths!$B:$B, Keys!$B$6, NP2023_deaths!$C:$C, 2044), 0))+IF(Keys!$G$6="", 0, IFERROR(SUMIFS(NP2023_deaths!$D:$D, NP2023_deaths!$A:$A, Keys!$G$6, NP2023_deaths!$B:$B, Keys!$B$6, NP2023_deaths!$C:$C, 2044), 0))+IF(Keys!$H$6="", 0, IFERROR(SUMIFS(NP2023_deaths!$D:$D, NP2023_deaths!$A:$A, Keys!$H$6, NP2023_deaths!$B:$B, Keys!$B$6, NP2023_deaths!$C:$C, 2044), 0))</f>
        <v>207605</v>
      </c>
      <c r="W22" s="37">
        <f>IF(Keys!$C$6="", 0, IFERROR(SUMIFS(NP2023_deaths!$D:$D, NP2023_deaths!$A:$A, Keys!$C$6, NP2023_deaths!$B:$B, Keys!$B$6, NP2023_deaths!$C:$C, 2045), 0))+IF(Keys!$D$6="", 0, IFERROR(SUMIFS(NP2023_deaths!$D:$D, NP2023_deaths!$A:$A, Keys!$D$6, NP2023_deaths!$B:$B, Keys!$B$6, NP2023_deaths!$C:$C, 2045), 0))+IF(Keys!$E$6="", 0, IFERROR(SUMIFS(NP2023_deaths!$D:$D, NP2023_deaths!$A:$A, Keys!$E$6, NP2023_deaths!$B:$B, Keys!$B$6, NP2023_deaths!$C:$C, 2045), 0))+IF(Keys!$F$6="", 0, IFERROR(SUMIFS(NP2023_deaths!$D:$D, NP2023_deaths!$A:$A, Keys!$F$6, NP2023_deaths!$B:$B, Keys!$B$6, NP2023_deaths!$C:$C, 2045), 0))+IF(Keys!$G$6="", 0, IFERROR(SUMIFS(NP2023_deaths!$D:$D, NP2023_deaths!$A:$A, Keys!$G$6, NP2023_deaths!$B:$B, Keys!$B$6, NP2023_deaths!$C:$C, 2045), 0))+IF(Keys!$H$6="", 0, IFERROR(SUMIFS(NP2023_deaths!$D:$D, NP2023_deaths!$A:$A, Keys!$H$6, NP2023_deaths!$B:$B, Keys!$B$6, NP2023_deaths!$C:$C, 2045), 0))</f>
        <v>212261</v>
      </c>
      <c r="X22" s="37">
        <f>IF(Keys!$C$6="", 0, IFERROR(SUMIFS(NP2023_deaths!$D:$D, NP2023_deaths!$A:$A, Keys!$C$6, NP2023_deaths!$B:$B, Keys!$B$6, NP2023_deaths!$C:$C, 2046), 0))+IF(Keys!$D$6="", 0, IFERROR(SUMIFS(NP2023_deaths!$D:$D, NP2023_deaths!$A:$A, Keys!$D$6, NP2023_deaths!$B:$B, Keys!$B$6, NP2023_deaths!$C:$C, 2046), 0))+IF(Keys!$E$6="", 0, IFERROR(SUMIFS(NP2023_deaths!$D:$D, NP2023_deaths!$A:$A, Keys!$E$6, NP2023_deaths!$B:$B, Keys!$B$6, NP2023_deaths!$C:$C, 2046), 0))+IF(Keys!$F$6="", 0, IFERROR(SUMIFS(NP2023_deaths!$D:$D, NP2023_deaths!$A:$A, Keys!$F$6, NP2023_deaths!$B:$B, Keys!$B$6, NP2023_deaths!$C:$C, 2046), 0))+IF(Keys!$G$6="", 0, IFERROR(SUMIFS(NP2023_deaths!$D:$D, NP2023_deaths!$A:$A, Keys!$G$6, NP2023_deaths!$B:$B, Keys!$B$6, NP2023_deaths!$C:$C, 2046), 0))+IF(Keys!$H$6="", 0, IFERROR(SUMIFS(NP2023_deaths!$D:$D, NP2023_deaths!$A:$A, Keys!$H$6, NP2023_deaths!$B:$B, Keys!$B$6, NP2023_deaths!$C:$C, 2046), 0))</f>
        <v>216863</v>
      </c>
      <c r="Y22" s="37">
        <f>IF(Keys!$C$6="", 0, IFERROR(SUMIFS(NP2023_deaths!$D:$D, NP2023_deaths!$A:$A, Keys!$C$6, NP2023_deaths!$B:$B, Keys!$B$6, NP2023_deaths!$C:$C, 2047), 0))+IF(Keys!$D$6="", 0, IFERROR(SUMIFS(NP2023_deaths!$D:$D, NP2023_deaths!$A:$A, Keys!$D$6, NP2023_deaths!$B:$B, Keys!$B$6, NP2023_deaths!$C:$C, 2047), 0))+IF(Keys!$E$6="", 0, IFERROR(SUMIFS(NP2023_deaths!$D:$D, NP2023_deaths!$A:$A, Keys!$E$6, NP2023_deaths!$B:$B, Keys!$B$6, NP2023_deaths!$C:$C, 2047), 0))+IF(Keys!$F$6="", 0, IFERROR(SUMIFS(NP2023_deaths!$D:$D, NP2023_deaths!$A:$A, Keys!$F$6, NP2023_deaths!$B:$B, Keys!$B$6, NP2023_deaths!$C:$C, 2047), 0))+IF(Keys!$G$6="", 0, IFERROR(SUMIFS(NP2023_deaths!$D:$D, NP2023_deaths!$A:$A, Keys!$G$6, NP2023_deaths!$B:$B, Keys!$B$6, NP2023_deaths!$C:$C, 2047), 0))+IF(Keys!$H$6="", 0, IFERROR(SUMIFS(NP2023_deaths!$D:$D, NP2023_deaths!$A:$A, Keys!$H$6, NP2023_deaths!$B:$B, Keys!$B$6, NP2023_deaths!$C:$C, 2047), 0))</f>
        <v>221400</v>
      </c>
      <c r="Z22" s="37">
        <f>IF(Keys!$C$6="", 0, IFERROR(SUMIFS(NP2023_deaths!$D:$D, NP2023_deaths!$A:$A, Keys!$C$6, NP2023_deaths!$B:$B, Keys!$B$6, NP2023_deaths!$C:$C, 2048), 0))+IF(Keys!$D$6="", 0, IFERROR(SUMIFS(NP2023_deaths!$D:$D, NP2023_deaths!$A:$A, Keys!$D$6, NP2023_deaths!$B:$B, Keys!$B$6, NP2023_deaths!$C:$C, 2048), 0))+IF(Keys!$E$6="", 0, IFERROR(SUMIFS(NP2023_deaths!$D:$D, NP2023_deaths!$A:$A, Keys!$E$6, NP2023_deaths!$B:$B, Keys!$B$6, NP2023_deaths!$C:$C, 2048), 0))+IF(Keys!$F$6="", 0, IFERROR(SUMIFS(NP2023_deaths!$D:$D, NP2023_deaths!$A:$A, Keys!$F$6, NP2023_deaths!$B:$B, Keys!$B$6, NP2023_deaths!$C:$C, 2048), 0))+IF(Keys!$G$6="", 0, IFERROR(SUMIFS(NP2023_deaths!$D:$D, NP2023_deaths!$A:$A, Keys!$G$6, NP2023_deaths!$B:$B, Keys!$B$6, NP2023_deaths!$C:$C, 2048), 0))+IF(Keys!$H$6="", 0, IFERROR(SUMIFS(NP2023_deaths!$D:$D, NP2023_deaths!$A:$A, Keys!$H$6, NP2023_deaths!$B:$B, Keys!$B$6, NP2023_deaths!$C:$C, 2048), 0))</f>
        <v>225876</v>
      </c>
      <c r="AA22" s="37">
        <f>IF(Keys!$C$6="", 0, IFERROR(SUMIFS(NP2023_deaths!$D:$D, NP2023_deaths!$A:$A, Keys!$C$6, NP2023_deaths!$B:$B, Keys!$B$6, NP2023_deaths!$C:$C, 2049), 0))+IF(Keys!$D$6="", 0, IFERROR(SUMIFS(NP2023_deaths!$D:$D, NP2023_deaths!$A:$A, Keys!$D$6, NP2023_deaths!$B:$B, Keys!$B$6, NP2023_deaths!$C:$C, 2049), 0))+IF(Keys!$E$6="", 0, IFERROR(SUMIFS(NP2023_deaths!$D:$D, NP2023_deaths!$A:$A, Keys!$E$6, NP2023_deaths!$B:$B, Keys!$B$6, NP2023_deaths!$C:$C, 2049), 0))+IF(Keys!$F$6="", 0, IFERROR(SUMIFS(NP2023_deaths!$D:$D, NP2023_deaths!$A:$A, Keys!$F$6, NP2023_deaths!$B:$B, Keys!$B$6, NP2023_deaths!$C:$C, 2049), 0))+IF(Keys!$G$6="", 0, IFERROR(SUMIFS(NP2023_deaths!$D:$D, NP2023_deaths!$A:$A, Keys!$G$6, NP2023_deaths!$B:$B, Keys!$B$6, NP2023_deaths!$C:$C, 2049), 0))+IF(Keys!$H$6="", 0, IFERROR(SUMIFS(NP2023_deaths!$D:$D, NP2023_deaths!$A:$A, Keys!$H$6, NP2023_deaths!$B:$B, Keys!$B$6, NP2023_deaths!$C:$C, 2049), 0))</f>
        <v>230292</v>
      </c>
      <c r="AB22" s="37">
        <f>IF(Keys!$C$6="", 0, IFERROR(SUMIFS(NP2023_deaths!$D:$D, NP2023_deaths!$A:$A, Keys!$C$6, NP2023_deaths!$B:$B, Keys!$B$6, NP2023_deaths!$C:$C, 2050), 0))+IF(Keys!$D$6="", 0, IFERROR(SUMIFS(NP2023_deaths!$D:$D, NP2023_deaths!$A:$A, Keys!$D$6, NP2023_deaths!$B:$B, Keys!$B$6, NP2023_deaths!$C:$C, 2050), 0))+IF(Keys!$E$6="", 0, IFERROR(SUMIFS(NP2023_deaths!$D:$D, NP2023_deaths!$A:$A, Keys!$E$6, NP2023_deaths!$B:$B, Keys!$B$6, NP2023_deaths!$C:$C, 2050), 0))+IF(Keys!$F$6="", 0, IFERROR(SUMIFS(NP2023_deaths!$D:$D, NP2023_deaths!$A:$A, Keys!$F$6, NP2023_deaths!$B:$B, Keys!$B$6, NP2023_deaths!$C:$C, 2050), 0))+IF(Keys!$G$6="", 0, IFERROR(SUMIFS(NP2023_deaths!$D:$D, NP2023_deaths!$A:$A, Keys!$G$6, NP2023_deaths!$B:$B, Keys!$B$6, NP2023_deaths!$C:$C, 2050), 0))+IF(Keys!$H$6="", 0, IFERROR(SUMIFS(NP2023_deaths!$D:$D, NP2023_deaths!$A:$A, Keys!$H$6, NP2023_deaths!$B:$B, Keys!$B$6, NP2023_deaths!$C:$C, 2050), 0))</f>
        <v>234633</v>
      </c>
    </row>
    <row r="23" spans="1:28" x14ac:dyDescent="0.25">
      <c r="A23" s="4" t="s">
        <v>220</v>
      </c>
      <c r="B23" s="37">
        <f>IF(Keys!$C$7="", 0, IFERROR(SUMIFS(NP2023_deaths!$D:$D, NP2023_deaths!$A:$A, Keys!$C$7, NP2023_deaths!$B:$B, Keys!$B$7, NP2023_deaths!$C:$C, 2024), 0))+IF(Keys!$D$7="", 0, IFERROR(SUMIFS(NP2023_deaths!$D:$D, NP2023_deaths!$A:$A, Keys!$D$7, NP2023_deaths!$B:$B, Keys!$B$7, NP2023_deaths!$C:$C, 2024), 0))+IF(Keys!$E$7="", 0, IFERROR(SUMIFS(NP2023_deaths!$D:$D, NP2023_deaths!$A:$A, Keys!$E$7, NP2023_deaths!$B:$B, Keys!$B$7, NP2023_deaths!$C:$C, 2024), 0))+IF(Keys!$F$7="", 0, IFERROR(SUMIFS(NP2023_deaths!$D:$D, NP2023_deaths!$A:$A, Keys!$F$7, NP2023_deaths!$B:$B, Keys!$B$7, NP2023_deaths!$C:$C, 2024), 0))+IF(Keys!$G$7="", 0, IFERROR(SUMIFS(NP2023_deaths!$D:$D, NP2023_deaths!$A:$A, Keys!$G$7, NP2023_deaths!$B:$B, Keys!$B$7, NP2023_deaths!$C:$C, 2024), 0))+IF(Keys!$H$7="", 0, IFERROR(SUMIFS(NP2023_deaths!$D:$D, NP2023_deaths!$A:$A, Keys!$H$7, NP2023_deaths!$B:$B, Keys!$B$7, NP2023_deaths!$C:$C, 2024), 0))</f>
        <v>68451</v>
      </c>
      <c r="C23" s="37">
        <f>IF(Keys!$C$7="", 0, IFERROR(SUMIFS(NP2023_deaths!$D:$D, NP2023_deaths!$A:$A, Keys!$C$7, NP2023_deaths!$B:$B, Keys!$B$7, NP2023_deaths!$C:$C, 2025), 0))+IF(Keys!$D$7="", 0, IFERROR(SUMIFS(NP2023_deaths!$D:$D, NP2023_deaths!$A:$A, Keys!$D$7, NP2023_deaths!$B:$B, Keys!$B$7, NP2023_deaths!$C:$C, 2025), 0))+IF(Keys!$E$7="", 0, IFERROR(SUMIFS(NP2023_deaths!$D:$D, NP2023_deaths!$A:$A, Keys!$E$7, NP2023_deaths!$B:$B, Keys!$B$7, NP2023_deaths!$C:$C, 2025), 0))+IF(Keys!$F$7="", 0, IFERROR(SUMIFS(NP2023_deaths!$D:$D, NP2023_deaths!$A:$A, Keys!$F$7, NP2023_deaths!$B:$B, Keys!$B$7, NP2023_deaths!$C:$C, 2025), 0))+IF(Keys!$G$7="", 0, IFERROR(SUMIFS(NP2023_deaths!$D:$D, NP2023_deaths!$A:$A, Keys!$G$7, NP2023_deaths!$B:$B, Keys!$B$7, NP2023_deaths!$C:$C, 2025), 0))+IF(Keys!$H$7="", 0, IFERROR(SUMIFS(NP2023_deaths!$D:$D, NP2023_deaths!$A:$A, Keys!$H$7, NP2023_deaths!$B:$B, Keys!$B$7, NP2023_deaths!$C:$C, 2025), 0))</f>
        <v>69944</v>
      </c>
      <c r="D23" s="37">
        <f>IF(Keys!$C$7="", 0, IFERROR(SUMIFS(NP2023_deaths!$D:$D, NP2023_deaths!$A:$A, Keys!$C$7, NP2023_deaths!$B:$B, Keys!$B$7, NP2023_deaths!$C:$C, 2026), 0))+IF(Keys!$D$7="", 0, IFERROR(SUMIFS(NP2023_deaths!$D:$D, NP2023_deaths!$A:$A, Keys!$D$7, NP2023_deaths!$B:$B, Keys!$B$7, NP2023_deaths!$C:$C, 2026), 0))+IF(Keys!$E$7="", 0, IFERROR(SUMIFS(NP2023_deaths!$D:$D, NP2023_deaths!$A:$A, Keys!$E$7, NP2023_deaths!$B:$B, Keys!$B$7, NP2023_deaths!$C:$C, 2026), 0))+IF(Keys!$F$7="", 0, IFERROR(SUMIFS(NP2023_deaths!$D:$D, NP2023_deaths!$A:$A, Keys!$F$7, NP2023_deaths!$B:$B, Keys!$B$7, NP2023_deaths!$C:$C, 2026), 0))+IF(Keys!$G$7="", 0, IFERROR(SUMIFS(NP2023_deaths!$D:$D, NP2023_deaths!$A:$A, Keys!$G$7, NP2023_deaths!$B:$B, Keys!$B$7, NP2023_deaths!$C:$C, 2026), 0))+IF(Keys!$H$7="", 0, IFERROR(SUMIFS(NP2023_deaths!$D:$D, NP2023_deaths!$A:$A, Keys!$H$7, NP2023_deaths!$B:$B, Keys!$B$7, NP2023_deaths!$C:$C, 2026), 0))</f>
        <v>71492</v>
      </c>
      <c r="E23" s="37">
        <f>IF(Keys!$C$7="", 0, IFERROR(SUMIFS(NP2023_deaths!$D:$D, NP2023_deaths!$A:$A, Keys!$C$7, NP2023_deaths!$B:$B, Keys!$B$7, NP2023_deaths!$C:$C, 2027), 0))+IF(Keys!$D$7="", 0, IFERROR(SUMIFS(NP2023_deaths!$D:$D, NP2023_deaths!$A:$A, Keys!$D$7, NP2023_deaths!$B:$B, Keys!$B$7, NP2023_deaths!$C:$C, 2027), 0))+IF(Keys!$E$7="", 0, IFERROR(SUMIFS(NP2023_deaths!$D:$D, NP2023_deaths!$A:$A, Keys!$E$7, NP2023_deaths!$B:$B, Keys!$B$7, NP2023_deaths!$C:$C, 2027), 0))+IF(Keys!$F$7="", 0, IFERROR(SUMIFS(NP2023_deaths!$D:$D, NP2023_deaths!$A:$A, Keys!$F$7, NP2023_deaths!$B:$B, Keys!$B$7, NP2023_deaths!$C:$C, 2027), 0))+IF(Keys!$G$7="", 0, IFERROR(SUMIFS(NP2023_deaths!$D:$D, NP2023_deaths!$A:$A, Keys!$G$7, NP2023_deaths!$B:$B, Keys!$B$7, NP2023_deaths!$C:$C, 2027), 0))+IF(Keys!$H$7="", 0, IFERROR(SUMIFS(NP2023_deaths!$D:$D, NP2023_deaths!$A:$A, Keys!$H$7, NP2023_deaths!$B:$B, Keys!$B$7, NP2023_deaths!$C:$C, 2027), 0))</f>
        <v>73171</v>
      </c>
      <c r="F23" s="37">
        <f>IF(Keys!$C$7="", 0, IFERROR(SUMIFS(NP2023_deaths!$D:$D, NP2023_deaths!$A:$A, Keys!$C$7, NP2023_deaths!$B:$B, Keys!$B$7, NP2023_deaths!$C:$C, 2028), 0))+IF(Keys!$D$7="", 0, IFERROR(SUMIFS(NP2023_deaths!$D:$D, NP2023_deaths!$A:$A, Keys!$D$7, NP2023_deaths!$B:$B, Keys!$B$7, NP2023_deaths!$C:$C, 2028), 0))+IF(Keys!$E$7="", 0, IFERROR(SUMIFS(NP2023_deaths!$D:$D, NP2023_deaths!$A:$A, Keys!$E$7, NP2023_deaths!$B:$B, Keys!$B$7, NP2023_deaths!$C:$C, 2028), 0))+IF(Keys!$F$7="", 0, IFERROR(SUMIFS(NP2023_deaths!$D:$D, NP2023_deaths!$A:$A, Keys!$F$7, NP2023_deaths!$B:$B, Keys!$B$7, NP2023_deaths!$C:$C, 2028), 0))+IF(Keys!$G$7="", 0, IFERROR(SUMIFS(NP2023_deaths!$D:$D, NP2023_deaths!$A:$A, Keys!$G$7, NP2023_deaths!$B:$B, Keys!$B$7, NP2023_deaths!$C:$C, 2028), 0))+IF(Keys!$H$7="", 0, IFERROR(SUMIFS(NP2023_deaths!$D:$D, NP2023_deaths!$A:$A, Keys!$H$7, NP2023_deaths!$B:$B, Keys!$B$7, NP2023_deaths!$C:$C, 2028), 0))</f>
        <v>74859</v>
      </c>
      <c r="G23" s="37">
        <f>IF(Keys!$C$7="", 0, IFERROR(SUMIFS(NP2023_deaths!$D:$D, NP2023_deaths!$A:$A, Keys!$C$7, NP2023_deaths!$B:$B, Keys!$B$7, NP2023_deaths!$C:$C, 2029), 0))+IF(Keys!$D$7="", 0, IFERROR(SUMIFS(NP2023_deaths!$D:$D, NP2023_deaths!$A:$A, Keys!$D$7, NP2023_deaths!$B:$B, Keys!$B$7, NP2023_deaths!$C:$C, 2029), 0))+IF(Keys!$E$7="", 0, IFERROR(SUMIFS(NP2023_deaths!$D:$D, NP2023_deaths!$A:$A, Keys!$E$7, NP2023_deaths!$B:$B, Keys!$B$7, NP2023_deaths!$C:$C, 2029), 0))+IF(Keys!$F$7="", 0, IFERROR(SUMIFS(NP2023_deaths!$D:$D, NP2023_deaths!$A:$A, Keys!$F$7, NP2023_deaths!$B:$B, Keys!$B$7, NP2023_deaths!$C:$C, 2029), 0))+IF(Keys!$G$7="", 0, IFERROR(SUMIFS(NP2023_deaths!$D:$D, NP2023_deaths!$A:$A, Keys!$G$7, NP2023_deaths!$B:$B, Keys!$B$7, NP2023_deaths!$C:$C, 2029), 0))+IF(Keys!$H$7="", 0, IFERROR(SUMIFS(NP2023_deaths!$D:$D, NP2023_deaths!$A:$A, Keys!$H$7, NP2023_deaths!$B:$B, Keys!$B$7, NP2023_deaths!$C:$C, 2029), 0))</f>
        <v>76659</v>
      </c>
      <c r="H23" s="37">
        <f>IF(Keys!$C$7="", 0, IFERROR(SUMIFS(NP2023_deaths!$D:$D, NP2023_deaths!$A:$A, Keys!$C$7, NP2023_deaths!$B:$B, Keys!$B$7, NP2023_deaths!$C:$C, 2030), 0))+IF(Keys!$D$7="", 0, IFERROR(SUMIFS(NP2023_deaths!$D:$D, NP2023_deaths!$A:$A, Keys!$D$7, NP2023_deaths!$B:$B, Keys!$B$7, NP2023_deaths!$C:$C, 2030), 0))+IF(Keys!$E$7="", 0, IFERROR(SUMIFS(NP2023_deaths!$D:$D, NP2023_deaths!$A:$A, Keys!$E$7, NP2023_deaths!$B:$B, Keys!$B$7, NP2023_deaths!$C:$C, 2030), 0))+IF(Keys!$F$7="", 0, IFERROR(SUMIFS(NP2023_deaths!$D:$D, NP2023_deaths!$A:$A, Keys!$F$7, NP2023_deaths!$B:$B, Keys!$B$7, NP2023_deaths!$C:$C, 2030), 0))+IF(Keys!$G$7="", 0, IFERROR(SUMIFS(NP2023_deaths!$D:$D, NP2023_deaths!$A:$A, Keys!$G$7, NP2023_deaths!$B:$B, Keys!$B$7, NP2023_deaths!$C:$C, 2030), 0))+IF(Keys!$H$7="", 0, IFERROR(SUMIFS(NP2023_deaths!$D:$D, NP2023_deaths!$A:$A, Keys!$H$7, NP2023_deaths!$B:$B, Keys!$B$7, NP2023_deaths!$C:$C, 2030), 0))</f>
        <v>78508</v>
      </c>
      <c r="I23" s="37">
        <f>IF(Keys!$C$7="", 0, IFERROR(SUMIFS(NP2023_deaths!$D:$D, NP2023_deaths!$A:$A, Keys!$C$7, NP2023_deaths!$B:$B, Keys!$B$7, NP2023_deaths!$C:$C, 2031), 0))+IF(Keys!$D$7="", 0, IFERROR(SUMIFS(NP2023_deaths!$D:$D, NP2023_deaths!$A:$A, Keys!$D$7, NP2023_deaths!$B:$B, Keys!$B$7, NP2023_deaths!$C:$C, 2031), 0))+IF(Keys!$E$7="", 0, IFERROR(SUMIFS(NP2023_deaths!$D:$D, NP2023_deaths!$A:$A, Keys!$E$7, NP2023_deaths!$B:$B, Keys!$B$7, NP2023_deaths!$C:$C, 2031), 0))+IF(Keys!$F$7="", 0, IFERROR(SUMIFS(NP2023_deaths!$D:$D, NP2023_deaths!$A:$A, Keys!$F$7, NP2023_deaths!$B:$B, Keys!$B$7, NP2023_deaths!$C:$C, 2031), 0))+IF(Keys!$G$7="", 0, IFERROR(SUMIFS(NP2023_deaths!$D:$D, NP2023_deaths!$A:$A, Keys!$G$7, NP2023_deaths!$B:$B, Keys!$B$7, NP2023_deaths!$C:$C, 2031), 0))+IF(Keys!$H$7="", 0, IFERROR(SUMIFS(NP2023_deaths!$D:$D, NP2023_deaths!$A:$A, Keys!$H$7, NP2023_deaths!$B:$B, Keys!$B$7, NP2023_deaths!$C:$C, 2031), 0))</f>
        <v>80382</v>
      </c>
      <c r="J23" s="37">
        <f>IF(Keys!$C$7="", 0, IFERROR(SUMIFS(NP2023_deaths!$D:$D, NP2023_deaths!$A:$A, Keys!$C$7, NP2023_deaths!$B:$B, Keys!$B$7, NP2023_deaths!$C:$C, 2032), 0))+IF(Keys!$D$7="", 0, IFERROR(SUMIFS(NP2023_deaths!$D:$D, NP2023_deaths!$A:$A, Keys!$D$7, NP2023_deaths!$B:$B, Keys!$B$7, NP2023_deaths!$C:$C, 2032), 0))+IF(Keys!$E$7="", 0, IFERROR(SUMIFS(NP2023_deaths!$D:$D, NP2023_deaths!$A:$A, Keys!$E$7, NP2023_deaths!$B:$B, Keys!$B$7, NP2023_deaths!$C:$C, 2032), 0))+IF(Keys!$F$7="", 0, IFERROR(SUMIFS(NP2023_deaths!$D:$D, NP2023_deaths!$A:$A, Keys!$F$7, NP2023_deaths!$B:$B, Keys!$B$7, NP2023_deaths!$C:$C, 2032), 0))+IF(Keys!$G$7="", 0, IFERROR(SUMIFS(NP2023_deaths!$D:$D, NP2023_deaths!$A:$A, Keys!$G$7, NP2023_deaths!$B:$B, Keys!$B$7, NP2023_deaths!$C:$C, 2032), 0))+IF(Keys!$H$7="", 0, IFERROR(SUMIFS(NP2023_deaths!$D:$D, NP2023_deaths!$A:$A, Keys!$H$7, NP2023_deaths!$B:$B, Keys!$B$7, NP2023_deaths!$C:$C, 2032), 0))</f>
        <v>82288</v>
      </c>
      <c r="K23" s="37">
        <f>IF(Keys!$C$7="", 0, IFERROR(SUMIFS(NP2023_deaths!$D:$D, NP2023_deaths!$A:$A, Keys!$C$7, NP2023_deaths!$B:$B, Keys!$B$7, NP2023_deaths!$C:$C, 2033), 0))+IF(Keys!$D$7="", 0, IFERROR(SUMIFS(NP2023_deaths!$D:$D, NP2023_deaths!$A:$A, Keys!$D$7, NP2023_deaths!$B:$B, Keys!$B$7, NP2023_deaths!$C:$C, 2033), 0))+IF(Keys!$E$7="", 0, IFERROR(SUMIFS(NP2023_deaths!$D:$D, NP2023_deaths!$A:$A, Keys!$E$7, NP2023_deaths!$B:$B, Keys!$B$7, NP2023_deaths!$C:$C, 2033), 0))+IF(Keys!$F$7="", 0, IFERROR(SUMIFS(NP2023_deaths!$D:$D, NP2023_deaths!$A:$A, Keys!$F$7, NP2023_deaths!$B:$B, Keys!$B$7, NP2023_deaths!$C:$C, 2033), 0))+IF(Keys!$G$7="", 0, IFERROR(SUMIFS(NP2023_deaths!$D:$D, NP2023_deaths!$A:$A, Keys!$G$7, NP2023_deaths!$B:$B, Keys!$B$7, NP2023_deaths!$C:$C, 2033), 0))+IF(Keys!$H$7="", 0, IFERROR(SUMIFS(NP2023_deaths!$D:$D, NP2023_deaths!$A:$A, Keys!$H$7, NP2023_deaths!$B:$B, Keys!$B$7, NP2023_deaths!$C:$C, 2033), 0))</f>
        <v>84311</v>
      </c>
      <c r="L23" s="37">
        <f>IF(Keys!$C$7="", 0, IFERROR(SUMIFS(NP2023_deaths!$D:$D, NP2023_deaths!$A:$A, Keys!$C$7, NP2023_deaths!$B:$B, Keys!$B$7, NP2023_deaths!$C:$C, 2034), 0))+IF(Keys!$D$7="", 0, IFERROR(SUMIFS(NP2023_deaths!$D:$D, NP2023_deaths!$A:$A, Keys!$D$7, NP2023_deaths!$B:$B, Keys!$B$7, NP2023_deaths!$C:$C, 2034), 0))+IF(Keys!$E$7="", 0, IFERROR(SUMIFS(NP2023_deaths!$D:$D, NP2023_deaths!$A:$A, Keys!$E$7, NP2023_deaths!$B:$B, Keys!$B$7, NP2023_deaths!$C:$C, 2034), 0))+IF(Keys!$F$7="", 0, IFERROR(SUMIFS(NP2023_deaths!$D:$D, NP2023_deaths!$A:$A, Keys!$F$7, NP2023_deaths!$B:$B, Keys!$B$7, NP2023_deaths!$C:$C, 2034), 0))+IF(Keys!$G$7="", 0, IFERROR(SUMIFS(NP2023_deaths!$D:$D, NP2023_deaths!$A:$A, Keys!$G$7, NP2023_deaths!$B:$B, Keys!$B$7, NP2023_deaths!$C:$C, 2034), 0))+IF(Keys!$H$7="", 0, IFERROR(SUMIFS(NP2023_deaths!$D:$D, NP2023_deaths!$A:$A, Keys!$H$7, NP2023_deaths!$B:$B, Keys!$B$7, NP2023_deaths!$C:$C, 2034), 0))</f>
        <v>86375</v>
      </c>
      <c r="M23" s="37">
        <f>IF(Keys!$C$7="", 0, IFERROR(SUMIFS(NP2023_deaths!$D:$D, NP2023_deaths!$A:$A, Keys!$C$7, NP2023_deaths!$B:$B, Keys!$B$7, NP2023_deaths!$C:$C, 2035), 0))+IF(Keys!$D$7="", 0, IFERROR(SUMIFS(NP2023_deaths!$D:$D, NP2023_deaths!$A:$A, Keys!$D$7, NP2023_deaths!$B:$B, Keys!$B$7, NP2023_deaths!$C:$C, 2035), 0))+IF(Keys!$E$7="", 0, IFERROR(SUMIFS(NP2023_deaths!$D:$D, NP2023_deaths!$A:$A, Keys!$E$7, NP2023_deaths!$B:$B, Keys!$B$7, NP2023_deaths!$C:$C, 2035), 0))+IF(Keys!$F$7="", 0, IFERROR(SUMIFS(NP2023_deaths!$D:$D, NP2023_deaths!$A:$A, Keys!$F$7, NP2023_deaths!$B:$B, Keys!$B$7, NP2023_deaths!$C:$C, 2035), 0))+IF(Keys!$G$7="", 0, IFERROR(SUMIFS(NP2023_deaths!$D:$D, NP2023_deaths!$A:$A, Keys!$G$7, NP2023_deaths!$B:$B, Keys!$B$7, NP2023_deaths!$C:$C, 2035), 0))+IF(Keys!$H$7="", 0, IFERROR(SUMIFS(NP2023_deaths!$D:$D, NP2023_deaths!$A:$A, Keys!$H$7, NP2023_deaths!$B:$B, Keys!$B$7, NP2023_deaths!$C:$C, 2035), 0))</f>
        <v>88501</v>
      </c>
      <c r="N23" s="37">
        <f>IF(Keys!$C$7="", 0, IFERROR(SUMIFS(NP2023_deaths!$D:$D, NP2023_deaths!$A:$A, Keys!$C$7, NP2023_deaths!$B:$B, Keys!$B$7, NP2023_deaths!$C:$C, 2036), 0))+IF(Keys!$D$7="", 0, IFERROR(SUMIFS(NP2023_deaths!$D:$D, NP2023_deaths!$A:$A, Keys!$D$7, NP2023_deaths!$B:$B, Keys!$B$7, NP2023_deaths!$C:$C, 2036), 0))+IF(Keys!$E$7="", 0, IFERROR(SUMIFS(NP2023_deaths!$D:$D, NP2023_deaths!$A:$A, Keys!$E$7, NP2023_deaths!$B:$B, Keys!$B$7, NP2023_deaths!$C:$C, 2036), 0))+IF(Keys!$F$7="", 0, IFERROR(SUMIFS(NP2023_deaths!$D:$D, NP2023_deaths!$A:$A, Keys!$F$7, NP2023_deaths!$B:$B, Keys!$B$7, NP2023_deaths!$C:$C, 2036), 0))+IF(Keys!$G$7="", 0, IFERROR(SUMIFS(NP2023_deaths!$D:$D, NP2023_deaths!$A:$A, Keys!$G$7, NP2023_deaths!$B:$B, Keys!$B$7, NP2023_deaths!$C:$C, 2036), 0))+IF(Keys!$H$7="", 0, IFERROR(SUMIFS(NP2023_deaths!$D:$D, NP2023_deaths!$A:$A, Keys!$H$7, NP2023_deaths!$B:$B, Keys!$B$7, NP2023_deaths!$C:$C, 2036), 0))</f>
        <v>90655</v>
      </c>
      <c r="O23" s="37">
        <f>IF(Keys!$C$7="", 0, IFERROR(SUMIFS(NP2023_deaths!$D:$D, NP2023_deaths!$A:$A, Keys!$C$7, NP2023_deaths!$B:$B, Keys!$B$7, NP2023_deaths!$C:$C, 2037), 0))+IF(Keys!$D$7="", 0, IFERROR(SUMIFS(NP2023_deaths!$D:$D, NP2023_deaths!$A:$A, Keys!$D$7, NP2023_deaths!$B:$B, Keys!$B$7, NP2023_deaths!$C:$C, 2037), 0))+IF(Keys!$E$7="", 0, IFERROR(SUMIFS(NP2023_deaths!$D:$D, NP2023_deaths!$A:$A, Keys!$E$7, NP2023_deaths!$B:$B, Keys!$B$7, NP2023_deaths!$C:$C, 2037), 0))+IF(Keys!$F$7="", 0, IFERROR(SUMIFS(NP2023_deaths!$D:$D, NP2023_deaths!$A:$A, Keys!$F$7, NP2023_deaths!$B:$B, Keys!$B$7, NP2023_deaths!$C:$C, 2037), 0))+IF(Keys!$G$7="", 0, IFERROR(SUMIFS(NP2023_deaths!$D:$D, NP2023_deaths!$A:$A, Keys!$G$7, NP2023_deaths!$B:$B, Keys!$B$7, NP2023_deaths!$C:$C, 2037), 0))+IF(Keys!$H$7="", 0, IFERROR(SUMIFS(NP2023_deaths!$D:$D, NP2023_deaths!$A:$A, Keys!$H$7, NP2023_deaths!$B:$B, Keys!$B$7, NP2023_deaths!$C:$C, 2037), 0))</f>
        <v>92839</v>
      </c>
      <c r="P23" s="37">
        <f>IF(Keys!$C$7="", 0, IFERROR(SUMIFS(NP2023_deaths!$D:$D, NP2023_deaths!$A:$A, Keys!$C$7, NP2023_deaths!$B:$B, Keys!$B$7, NP2023_deaths!$C:$C, 2038), 0))+IF(Keys!$D$7="", 0, IFERROR(SUMIFS(NP2023_deaths!$D:$D, NP2023_deaths!$A:$A, Keys!$D$7, NP2023_deaths!$B:$B, Keys!$B$7, NP2023_deaths!$C:$C, 2038), 0))+IF(Keys!$E$7="", 0, IFERROR(SUMIFS(NP2023_deaths!$D:$D, NP2023_deaths!$A:$A, Keys!$E$7, NP2023_deaths!$B:$B, Keys!$B$7, NP2023_deaths!$C:$C, 2038), 0))+IF(Keys!$F$7="", 0, IFERROR(SUMIFS(NP2023_deaths!$D:$D, NP2023_deaths!$A:$A, Keys!$F$7, NP2023_deaths!$B:$B, Keys!$B$7, NP2023_deaths!$C:$C, 2038), 0))+IF(Keys!$G$7="", 0, IFERROR(SUMIFS(NP2023_deaths!$D:$D, NP2023_deaths!$A:$A, Keys!$G$7, NP2023_deaths!$B:$B, Keys!$B$7, NP2023_deaths!$C:$C, 2038), 0))+IF(Keys!$H$7="", 0, IFERROR(SUMIFS(NP2023_deaths!$D:$D, NP2023_deaths!$A:$A, Keys!$H$7, NP2023_deaths!$B:$B, Keys!$B$7, NP2023_deaths!$C:$C, 2038), 0))</f>
        <v>95076</v>
      </c>
      <c r="Q23" s="37">
        <f>IF(Keys!$C$7="", 0, IFERROR(SUMIFS(NP2023_deaths!$D:$D, NP2023_deaths!$A:$A, Keys!$C$7, NP2023_deaths!$B:$B, Keys!$B$7, NP2023_deaths!$C:$C, 2039), 0))+IF(Keys!$D$7="", 0, IFERROR(SUMIFS(NP2023_deaths!$D:$D, NP2023_deaths!$A:$A, Keys!$D$7, NP2023_deaths!$B:$B, Keys!$B$7, NP2023_deaths!$C:$C, 2039), 0))+IF(Keys!$E$7="", 0, IFERROR(SUMIFS(NP2023_deaths!$D:$D, NP2023_deaths!$A:$A, Keys!$E$7, NP2023_deaths!$B:$B, Keys!$B$7, NP2023_deaths!$C:$C, 2039), 0))+IF(Keys!$F$7="", 0, IFERROR(SUMIFS(NP2023_deaths!$D:$D, NP2023_deaths!$A:$A, Keys!$F$7, NP2023_deaths!$B:$B, Keys!$B$7, NP2023_deaths!$C:$C, 2039), 0))+IF(Keys!$G$7="", 0, IFERROR(SUMIFS(NP2023_deaths!$D:$D, NP2023_deaths!$A:$A, Keys!$G$7, NP2023_deaths!$B:$B, Keys!$B$7, NP2023_deaths!$C:$C, 2039), 0))+IF(Keys!$H$7="", 0, IFERROR(SUMIFS(NP2023_deaths!$D:$D, NP2023_deaths!$A:$A, Keys!$H$7, NP2023_deaths!$B:$B, Keys!$B$7, NP2023_deaths!$C:$C, 2039), 0))</f>
        <v>97353</v>
      </c>
      <c r="R23" s="37">
        <f>IF(Keys!$C$7="", 0, IFERROR(SUMIFS(NP2023_deaths!$D:$D, NP2023_deaths!$A:$A, Keys!$C$7, NP2023_deaths!$B:$B, Keys!$B$7, NP2023_deaths!$C:$C, 2040), 0))+IF(Keys!$D$7="", 0, IFERROR(SUMIFS(NP2023_deaths!$D:$D, NP2023_deaths!$A:$A, Keys!$D$7, NP2023_deaths!$B:$B, Keys!$B$7, NP2023_deaths!$C:$C, 2040), 0))+IF(Keys!$E$7="", 0, IFERROR(SUMIFS(NP2023_deaths!$D:$D, NP2023_deaths!$A:$A, Keys!$E$7, NP2023_deaths!$B:$B, Keys!$B$7, NP2023_deaths!$C:$C, 2040), 0))+IF(Keys!$F$7="", 0, IFERROR(SUMIFS(NP2023_deaths!$D:$D, NP2023_deaths!$A:$A, Keys!$F$7, NP2023_deaths!$B:$B, Keys!$B$7, NP2023_deaths!$C:$C, 2040), 0))+IF(Keys!$G$7="", 0, IFERROR(SUMIFS(NP2023_deaths!$D:$D, NP2023_deaths!$A:$A, Keys!$G$7, NP2023_deaths!$B:$B, Keys!$B$7, NP2023_deaths!$C:$C, 2040), 0))+IF(Keys!$H$7="", 0, IFERROR(SUMIFS(NP2023_deaths!$D:$D, NP2023_deaths!$A:$A, Keys!$H$7, NP2023_deaths!$B:$B, Keys!$B$7, NP2023_deaths!$C:$C, 2040), 0))</f>
        <v>99653</v>
      </c>
      <c r="S23" s="37">
        <f>IF(Keys!$C$7="", 0, IFERROR(SUMIFS(NP2023_deaths!$D:$D, NP2023_deaths!$A:$A, Keys!$C$7, NP2023_deaths!$B:$B, Keys!$B$7, NP2023_deaths!$C:$C, 2041), 0))+IF(Keys!$D$7="", 0, IFERROR(SUMIFS(NP2023_deaths!$D:$D, NP2023_deaths!$A:$A, Keys!$D$7, NP2023_deaths!$B:$B, Keys!$B$7, NP2023_deaths!$C:$C, 2041), 0))+IF(Keys!$E$7="", 0, IFERROR(SUMIFS(NP2023_deaths!$D:$D, NP2023_deaths!$A:$A, Keys!$E$7, NP2023_deaths!$B:$B, Keys!$B$7, NP2023_deaths!$C:$C, 2041), 0))+IF(Keys!$F$7="", 0, IFERROR(SUMIFS(NP2023_deaths!$D:$D, NP2023_deaths!$A:$A, Keys!$F$7, NP2023_deaths!$B:$B, Keys!$B$7, NP2023_deaths!$C:$C, 2041), 0))+IF(Keys!$G$7="", 0, IFERROR(SUMIFS(NP2023_deaths!$D:$D, NP2023_deaths!$A:$A, Keys!$G$7, NP2023_deaths!$B:$B, Keys!$B$7, NP2023_deaths!$C:$C, 2041), 0))+IF(Keys!$H$7="", 0, IFERROR(SUMIFS(NP2023_deaths!$D:$D, NP2023_deaths!$A:$A, Keys!$H$7, NP2023_deaths!$B:$B, Keys!$B$7, NP2023_deaths!$C:$C, 2041), 0))</f>
        <v>101945</v>
      </c>
      <c r="T23" s="37">
        <f>IF(Keys!$C$7="", 0, IFERROR(SUMIFS(NP2023_deaths!$D:$D, NP2023_deaths!$A:$A, Keys!$C$7, NP2023_deaths!$B:$B, Keys!$B$7, NP2023_deaths!$C:$C, 2042), 0))+IF(Keys!$D$7="", 0, IFERROR(SUMIFS(NP2023_deaths!$D:$D, NP2023_deaths!$A:$A, Keys!$D$7, NP2023_deaths!$B:$B, Keys!$B$7, NP2023_deaths!$C:$C, 2042), 0))+IF(Keys!$E$7="", 0, IFERROR(SUMIFS(NP2023_deaths!$D:$D, NP2023_deaths!$A:$A, Keys!$E$7, NP2023_deaths!$B:$B, Keys!$B$7, NP2023_deaths!$C:$C, 2042), 0))+IF(Keys!$F$7="", 0, IFERROR(SUMIFS(NP2023_deaths!$D:$D, NP2023_deaths!$A:$A, Keys!$F$7, NP2023_deaths!$B:$B, Keys!$B$7, NP2023_deaths!$C:$C, 2042), 0))+IF(Keys!$G$7="", 0, IFERROR(SUMIFS(NP2023_deaths!$D:$D, NP2023_deaths!$A:$A, Keys!$G$7, NP2023_deaths!$B:$B, Keys!$B$7, NP2023_deaths!$C:$C, 2042), 0))+IF(Keys!$H$7="", 0, IFERROR(SUMIFS(NP2023_deaths!$D:$D, NP2023_deaths!$A:$A, Keys!$H$7, NP2023_deaths!$B:$B, Keys!$B$7, NP2023_deaths!$C:$C, 2042), 0))</f>
        <v>104253</v>
      </c>
      <c r="U23" s="37">
        <f>IF(Keys!$C$7="", 0, IFERROR(SUMIFS(NP2023_deaths!$D:$D, NP2023_deaths!$A:$A, Keys!$C$7, NP2023_deaths!$B:$B, Keys!$B$7, NP2023_deaths!$C:$C, 2043), 0))+IF(Keys!$D$7="", 0, IFERROR(SUMIFS(NP2023_deaths!$D:$D, NP2023_deaths!$A:$A, Keys!$D$7, NP2023_deaths!$B:$B, Keys!$B$7, NP2023_deaths!$C:$C, 2043), 0))+IF(Keys!$E$7="", 0, IFERROR(SUMIFS(NP2023_deaths!$D:$D, NP2023_deaths!$A:$A, Keys!$E$7, NP2023_deaths!$B:$B, Keys!$B$7, NP2023_deaths!$C:$C, 2043), 0))+IF(Keys!$F$7="", 0, IFERROR(SUMIFS(NP2023_deaths!$D:$D, NP2023_deaths!$A:$A, Keys!$F$7, NP2023_deaths!$B:$B, Keys!$B$7, NP2023_deaths!$C:$C, 2043), 0))+IF(Keys!$G$7="", 0, IFERROR(SUMIFS(NP2023_deaths!$D:$D, NP2023_deaths!$A:$A, Keys!$G$7, NP2023_deaths!$B:$B, Keys!$B$7, NP2023_deaths!$C:$C, 2043), 0))+IF(Keys!$H$7="", 0, IFERROR(SUMIFS(NP2023_deaths!$D:$D, NP2023_deaths!$A:$A, Keys!$H$7, NP2023_deaths!$B:$B, Keys!$B$7, NP2023_deaths!$C:$C, 2043), 0))</f>
        <v>106556</v>
      </c>
      <c r="V23" s="37">
        <f>IF(Keys!$C$7="", 0, IFERROR(SUMIFS(NP2023_deaths!$D:$D, NP2023_deaths!$A:$A, Keys!$C$7, NP2023_deaths!$B:$B, Keys!$B$7, NP2023_deaths!$C:$C, 2044), 0))+IF(Keys!$D$7="", 0, IFERROR(SUMIFS(NP2023_deaths!$D:$D, NP2023_deaths!$A:$A, Keys!$D$7, NP2023_deaths!$B:$B, Keys!$B$7, NP2023_deaths!$C:$C, 2044), 0))+IF(Keys!$E$7="", 0, IFERROR(SUMIFS(NP2023_deaths!$D:$D, NP2023_deaths!$A:$A, Keys!$E$7, NP2023_deaths!$B:$B, Keys!$B$7, NP2023_deaths!$C:$C, 2044), 0))+IF(Keys!$F$7="", 0, IFERROR(SUMIFS(NP2023_deaths!$D:$D, NP2023_deaths!$A:$A, Keys!$F$7, NP2023_deaths!$B:$B, Keys!$B$7, NP2023_deaths!$C:$C, 2044), 0))+IF(Keys!$G$7="", 0, IFERROR(SUMIFS(NP2023_deaths!$D:$D, NP2023_deaths!$A:$A, Keys!$G$7, NP2023_deaths!$B:$B, Keys!$B$7, NP2023_deaths!$C:$C, 2044), 0))+IF(Keys!$H$7="", 0, IFERROR(SUMIFS(NP2023_deaths!$D:$D, NP2023_deaths!$A:$A, Keys!$H$7, NP2023_deaths!$B:$B, Keys!$B$7, NP2023_deaths!$C:$C, 2044), 0))</f>
        <v>108820</v>
      </c>
      <c r="W23" s="37">
        <f>IF(Keys!$C$7="", 0, IFERROR(SUMIFS(NP2023_deaths!$D:$D, NP2023_deaths!$A:$A, Keys!$C$7, NP2023_deaths!$B:$B, Keys!$B$7, NP2023_deaths!$C:$C, 2045), 0))+IF(Keys!$D$7="", 0, IFERROR(SUMIFS(NP2023_deaths!$D:$D, NP2023_deaths!$A:$A, Keys!$D$7, NP2023_deaths!$B:$B, Keys!$B$7, NP2023_deaths!$C:$C, 2045), 0))+IF(Keys!$E$7="", 0, IFERROR(SUMIFS(NP2023_deaths!$D:$D, NP2023_deaths!$A:$A, Keys!$E$7, NP2023_deaths!$B:$B, Keys!$B$7, NP2023_deaths!$C:$C, 2045), 0))+IF(Keys!$F$7="", 0, IFERROR(SUMIFS(NP2023_deaths!$D:$D, NP2023_deaths!$A:$A, Keys!$F$7, NP2023_deaths!$B:$B, Keys!$B$7, NP2023_deaths!$C:$C, 2045), 0))+IF(Keys!$G$7="", 0, IFERROR(SUMIFS(NP2023_deaths!$D:$D, NP2023_deaths!$A:$A, Keys!$G$7, NP2023_deaths!$B:$B, Keys!$B$7, NP2023_deaths!$C:$C, 2045), 0))+IF(Keys!$H$7="", 0, IFERROR(SUMIFS(NP2023_deaths!$D:$D, NP2023_deaths!$A:$A, Keys!$H$7, NP2023_deaths!$B:$B, Keys!$B$7, NP2023_deaths!$C:$C, 2045), 0))</f>
        <v>111113</v>
      </c>
      <c r="X23" s="37">
        <f>IF(Keys!$C$7="", 0, IFERROR(SUMIFS(NP2023_deaths!$D:$D, NP2023_deaths!$A:$A, Keys!$C$7, NP2023_deaths!$B:$B, Keys!$B$7, NP2023_deaths!$C:$C, 2046), 0))+IF(Keys!$D$7="", 0, IFERROR(SUMIFS(NP2023_deaths!$D:$D, NP2023_deaths!$A:$A, Keys!$D$7, NP2023_deaths!$B:$B, Keys!$B$7, NP2023_deaths!$C:$C, 2046), 0))+IF(Keys!$E$7="", 0, IFERROR(SUMIFS(NP2023_deaths!$D:$D, NP2023_deaths!$A:$A, Keys!$E$7, NP2023_deaths!$B:$B, Keys!$B$7, NP2023_deaths!$C:$C, 2046), 0))+IF(Keys!$F$7="", 0, IFERROR(SUMIFS(NP2023_deaths!$D:$D, NP2023_deaths!$A:$A, Keys!$F$7, NP2023_deaths!$B:$B, Keys!$B$7, NP2023_deaths!$C:$C, 2046), 0))+IF(Keys!$G$7="", 0, IFERROR(SUMIFS(NP2023_deaths!$D:$D, NP2023_deaths!$A:$A, Keys!$G$7, NP2023_deaths!$B:$B, Keys!$B$7, NP2023_deaths!$C:$C, 2046), 0))+IF(Keys!$H$7="", 0, IFERROR(SUMIFS(NP2023_deaths!$D:$D, NP2023_deaths!$A:$A, Keys!$H$7, NP2023_deaths!$B:$B, Keys!$B$7, NP2023_deaths!$C:$C, 2046), 0))</f>
        <v>113385</v>
      </c>
      <c r="Y23" s="37">
        <f>IF(Keys!$C$7="", 0, IFERROR(SUMIFS(NP2023_deaths!$D:$D, NP2023_deaths!$A:$A, Keys!$C$7, NP2023_deaths!$B:$B, Keys!$B$7, NP2023_deaths!$C:$C, 2047), 0))+IF(Keys!$D$7="", 0, IFERROR(SUMIFS(NP2023_deaths!$D:$D, NP2023_deaths!$A:$A, Keys!$D$7, NP2023_deaths!$B:$B, Keys!$B$7, NP2023_deaths!$C:$C, 2047), 0))+IF(Keys!$E$7="", 0, IFERROR(SUMIFS(NP2023_deaths!$D:$D, NP2023_deaths!$A:$A, Keys!$E$7, NP2023_deaths!$B:$B, Keys!$B$7, NP2023_deaths!$C:$C, 2047), 0))+IF(Keys!$F$7="", 0, IFERROR(SUMIFS(NP2023_deaths!$D:$D, NP2023_deaths!$A:$A, Keys!$F$7, NP2023_deaths!$B:$B, Keys!$B$7, NP2023_deaths!$C:$C, 2047), 0))+IF(Keys!$G$7="", 0, IFERROR(SUMIFS(NP2023_deaths!$D:$D, NP2023_deaths!$A:$A, Keys!$G$7, NP2023_deaths!$B:$B, Keys!$B$7, NP2023_deaths!$C:$C, 2047), 0))+IF(Keys!$H$7="", 0, IFERROR(SUMIFS(NP2023_deaths!$D:$D, NP2023_deaths!$A:$A, Keys!$H$7, NP2023_deaths!$B:$B, Keys!$B$7, NP2023_deaths!$C:$C, 2047), 0))</f>
        <v>115663</v>
      </c>
      <c r="Z23" s="37">
        <f>IF(Keys!$C$7="", 0, IFERROR(SUMIFS(NP2023_deaths!$D:$D, NP2023_deaths!$A:$A, Keys!$C$7, NP2023_deaths!$B:$B, Keys!$B$7, NP2023_deaths!$C:$C, 2048), 0))+IF(Keys!$D$7="", 0, IFERROR(SUMIFS(NP2023_deaths!$D:$D, NP2023_deaths!$A:$A, Keys!$D$7, NP2023_deaths!$B:$B, Keys!$B$7, NP2023_deaths!$C:$C, 2048), 0))+IF(Keys!$E$7="", 0, IFERROR(SUMIFS(NP2023_deaths!$D:$D, NP2023_deaths!$A:$A, Keys!$E$7, NP2023_deaths!$B:$B, Keys!$B$7, NP2023_deaths!$C:$C, 2048), 0))+IF(Keys!$F$7="", 0, IFERROR(SUMIFS(NP2023_deaths!$D:$D, NP2023_deaths!$A:$A, Keys!$F$7, NP2023_deaths!$B:$B, Keys!$B$7, NP2023_deaths!$C:$C, 2048), 0))+IF(Keys!$G$7="", 0, IFERROR(SUMIFS(NP2023_deaths!$D:$D, NP2023_deaths!$A:$A, Keys!$G$7, NP2023_deaths!$B:$B, Keys!$B$7, NP2023_deaths!$C:$C, 2048), 0))+IF(Keys!$H$7="", 0, IFERROR(SUMIFS(NP2023_deaths!$D:$D, NP2023_deaths!$A:$A, Keys!$H$7, NP2023_deaths!$B:$B, Keys!$B$7, NP2023_deaths!$C:$C, 2048), 0))</f>
        <v>117910</v>
      </c>
      <c r="AA23" s="37">
        <f>IF(Keys!$C$7="", 0, IFERROR(SUMIFS(NP2023_deaths!$D:$D, NP2023_deaths!$A:$A, Keys!$C$7, NP2023_deaths!$B:$B, Keys!$B$7, NP2023_deaths!$C:$C, 2049), 0))+IF(Keys!$D$7="", 0, IFERROR(SUMIFS(NP2023_deaths!$D:$D, NP2023_deaths!$A:$A, Keys!$D$7, NP2023_deaths!$B:$B, Keys!$B$7, NP2023_deaths!$C:$C, 2049), 0))+IF(Keys!$E$7="", 0, IFERROR(SUMIFS(NP2023_deaths!$D:$D, NP2023_deaths!$A:$A, Keys!$E$7, NP2023_deaths!$B:$B, Keys!$B$7, NP2023_deaths!$C:$C, 2049), 0))+IF(Keys!$F$7="", 0, IFERROR(SUMIFS(NP2023_deaths!$D:$D, NP2023_deaths!$A:$A, Keys!$F$7, NP2023_deaths!$B:$B, Keys!$B$7, NP2023_deaths!$C:$C, 2049), 0))+IF(Keys!$G$7="", 0, IFERROR(SUMIFS(NP2023_deaths!$D:$D, NP2023_deaths!$A:$A, Keys!$G$7, NP2023_deaths!$B:$B, Keys!$B$7, NP2023_deaths!$C:$C, 2049), 0))+IF(Keys!$H$7="", 0, IFERROR(SUMIFS(NP2023_deaths!$D:$D, NP2023_deaths!$A:$A, Keys!$H$7, NP2023_deaths!$B:$B, Keys!$B$7, NP2023_deaths!$C:$C, 2049), 0))</f>
        <v>120138</v>
      </c>
      <c r="AB23" s="37">
        <f>IF(Keys!$C$7="", 0, IFERROR(SUMIFS(NP2023_deaths!$D:$D, NP2023_deaths!$A:$A, Keys!$C$7, NP2023_deaths!$B:$B, Keys!$B$7, NP2023_deaths!$C:$C, 2050), 0))+IF(Keys!$D$7="", 0, IFERROR(SUMIFS(NP2023_deaths!$D:$D, NP2023_deaths!$A:$A, Keys!$D$7, NP2023_deaths!$B:$B, Keys!$B$7, NP2023_deaths!$C:$C, 2050), 0))+IF(Keys!$E$7="", 0, IFERROR(SUMIFS(NP2023_deaths!$D:$D, NP2023_deaths!$A:$A, Keys!$E$7, NP2023_deaths!$B:$B, Keys!$B$7, NP2023_deaths!$C:$C, 2050), 0))+IF(Keys!$F$7="", 0, IFERROR(SUMIFS(NP2023_deaths!$D:$D, NP2023_deaths!$A:$A, Keys!$F$7, NP2023_deaths!$B:$B, Keys!$B$7, NP2023_deaths!$C:$C, 2050), 0))+IF(Keys!$G$7="", 0, IFERROR(SUMIFS(NP2023_deaths!$D:$D, NP2023_deaths!$A:$A, Keys!$G$7, NP2023_deaths!$B:$B, Keys!$B$7, NP2023_deaths!$C:$C, 2050), 0))+IF(Keys!$H$7="", 0, IFERROR(SUMIFS(NP2023_deaths!$D:$D, NP2023_deaths!$A:$A, Keys!$H$7, NP2023_deaths!$B:$B, Keys!$B$7, NP2023_deaths!$C:$C, 2050), 0))</f>
        <v>122372</v>
      </c>
    </row>
    <row r="24" spans="1:28" x14ac:dyDescent="0.25">
      <c r="A24" s="4" t="s">
        <v>221</v>
      </c>
      <c r="B24" s="37">
        <f>IF(Keys!$C$8="", 0, IFERROR(SUMIFS(NP2023_deaths!$D:$D, NP2023_deaths!$A:$A, Keys!$C$8, NP2023_deaths!$B:$B, Keys!$B$8, NP2023_deaths!$C:$C, 2024), 0))+IF(Keys!$D$8="", 0, IFERROR(SUMIFS(NP2023_deaths!$D:$D, NP2023_deaths!$A:$A, Keys!$D$8, NP2023_deaths!$B:$B, Keys!$B$8, NP2023_deaths!$C:$C, 2024), 0))+IF(Keys!$E$8="", 0, IFERROR(SUMIFS(NP2023_deaths!$D:$D, NP2023_deaths!$A:$A, Keys!$E$8, NP2023_deaths!$B:$B, Keys!$B$8, NP2023_deaths!$C:$C, 2024), 0))+IF(Keys!$F$8="", 0, IFERROR(SUMIFS(NP2023_deaths!$D:$D, NP2023_deaths!$A:$A, Keys!$F$8, NP2023_deaths!$B:$B, Keys!$B$8, NP2023_deaths!$C:$C, 2024), 0))+IF(Keys!$G$8="", 0, IFERROR(SUMIFS(NP2023_deaths!$D:$D, NP2023_deaths!$A:$A, Keys!$G$8, NP2023_deaths!$B:$B, Keys!$B$8, NP2023_deaths!$C:$C, 2024), 0))+IF(Keys!$H$8="", 0, IFERROR(SUMIFS(NP2023_deaths!$D:$D, NP2023_deaths!$A:$A, Keys!$H$8, NP2023_deaths!$B:$B, Keys!$B$8, NP2023_deaths!$C:$C, 2024), 0))</f>
        <v>253931</v>
      </c>
      <c r="C24" s="37">
        <f>IF(Keys!$C$8="", 0, IFERROR(SUMIFS(NP2023_deaths!$D:$D, NP2023_deaths!$A:$A, Keys!$C$8, NP2023_deaths!$B:$B, Keys!$B$8, NP2023_deaths!$C:$C, 2025), 0))+IF(Keys!$D$8="", 0, IFERROR(SUMIFS(NP2023_deaths!$D:$D, NP2023_deaths!$A:$A, Keys!$D$8, NP2023_deaths!$B:$B, Keys!$B$8, NP2023_deaths!$C:$C, 2025), 0))+IF(Keys!$E$8="", 0, IFERROR(SUMIFS(NP2023_deaths!$D:$D, NP2023_deaths!$A:$A, Keys!$E$8, NP2023_deaths!$B:$B, Keys!$B$8, NP2023_deaths!$C:$C, 2025), 0))+IF(Keys!$F$8="", 0, IFERROR(SUMIFS(NP2023_deaths!$D:$D, NP2023_deaths!$A:$A, Keys!$F$8, NP2023_deaths!$B:$B, Keys!$B$8, NP2023_deaths!$C:$C, 2025), 0))+IF(Keys!$G$8="", 0, IFERROR(SUMIFS(NP2023_deaths!$D:$D, NP2023_deaths!$A:$A, Keys!$G$8, NP2023_deaths!$B:$B, Keys!$B$8, NP2023_deaths!$C:$C, 2025), 0))+IF(Keys!$H$8="", 0, IFERROR(SUMIFS(NP2023_deaths!$D:$D, NP2023_deaths!$A:$A, Keys!$H$8, NP2023_deaths!$B:$B, Keys!$B$8, NP2023_deaths!$C:$C, 2025), 0))</f>
        <v>262766</v>
      </c>
      <c r="D24" s="37">
        <f>IF(Keys!$C$8="", 0, IFERROR(SUMIFS(NP2023_deaths!$D:$D, NP2023_deaths!$A:$A, Keys!$C$8, NP2023_deaths!$B:$B, Keys!$B$8, NP2023_deaths!$C:$C, 2026), 0))+IF(Keys!$D$8="", 0, IFERROR(SUMIFS(NP2023_deaths!$D:$D, NP2023_deaths!$A:$A, Keys!$D$8, NP2023_deaths!$B:$B, Keys!$B$8, NP2023_deaths!$C:$C, 2026), 0))+IF(Keys!$E$8="", 0, IFERROR(SUMIFS(NP2023_deaths!$D:$D, NP2023_deaths!$A:$A, Keys!$E$8, NP2023_deaths!$B:$B, Keys!$B$8, NP2023_deaths!$C:$C, 2026), 0))+IF(Keys!$F$8="", 0, IFERROR(SUMIFS(NP2023_deaths!$D:$D, NP2023_deaths!$A:$A, Keys!$F$8, NP2023_deaths!$B:$B, Keys!$B$8, NP2023_deaths!$C:$C, 2026), 0))+IF(Keys!$G$8="", 0, IFERROR(SUMIFS(NP2023_deaths!$D:$D, NP2023_deaths!$A:$A, Keys!$G$8, NP2023_deaths!$B:$B, Keys!$B$8, NP2023_deaths!$C:$C, 2026), 0))+IF(Keys!$H$8="", 0, IFERROR(SUMIFS(NP2023_deaths!$D:$D, NP2023_deaths!$A:$A, Keys!$H$8, NP2023_deaths!$B:$B, Keys!$B$8, NP2023_deaths!$C:$C, 2026), 0))</f>
        <v>271772</v>
      </c>
      <c r="E24" s="37">
        <f>IF(Keys!$C$8="", 0, IFERROR(SUMIFS(NP2023_deaths!$D:$D, NP2023_deaths!$A:$A, Keys!$C$8, NP2023_deaths!$B:$B, Keys!$B$8, NP2023_deaths!$C:$C, 2027), 0))+IF(Keys!$D$8="", 0, IFERROR(SUMIFS(NP2023_deaths!$D:$D, NP2023_deaths!$A:$A, Keys!$D$8, NP2023_deaths!$B:$B, Keys!$B$8, NP2023_deaths!$C:$C, 2027), 0))+IF(Keys!$E$8="", 0, IFERROR(SUMIFS(NP2023_deaths!$D:$D, NP2023_deaths!$A:$A, Keys!$E$8, NP2023_deaths!$B:$B, Keys!$B$8, NP2023_deaths!$C:$C, 2027), 0))+IF(Keys!$F$8="", 0, IFERROR(SUMIFS(NP2023_deaths!$D:$D, NP2023_deaths!$A:$A, Keys!$F$8, NP2023_deaths!$B:$B, Keys!$B$8, NP2023_deaths!$C:$C, 2027), 0))+IF(Keys!$G$8="", 0, IFERROR(SUMIFS(NP2023_deaths!$D:$D, NP2023_deaths!$A:$A, Keys!$G$8, NP2023_deaths!$B:$B, Keys!$B$8, NP2023_deaths!$C:$C, 2027), 0))+IF(Keys!$H$8="", 0, IFERROR(SUMIFS(NP2023_deaths!$D:$D, NP2023_deaths!$A:$A, Keys!$H$8, NP2023_deaths!$B:$B, Keys!$B$8, NP2023_deaths!$C:$C, 2027), 0))</f>
        <v>280988</v>
      </c>
      <c r="F24" s="37">
        <f>IF(Keys!$C$8="", 0, IFERROR(SUMIFS(NP2023_deaths!$D:$D, NP2023_deaths!$A:$A, Keys!$C$8, NP2023_deaths!$B:$B, Keys!$B$8, NP2023_deaths!$C:$C, 2028), 0))+IF(Keys!$D$8="", 0, IFERROR(SUMIFS(NP2023_deaths!$D:$D, NP2023_deaths!$A:$A, Keys!$D$8, NP2023_deaths!$B:$B, Keys!$B$8, NP2023_deaths!$C:$C, 2028), 0))+IF(Keys!$E$8="", 0, IFERROR(SUMIFS(NP2023_deaths!$D:$D, NP2023_deaths!$A:$A, Keys!$E$8, NP2023_deaths!$B:$B, Keys!$B$8, NP2023_deaths!$C:$C, 2028), 0))+IF(Keys!$F$8="", 0, IFERROR(SUMIFS(NP2023_deaths!$D:$D, NP2023_deaths!$A:$A, Keys!$F$8, NP2023_deaths!$B:$B, Keys!$B$8, NP2023_deaths!$C:$C, 2028), 0))+IF(Keys!$G$8="", 0, IFERROR(SUMIFS(NP2023_deaths!$D:$D, NP2023_deaths!$A:$A, Keys!$G$8, NP2023_deaths!$B:$B, Keys!$B$8, NP2023_deaths!$C:$C, 2028), 0))+IF(Keys!$H$8="", 0, IFERROR(SUMIFS(NP2023_deaths!$D:$D, NP2023_deaths!$A:$A, Keys!$H$8, NP2023_deaths!$B:$B, Keys!$B$8, NP2023_deaths!$C:$C, 2028), 0))</f>
        <v>290415</v>
      </c>
      <c r="G24" s="37">
        <f>IF(Keys!$C$8="", 0, IFERROR(SUMIFS(NP2023_deaths!$D:$D, NP2023_deaths!$A:$A, Keys!$C$8, NP2023_deaths!$B:$B, Keys!$B$8, NP2023_deaths!$C:$C, 2029), 0))+IF(Keys!$D$8="", 0, IFERROR(SUMIFS(NP2023_deaths!$D:$D, NP2023_deaths!$A:$A, Keys!$D$8, NP2023_deaths!$B:$B, Keys!$B$8, NP2023_deaths!$C:$C, 2029), 0))+IF(Keys!$E$8="", 0, IFERROR(SUMIFS(NP2023_deaths!$D:$D, NP2023_deaths!$A:$A, Keys!$E$8, NP2023_deaths!$B:$B, Keys!$B$8, NP2023_deaths!$C:$C, 2029), 0))+IF(Keys!$F$8="", 0, IFERROR(SUMIFS(NP2023_deaths!$D:$D, NP2023_deaths!$A:$A, Keys!$F$8, NP2023_deaths!$B:$B, Keys!$B$8, NP2023_deaths!$C:$C, 2029), 0))+IF(Keys!$G$8="", 0, IFERROR(SUMIFS(NP2023_deaths!$D:$D, NP2023_deaths!$A:$A, Keys!$G$8, NP2023_deaths!$B:$B, Keys!$B$8, NP2023_deaths!$C:$C, 2029), 0))+IF(Keys!$H$8="", 0, IFERROR(SUMIFS(NP2023_deaths!$D:$D, NP2023_deaths!$A:$A, Keys!$H$8, NP2023_deaths!$B:$B, Keys!$B$8, NP2023_deaths!$C:$C, 2029), 0))</f>
        <v>300078</v>
      </c>
      <c r="H24" s="37">
        <f>IF(Keys!$C$8="", 0, IFERROR(SUMIFS(NP2023_deaths!$D:$D, NP2023_deaths!$A:$A, Keys!$C$8, NP2023_deaths!$B:$B, Keys!$B$8, NP2023_deaths!$C:$C, 2030), 0))+IF(Keys!$D$8="", 0, IFERROR(SUMIFS(NP2023_deaths!$D:$D, NP2023_deaths!$A:$A, Keys!$D$8, NP2023_deaths!$B:$B, Keys!$B$8, NP2023_deaths!$C:$C, 2030), 0))+IF(Keys!$E$8="", 0, IFERROR(SUMIFS(NP2023_deaths!$D:$D, NP2023_deaths!$A:$A, Keys!$E$8, NP2023_deaths!$B:$B, Keys!$B$8, NP2023_deaths!$C:$C, 2030), 0))+IF(Keys!$F$8="", 0, IFERROR(SUMIFS(NP2023_deaths!$D:$D, NP2023_deaths!$A:$A, Keys!$F$8, NP2023_deaths!$B:$B, Keys!$B$8, NP2023_deaths!$C:$C, 2030), 0))+IF(Keys!$G$8="", 0, IFERROR(SUMIFS(NP2023_deaths!$D:$D, NP2023_deaths!$A:$A, Keys!$G$8, NP2023_deaths!$B:$B, Keys!$B$8, NP2023_deaths!$C:$C, 2030), 0))+IF(Keys!$H$8="", 0, IFERROR(SUMIFS(NP2023_deaths!$D:$D, NP2023_deaths!$A:$A, Keys!$H$8, NP2023_deaths!$B:$B, Keys!$B$8, NP2023_deaths!$C:$C, 2030), 0))</f>
        <v>310072</v>
      </c>
      <c r="I24" s="37">
        <f>IF(Keys!$C$8="", 0, IFERROR(SUMIFS(NP2023_deaths!$D:$D, NP2023_deaths!$A:$A, Keys!$C$8, NP2023_deaths!$B:$B, Keys!$B$8, NP2023_deaths!$C:$C, 2031), 0))+IF(Keys!$D$8="", 0, IFERROR(SUMIFS(NP2023_deaths!$D:$D, NP2023_deaths!$A:$A, Keys!$D$8, NP2023_deaths!$B:$B, Keys!$B$8, NP2023_deaths!$C:$C, 2031), 0))+IF(Keys!$E$8="", 0, IFERROR(SUMIFS(NP2023_deaths!$D:$D, NP2023_deaths!$A:$A, Keys!$E$8, NP2023_deaths!$B:$B, Keys!$B$8, NP2023_deaths!$C:$C, 2031), 0))+IF(Keys!$F$8="", 0, IFERROR(SUMIFS(NP2023_deaths!$D:$D, NP2023_deaths!$A:$A, Keys!$F$8, NP2023_deaths!$B:$B, Keys!$B$8, NP2023_deaths!$C:$C, 2031), 0))+IF(Keys!$G$8="", 0, IFERROR(SUMIFS(NP2023_deaths!$D:$D, NP2023_deaths!$A:$A, Keys!$G$8, NP2023_deaths!$B:$B, Keys!$B$8, NP2023_deaths!$C:$C, 2031), 0))+IF(Keys!$H$8="", 0, IFERROR(SUMIFS(NP2023_deaths!$D:$D, NP2023_deaths!$A:$A, Keys!$H$8, NP2023_deaths!$B:$B, Keys!$B$8, NP2023_deaths!$C:$C, 2031), 0))</f>
        <v>320395</v>
      </c>
      <c r="J24" s="37">
        <f>IF(Keys!$C$8="", 0, IFERROR(SUMIFS(NP2023_deaths!$D:$D, NP2023_deaths!$A:$A, Keys!$C$8, NP2023_deaths!$B:$B, Keys!$B$8, NP2023_deaths!$C:$C, 2032), 0))+IF(Keys!$D$8="", 0, IFERROR(SUMIFS(NP2023_deaths!$D:$D, NP2023_deaths!$A:$A, Keys!$D$8, NP2023_deaths!$B:$B, Keys!$B$8, NP2023_deaths!$C:$C, 2032), 0))+IF(Keys!$E$8="", 0, IFERROR(SUMIFS(NP2023_deaths!$D:$D, NP2023_deaths!$A:$A, Keys!$E$8, NP2023_deaths!$B:$B, Keys!$B$8, NP2023_deaths!$C:$C, 2032), 0))+IF(Keys!$F$8="", 0, IFERROR(SUMIFS(NP2023_deaths!$D:$D, NP2023_deaths!$A:$A, Keys!$F$8, NP2023_deaths!$B:$B, Keys!$B$8, NP2023_deaths!$C:$C, 2032), 0))+IF(Keys!$G$8="", 0, IFERROR(SUMIFS(NP2023_deaths!$D:$D, NP2023_deaths!$A:$A, Keys!$G$8, NP2023_deaths!$B:$B, Keys!$B$8, NP2023_deaths!$C:$C, 2032), 0))+IF(Keys!$H$8="", 0, IFERROR(SUMIFS(NP2023_deaths!$D:$D, NP2023_deaths!$A:$A, Keys!$H$8, NP2023_deaths!$B:$B, Keys!$B$8, NP2023_deaths!$C:$C, 2032), 0))</f>
        <v>330957</v>
      </c>
      <c r="K24" s="37">
        <f>IF(Keys!$C$8="", 0, IFERROR(SUMIFS(NP2023_deaths!$D:$D, NP2023_deaths!$A:$A, Keys!$C$8, NP2023_deaths!$B:$B, Keys!$B$8, NP2023_deaths!$C:$C, 2033), 0))+IF(Keys!$D$8="", 0, IFERROR(SUMIFS(NP2023_deaths!$D:$D, NP2023_deaths!$A:$A, Keys!$D$8, NP2023_deaths!$B:$B, Keys!$B$8, NP2023_deaths!$C:$C, 2033), 0))+IF(Keys!$E$8="", 0, IFERROR(SUMIFS(NP2023_deaths!$D:$D, NP2023_deaths!$A:$A, Keys!$E$8, NP2023_deaths!$B:$B, Keys!$B$8, NP2023_deaths!$C:$C, 2033), 0))+IF(Keys!$F$8="", 0, IFERROR(SUMIFS(NP2023_deaths!$D:$D, NP2023_deaths!$A:$A, Keys!$F$8, NP2023_deaths!$B:$B, Keys!$B$8, NP2023_deaths!$C:$C, 2033), 0))+IF(Keys!$G$8="", 0, IFERROR(SUMIFS(NP2023_deaths!$D:$D, NP2023_deaths!$A:$A, Keys!$G$8, NP2023_deaths!$B:$B, Keys!$B$8, NP2023_deaths!$C:$C, 2033), 0))+IF(Keys!$H$8="", 0, IFERROR(SUMIFS(NP2023_deaths!$D:$D, NP2023_deaths!$A:$A, Keys!$H$8, NP2023_deaths!$B:$B, Keys!$B$8, NP2023_deaths!$C:$C, 2033), 0))</f>
        <v>341841</v>
      </c>
      <c r="L24" s="37">
        <f>IF(Keys!$C$8="", 0, IFERROR(SUMIFS(NP2023_deaths!$D:$D, NP2023_deaths!$A:$A, Keys!$C$8, NP2023_deaths!$B:$B, Keys!$B$8, NP2023_deaths!$C:$C, 2034), 0))+IF(Keys!$D$8="", 0, IFERROR(SUMIFS(NP2023_deaths!$D:$D, NP2023_deaths!$A:$A, Keys!$D$8, NP2023_deaths!$B:$B, Keys!$B$8, NP2023_deaths!$C:$C, 2034), 0))+IF(Keys!$E$8="", 0, IFERROR(SUMIFS(NP2023_deaths!$D:$D, NP2023_deaths!$A:$A, Keys!$E$8, NP2023_deaths!$B:$B, Keys!$B$8, NP2023_deaths!$C:$C, 2034), 0))+IF(Keys!$F$8="", 0, IFERROR(SUMIFS(NP2023_deaths!$D:$D, NP2023_deaths!$A:$A, Keys!$F$8, NP2023_deaths!$B:$B, Keys!$B$8, NP2023_deaths!$C:$C, 2034), 0))+IF(Keys!$G$8="", 0, IFERROR(SUMIFS(NP2023_deaths!$D:$D, NP2023_deaths!$A:$A, Keys!$G$8, NP2023_deaths!$B:$B, Keys!$B$8, NP2023_deaths!$C:$C, 2034), 0))+IF(Keys!$H$8="", 0, IFERROR(SUMIFS(NP2023_deaths!$D:$D, NP2023_deaths!$A:$A, Keys!$H$8, NP2023_deaths!$B:$B, Keys!$B$8, NP2023_deaths!$C:$C, 2034), 0))</f>
        <v>353100</v>
      </c>
      <c r="M24" s="37">
        <f>IF(Keys!$C$8="", 0, IFERROR(SUMIFS(NP2023_deaths!$D:$D, NP2023_deaths!$A:$A, Keys!$C$8, NP2023_deaths!$B:$B, Keys!$B$8, NP2023_deaths!$C:$C, 2035), 0))+IF(Keys!$D$8="", 0, IFERROR(SUMIFS(NP2023_deaths!$D:$D, NP2023_deaths!$A:$A, Keys!$D$8, NP2023_deaths!$B:$B, Keys!$B$8, NP2023_deaths!$C:$C, 2035), 0))+IF(Keys!$E$8="", 0, IFERROR(SUMIFS(NP2023_deaths!$D:$D, NP2023_deaths!$A:$A, Keys!$E$8, NP2023_deaths!$B:$B, Keys!$B$8, NP2023_deaths!$C:$C, 2035), 0))+IF(Keys!$F$8="", 0, IFERROR(SUMIFS(NP2023_deaths!$D:$D, NP2023_deaths!$A:$A, Keys!$F$8, NP2023_deaths!$B:$B, Keys!$B$8, NP2023_deaths!$C:$C, 2035), 0))+IF(Keys!$G$8="", 0, IFERROR(SUMIFS(NP2023_deaths!$D:$D, NP2023_deaths!$A:$A, Keys!$G$8, NP2023_deaths!$B:$B, Keys!$B$8, NP2023_deaths!$C:$C, 2035), 0))+IF(Keys!$H$8="", 0, IFERROR(SUMIFS(NP2023_deaths!$D:$D, NP2023_deaths!$A:$A, Keys!$H$8, NP2023_deaths!$B:$B, Keys!$B$8, NP2023_deaths!$C:$C, 2035), 0))</f>
        <v>364645</v>
      </c>
      <c r="N24" s="37">
        <f>IF(Keys!$C$8="", 0, IFERROR(SUMIFS(NP2023_deaths!$D:$D, NP2023_deaths!$A:$A, Keys!$C$8, NP2023_deaths!$B:$B, Keys!$B$8, NP2023_deaths!$C:$C, 2036), 0))+IF(Keys!$D$8="", 0, IFERROR(SUMIFS(NP2023_deaths!$D:$D, NP2023_deaths!$A:$A, Keys!$D$8, NP2023_deaths!$B:$B, Keys!$B$8, NP2023_deaths!$C:$C, 2036), 0))+IF(Keys!$E$8="", 0, IFERROR(SUMIFS(NP2023_deaths!$D:$D, NP2023_deaths!$A:$A, Keys!$E$8, NP2023_deaths!$B:$B, Keys!$B$8, NP2023_deaths!$C:$C, 2036), 0))+IF(Keys!$F$8="", 0, IFERROR(SUMIFS(NP2023_deaths!$D:$D, NP2023_deaths!$A:$A, Keys!$F$8, NP2023_deaths!$B:$B, Keys!$B$8, NP2023_deaths!$C:$C, 2036), 0))+IF(Keys!$G$8="", 0, IFERROR(SUMIFS(NP2023_deaths!$D:$D, NP2023_deaths!$A:$A, Keys!$G$8, NP2023_deaths!$B:$B, Keys!$B$8, NP2023_deaths!$C:$C, 2036), 0))+IF(Keys!$H$8="", 0, IFERROR(SUMIFS(NP2023_deaths!$D:$D, NP2023_deaths!$A:$A, Keys!$H$8, NP2023_deaths!$B:$B, Keys!$B$8, NP2023_deaths!$C:$C, 2036), 0))</f>
        <v>376566</v>
      </c>
      <c r="O24" s="37">
        <f>IF(Keys!$C$8="", 0, IFERROR(SUMIFS(NP2023_deaths!$D:$D, NP2023_deaths!$A:$A, Keys!$C$8, NP2023_deaths!$B:$B, Keys!$B$8, NP2023_deaths!$C:$C, 2037), 0))+IF(Keys!$D$8="", 0, IFERROR(SUMIFS(NP2023_deaths!$D:$D, NP2023_deaths!$A:$A, Keys!$D$8, NP2023_deaths!$B:$B, Keys!$B$8, NP2023_deaths!$C:$C, 2037), 0))+IF(Keys!$E$8="", 0, IFERROR(SUMIFS(NP2023_deaths!$D:$D, NP2023_deaths!$A:$A, Keys!$E$8, NP2023_deaths!$B:$B, Keys!$B$8, NP2023_deaths!$C:$C, 2037), 0))+IF(Keys!$F$8="", 0, IFERROR(SUMIFS(NP2023_deaths!$D:$D, NP2023_deaths!$A:$A, Keys!$F$8, NP2023_deaths!$B:$B, Keys!$B$8, NP2023_deaths!$C:$C, 2037), 0))+IF(Keys!$G$8="", 0, IFERROR(SUMIFS(NP2023_deaths!$D:$D, NP2023_deaths!$A:$A, Keys!$G$8, NP2023_deaths!$B:$B, Keys!$B$8, NP2023_deaths!$C:$C, 2037), 0))+IF(Keys!$H$8="", 0, IFERROR(SUMIFS(NP2023_deaths!$D:$D, NP2023_deaths!$A:$A, Keys!$H$8, NP2023_deaths!$B:$B, Keys!$B$8, NP2023_deaths!$C:$C, 2037), 0))</f>
        <v>388797</v>
      </c>
      <c r="P24" s="37">
        <f>IF(Keys!$C$8="", 0, IFERROR(SUMIFS(NP2023_deaths!$D:$D, NP2023_deaths!$A:$A, Keys!$C$8, NP2023_deaths!$B:$B, Keys!$B$8, NP2023_deaths!$C:$C, 2038), 0))+IF(Keys!$D$8="", 0, IFERROR(SUMIFS(NP2023_deaths!$D:$D, NP2023_deaths!$A:$A, Keys!$D$8, NP2023_deaths!$B:$B, Keys!$B$8, NP2023_deaths!$C:$C, 2038), 0))+IF(Keys!$E$8="", 0, IFERROR(SUMIFS(NP2023_deaths!$D:$D, NP2023_deaths!$A:$A, Keys!$E$8, NP2023_deaths!$B:$B, Keys!$B$8, NP2023_deaths!$C:$C, 2038), 0))+IF(Keys!$F$8="", 0, IFERROR(SUMIFS(NP2023_deaths!$D:$D, NP2023_deaths!$A:$A, Keys!$F$8, NP2023_deaths!$B:$B, Keys!$B$8, NP2023_deaths!$C:$C, 2038), 0))+IF(Keys!$G$8="", 0, IFERROR(SUMIFS(NP2023_deaths!$D:$D, NP2023_deaths!$A:$A, Keys!$G$8, NP2023_deaths!$B:$B, Keys!$B$8, NP2023_deaths!$C:$C, 2038), 0))+IF(Keys!$H$8="", 0, IFERROR(SUMIFS(NP2023_deaths!$D:$D, NP2023_deaths!$A:$A, Keys!$H$8, NP2023_deaths!$B:$B, Keys!$B$8, NP2023_deaths!$C:$C, 2038), 0))</f>
        <v>401314</v>
      </c>
      <c r="Q24" s="37">
        <f>IF(Keys!$C$8="", 0, IFERROR(SUMIFS(NP2023_deaths!$D:$D, NP2023_deaths!$A:$A, Keys!$C$8, NP2023_deaths!$B:$B, Keys!$B$8, NP2023_deaths!$C:$C, 2039), 0))+IF(Keys!$D$8="", 0, IFERROR(SUMIFS(NP2023_deaths!$D:$D, NP2023_deaths!$A:$A, Keys!$D$8, NP2023_deaths!$B:$B, Keys!$B$8, NP2023_deaths!$C:$C, 2039), 0))+IF(Keys!$E$8="", 0, IFERROR(SUMIFS(NP2023_deaths!$D:$D, NP2023_deaths!$A:$A, Keys!$E$8, NP2023_deaths!$B:$B, Keys!$B$8, NP2023_deaths!$C:$C, 2039), 0))+IF(Keys!$F$8="", 0, IFERROR(SUMIFS(NP2023_deaths!$D:$D, NP2023_deaths!$A:$A, Keys!$F$8, NP2023_deaths!$B:$B, Keys!$B$8, NP2023_deaths!$C:$C, 2039), 0))+IF(Keys!$G$8="", 0, IFERROR(SUMIFS(NP2023_deaths!$D:$D, NP2023_deaths!$A:$A, Keys!$G$8, NP2023_deaths!$B:$B, Keys!$B$8, NP2023_deaths!$C:$C, 2039), 0))+IF(Keys!$H$8="", 0, IFERROR(SUMIFS(NP2023_deaths!$D:$D, NP2023_deaths!$A:$A, Keys!$H$8, NP2023_deaths!$B:$B, Keys!$B$8, NP2023_deaths!$C:$C, 2039), 0))</f>
        <v>414134</v>
      </c>
      <c r="R24" s="37">
        <f>IF(Keys!$C$8="", 0, IFERROR(SUMIFS(NP2023_deaths!$D:$D, NP2023_deaths!$A:$A, Keys!$C$8, NP2023_deaths!$B:$B, Keys!$B$8, NP2023_deaths!$C:$C, 2040), 0))+IF(Keys!$D$8="", 0, IFERROR(SUMIFS(NP2023_deaths!$D:$D, NP2023_deaths!$A:$A, Keys!$D$8, NP2023_deaths!$B:$B, Keys!$B$8, NP2023_deaths!$C:$C, 2040), 0))+IF(Keys!$E$8="", 0, IFERROR(SUMIFS(NP2023_deaths!$D:$D, NP2023_deaths!$A:$A, Keys!$E$8, NP2023_deaths!$B:$B, Keys!$B$8, NP2023_deaths!$C:$C, 2040), 0))+IF(Keys!$F$8="", 0, IFERROR(SUMIFS(NP2023_deaths!$D:$D, NP2023_deaths!$A:$A, Keys!$F$8, NP2023_deaths!$B:$B, Keys!$B$8, NP2023_deaths!$C:$C, 2040), 0))+IF(Keys!$G$8="", 0, IFERROR(SUMIFS(NP2023_deaths!$D:$D, NP2023_deaths!$A:$A, Keys!$G$8, NP2023_deaths!$B:$B, Keys!$B$8, NP2023_deaths!$C:$C, 2040), 0))+IF(Keys!$H$8="", 0, IFERROR(SUMIFS(NP2023_deaths!$D:$D, NP2023_deaths!$A:$A, Keys!$H$8, NP2023_deaths!$B:$B, Keys!$B$8, NP2023_deaths!$C:$C, 2040), 0))</f>
        <v>427168</v>
      </c>
      <c r="S24" s="37">
        <f>IF(Keys!$C$8="", 0, IFERROR(SUMIFS(NP2023_deaths!$D:$D, NP2023_deaths!$A:$A, Keys!$C$8, NP2023_deaths!$B:$B, Keys!$B$8, NP2023_deaths!$C:$C, 2041), 0))+IF(Keys!$D$8="", 0, IFERROR(SUMIFS(NP2023_deaths!$D:$D, NP2023_deaths!$A:$A, Keys!$D$8, NP2023_deaths!$B:$B, Keys!$B$8, NP2023_deaths!$C:$C, 2041), 0))+IF(Keys!$E$8="", 0, IFERROR(SUMIFS(NP2023_deaths!$D:$D, NP2023_deaths!$A:$A, Keys!$E$8, NP2023_deaths!$B:$B, Keys!$B$8, NP2023_deaths!$C:$C, 2041), 0))+IF(Keys!$F$8="", 0, IFERROR(SUMIFS(NP2023_deaths!$D:$D, NP2023_deaths!$A:$A, Keys!$F$8, NP2023_deaths!$B:$B, Keys!$B$8, NP2023_deaths!$C:$C, 2041), 0))+IF(Keys!$G$8="", 0, IFERROR(SUMIFS(NP2023_deaths!$D:$D, NP2023_deaths!$A:$A, Keys!$G$8, NP2023_deaths!$B:$B, Keys!$B$8, NP2023_deaths!$C:$C, 2041), 0))+IF(Keys!$H$8="", 0, IFERROR(SUMIFS(NP2023_deaths!$D:$D, NP2023_deaths!$A:$A, Keys!$H$8, NP2023_deaths!$B:$B, Keys!$B$8, NP2023_deaths!$C:$C, 2041), 0))</f>
        <v>440418</v>
      </c>
      <c r="T24" s="37">
        <f>IF(Keys!$C$8="", 0, IFERROR(SUMIFS(NP2023_deaths!$D:$D, NP2023_deaths!$A:$A, Keys!$C$8, NP2023_deaths!$B:$B, Keys!$B$8, NP2023_deaths!$C:$C, 2042), 0))+IF(Keys!$D$8="", 0, IFERROR(SUMIFS(NP2023_deaths!$D:$D, NP2023_deaths!$A:$A, Keys!$D$8, NP2023_deaths!$B:$B, Keys!$B$8, NP2023_deaths!$C:$C, 2042), 0))+IF(Keys!$E$8="", 0, IFERROR(SUMIFS(NP2023_deaths!$D:$D, NP2023_deaths!$A:$A, Keys!$E$8, NP2023_deaths!$B:$B, Keys!$B$8, NP2023_deaths!$C:$C, 2042), 0))+IF(Keys!$F$8="", 0, IFERROR(SUMIFS(NP2023_deaths!$D:$D, NP2023_deaths!$A:$A, Keys!$F$8, NP2023_deaths!$B:$B, Keys!$B$8, NP2023_deaths!$C:$C, 2042), 0))+IF(Keys!$G$8="", 0, IFERROR(SUMIFS(NP2023_deaths!$D:$D, NP2023_deaths!$A:$A, Keys!$G$8, NP2023_deaths!$B:$B, Keys!$B$8, NP2023_deaths!$C:$C, 2042), 0))+IF(Keys!$H$8="", 0, IFERROR(SUMIFS(NP2023_deaths!$D:$D, NP2023_deaths!$A:$A, Keys!$H$8, NP2023_deaths!$B:$B, Keys!$B$8, NP2023_deaths!$C:$C, 2042), 0))</f>
        <v>453869</v>
      </c>
      <c r="U24" s="37">
        <f>IF(Keys!$C$8="", 0, IFERROR(SUMIFS(NP2023_deaths!$D:$D, NP2023_deaths!$A:$A, Keys!$C$8, NP2023_deaths!$B:$B, Keys!$B$8, NP2023_deaths!$C:$C, 2043), 0))+IF(Keys!$D$8="", 0, IFERROR(SUMIFS(NP2023_deaths!$D:$D, NP2023_deaths!$A:$A, Keys!$D$8, NP2023_deaths!$B:$B, Keys!$B$8, NP2023_deaths!$C:$C, 2043), 0))+IF(Keys!$E$8="", 0, IFERROR(SUMIFS(NP2023_deaths!$D:$D, NP2023_deaths!$A:$A, Keys!$E$8, NP2023_deaths!$B:$B, Keys!$B$8, NP2023_deaths!$C:$C, 2043), 0))+IF(Keys!$F$8="", 0, IFERROR(SUMIFS(NP2023_deaths!$D:$D, NP2023_deaths!$A:$A, Keys!$F$8, NP2023_deaths!$B:$B, Keys!$B$8, NP2023_deaths!$C:$C, 2043), 0))+IF(Keys!$G$8="", 0, IFERROR(SUMIFS(NP2023_deaths!$D:$D, NP2023_deaths!$A:$A, Keys!$G$8, NP2023_deaths!$B:$B, Keys!$B$8, NP2023_deaths!$C:$C, 2043), 0))+IF(Keys!$H$8="", 0, IFERROR(SUMIFS(NP2023_deaths!$D:$D, NP2023_deaths!$A:$A, Keys!$H$8, NP2023_deaths!$B:$B, Keys!$B$8, NP2023_deaths!$C:$C, 2043), 0))</f>
        <v>467490</v>
      </c>
      <c r="V24" s="37">
        <f>IF(Keys!$C$8="", 0, IFERROR(SUMIFS(NP2023_deaths!$D:$D, NP2023_deaths!$A:$A, Keys!$C$8, NP2023_deaths!$B:$B, Keys!$B$8, NP2023_deaths!$C:$C, 2044), 0))+IF(Keys!$D$8="", 0, IFERROR(SUMIFS(NP2023_deaths!$D:$D, NP2023_deaths!$A:$A, Keys!$D$8, NP2023_deaths!$B:$B, Keys!$B$8, NP2023_deaths!$C:$C, 2044), 0))+IF(Keys!$E$8="", 0, IFERROR(SUMIFS(NP2023_deaths!$D:$D, NP2023_deaths!$A:$A, Keys!$E$8, NP2023_deaths!$B:$B, Keys!$B$8, NP2023_deaths!$C:$C, 2044), 0))+IF(Keys!$F$8="", 0, IFERROR(SUMIFS(NP2023_deaths!$D:$D, NP2023_deaths!$A:$A, Keys!$F$8, NP2023_deaths!$B:$B, Keys!$B$8, NP2023_deaths!$C:$C, 2044), 0))+IF(Keys!$G$8="", 0, IFERROR(SUMIFS(NP2023_deaths!$D:$D, NP2023_deaths!$A:$A, Keys!$G$8, NP2023_deaths!$B:$B, Keys!$B$8, NP2023_deaths!$C:$C, 2044), 0))+IF(Keys!$H$8="", 0, IFERROR(SUMIFS(NP2023_deaths!$D:$D, NP2023_deaths!$A:$A, Keys!$H$8, NP2023_deaths!$B:$B, Keys!$B$8, NP2023_deaths!$C:$C, 2044), 0))</f>
        <v>481224</v>
      </c>
      <c r="W24" s="37">
        <f>IF(Keys!$C$8="", 0, IFERROR(SUMIFS(NP2023_deaths!$D:$D, NP2023_deaths!$A:$A, Keys!$C$8, NP2023_deaths!$B:$B, Keys!$B$8, NP2023_deaths!$C:$C, 2045), 0))+IF(Keys!$D$8="", 0, IFERROR(SUMIFS(NP2023_deaths!$D:$D, NP2023_deaths!$A:$A, Keys!$D$8, NP2023_deaths!$B:$B, Keys!$B$8, NP2023_deaths!$C:$C, 2045), 0))+IF(Keys!$E$8="", 0, IFERROR(SUMIFS(NP2023_deaths!$D:$D, NP2023_deaths!$A:$A, Keys!$E$8, NP2023_deaths!$B:$B, Keys!$B$8, NP2023_deaths!$C:$C, 2045), 0))+IF(Keys!$F$8="", 0, IFERROR(SUMIFS(NP2023_deaths!$D:$D, NP2023_deaths!$A:$A, Keys!$F$8, NP2023_deaths!$B:$B, Keys!$B$8, NP2023_deaths!$C:$C, 2045), 0))+IF(Keys!$G$8="", 0, IFERROR(SUMIFS(NP2023_deaths!$D:$D, NP2023_deaths!$A:$A, Keys!$G$8, NP2023_deaths!$B:$B, Keys!$B$8, NP2023_deaths!$C:$C, 2045), 0))+IF(Keys!$H$8="", 0, IFERROR(SUMIFS(NP2023_deaths!$D:$D, NP2023_deaths!$A:$A, Keys!$H$8, NP2023_deaths!$B:$B, Keys!$B$8, NP2023_deaths!$C:$C, 2045), 0))</f>
        <v>495002</v>
      </c>
      <c r="X24" s="37">
        <f>IF(Keys!$C$8="", 0, IFERROR(SUMIFS(NP2023_deaths!$D:$D, NP2023_deaths!$A:$A, Keys!$C$8, NP2023_deaths!$B:$B, Keys!$B$8, NP2023_deaths!$C:$C, 2046), 0))+IF(Keys!$D$8="", 0, IFERROR(SUMIFS(NP2023_deaths!$D:$D, NP2023_deaths!$A:$A, Keys!$D$8, NP2023_deaths!$B:$B, Keys!$B$8, NP2023_deaths!$C:$C, 2046), 0))+IF(Keys!$E$8="", 0, IFERROR(SUMIFS(NP2023_deaths!$D:$D, NP2023_deaths!$A:$A, Keys!$E$8, NP2023_deaths!$B:$B, Keys!$B$8, NP2023_deaths!$C:$C, 2046), 0))+IF(Keys!$F$8="", 0, IFERROR(SUMIFS(NP2023_deaths!$D:$D, NP2023_deaths!$A:$A, Keys!$F$8, NP2023_deaths!$B:$B, Keys!$B$8, NP2023_deaths!$C:$C, 2046), 0))+IF(Keys!$G$8="", 0, IFERROR(SUMIFS(NP2023_deaths!$D:$D, NP2023_deaths!$A:$A, Keys!$G$8, NP2023_deaths!$B:$B, Keys!$B$8, NP2023_deaths!$C:$C, 2046), 0))+IF(Keys!$H$8="", 0, IFERROR(SUMIFS(NP2023_deaths!$D:$D, NP2023_deaths!$A:$A, Keys!$H$8, NP2023_deaths!$B:$B, Keys!$B$8, NP2023_deaths!$C:$C, 2046), 0))</f>
        <v>508896</v>
      </c>
      <c r="Y24" s="37">
        <f>IF(Keys!$C$8="", 0, IFERROR(SUMIFS(NP2023_deaths!$D:$D, NP2023_deaths!$A:$A, Keys!$C$8, NP2023_deaths!$B:$B, Keys!$B$8, NP2023_deaths!$C:$C, 2047), 0))+IF(Keys!$D$8="", 0, IFERROR(SUMIFS(NP2023_deaths!$D:$D, NP2023_deaths!$A:$A, Keys!$D$8, NP2023_deaths!$B:$B, Keys!$B$8, NP2023_deaths!$C:$C, 2047), 0))+IF(Keys!$E$8="", 0, IFERROR(SUMIFS(NP2023_deaths!$D:$D, NP2023_deaths!$A:$A, Keys!$E$8, NP2023_deaths!$B:$B, Keys!$B$8, NP2023_deaths!$C:$C, 2047), 0))+IF(Keys!$F$8="", 0, IFERROR(SUMIFS(NP2023_deaths!$D:$D, NP2023_deaths!$A:$A, Keys!$F$8, NP2023_deaths!$B:$B, Keys!$B$8, NP2023_deaths!$C:$C, 2047), 0))+IF(Keys!$G$8="", 0, IFERROR(SUMIFS(NP2023_deaths!$D:$D, NP2023_deaths!$A:$A, Keys!$G$8, NP2023_deaths!$B:$B, Keys!$B$8, NP2023_deaths!$C:$C, 2047), 0))+IF(Keys!$H$8="", 0, IFERROR(SUMIFS(NP2023_deaths!$D:$D, NP2023_deaths!$A:$A, Keys!$H$8, NP2023_deaths!$B:$B, Keys!$B$8, NP2023_deaths!$C:$C, 2047), 0))</f>
        <v>522799</v>
      </c>
      <c r="Z24" s="37">
        <f>IF(Keys!$C$8="", 0, IFERROR(SUMIFS(NP2023_deaths!$D:$D, NP2023_deaths!$A:$A, Keys!$C$8, NP2023_deaths!$B:$B, Keys!$B$8, NP2023_deaths!$C:$C, 2048), 0))+IF(Keys!$D$8="", 0, IFERROR(SUMIFS(NP2023_deaths!$D:$D, NP2023_deaths!$A:$A, Keys!$D$8, NP2023_deaths!$B:$B, Keys!$B$8, NP2023_deaths!$C:$C, 2048), 0))+IF(Keys!$E$8="", 0, IFERROR(SUMIFS(NP2023_deaths!$D:$D, NP2023_deaths!$A:$A, Keys!$E$8, NP2023_deaths!$B:$B, Keys!$B$8, NP2023_deaths!$C:$C, 2048), 0))+IF(Keys!$F$8="", 0, IFERROR(SUMIFS(NP2023_deaths!$D:$D, NP2023_deaths!$A:$A, Keys!$F$8, NP2023_deaths!$B:$B, Keys!$B$8, NP2023_deaths!$C:$C, 2048), 0))+IF(Keys!$G$8="", 0, IFERROR(SUMIFS(NP2023_deaths!$D:$D, NP2023_deaths!$A:$A, Keys!$G$8, NP2023_deaths!$B:$B, Keys!$B$8, NP2023_deaths!$C:$C, 2048), 0))+IF(Keys!$H$8="", 0, IFERROR(SUMIFS(NP2023_deaths!$D:$D, NP2023_deaths!$A:$A, Keys!$H$8, NP2023_deaths!$B:$B, Keys!$B$8, NP2023_deaths!$C:$C, 2048), 0))</f>
        <v>536708</v>
      </c>
      <c r="AA24" s="37">
        <f>IF(Keys!$C$8="", 0, IFERROR(SUMIFS(NP2023_deaths!$D:$D, NP2023_deaths!$A:$A, Keys!$C$8, NP2023_deaths!$B:$B, Keys!$B$8, NP2023_deaths!$C:$C, 2049), 0))+IF(Keys!$D$8="", 0, IFERROR(SUMIFS(NP2023_deaths!$D:$D, NP2023_deaths!$A:$A, Keys!$D$8, NP2023_deaths!$B:$B, Keys!$B$8, NP2023_deaths!$C:$C, 2049), 0))+IF(Keys!$E$8="", 0, IFERROR(SUMIFS(NP2023_deaths!$D:$D, NP2023_deaths!$A:$A, Keys!$E$8, NP2023_deaths!$B:$B, Keys!$B$8, NP2023_deaths!$C:$C, 2049), 0))+IF(Keys!$F$8="", 0, IFERROR(SUMIFS(NP2023_deaths!$D:$D, NP2023_deaths!$A:$A, Keys!$F$8, NP2023_deaths!$B:$B, Keys!$B$8, NP2023_deaths!$C:$C, 2049), 0))+IF(Keys!$G$8="", 0, IFERROR(SUMIFS(NP2023_deaths!$D:$D, NP2023_deaths!$A:$A, Keys!$G$8, NP2023_deaths!$B:$B, Keys!$B$8, NP2023_deaths!$C:$C, 2049), 0))+IF(Keys!$H$8="", 0, IFERROR(SUMIFS(NP2023_deaths!$D:$D, NP2023_deaths!$A:$A, Keys!$H$8, NP2023_deaths!$B:$B, Keys!$B$8, NP2023_deaths!$C:$C, 2049), 0))</f>
        <v>550508</v>
      </c>
      <c r="AB24" s="37">
        <f>IF(Keys!$C$8="", 0, IFERROR(SUMIFS(NP2023_deaths!$D:$D, NP2023_deaths!$A:$A, Keys!$C$8, NP2023_deaths!$B:$B, Keys!$B$8, NP2023_deaths!$C:$C, 2050), 0))+IF(Keys!$D$8="", 0, IFERROR(SUMIFS(NP2023_deaths!$D:$D, NP2023_deaths!$A:$A, Keys!$D$8, NP2023_deaths!$B:$B, Keys!$B$8, NP2023_deaths!$C:$C, 2050), 0))+IF(Keys!$E$8="", 0, IFERROR(SUMIFS(NP2023_deaths!$D:$D, NP2023_deaths!$A:$A, Keys!$E$8, NP2023_deaths!$B:$B, Keys!$B$8, NP2023_deaths!$C:$C, 2050), 0))+IF(Keys!$F$8="", 0, IFERROR(SUMIFS(NP2023_deaths!$D:$D, NP2023_deaths!$A:$A, Keys!$F$8, NP2023_deaths!$B:$B, Keys!$B$8, NP2023_deaths!$C:$C, 2050), 0))+IF(Keys!$G$8="", 0, IFERROR(SUMIFS(NP2023_deaths!$D:$D, NP2023_deaths!$A:$A, Keys!$G$8, NP2023_deaths!$B:$B, Keys!$B$8, NP2023_deaths!$C:$C, 2050), 0))+IF(Keys!$H$8="", 0, IFERROR(SUMIFS(NP2023_deaths!$D:$D, NP2023_deaths!$A:$A, Keys!$H$8, NP2023_deaths!$B:$B, Keys!$B$8, NP2023_deaths!$C:$C, 2050), 0))</f>
        <v>564189</v>
      </c>
    </row>
    <row r="25" spans="1:28" x14ac:dyDescent="0.25">
      <c r="A25" s="4" t="s">
        <v>222</v>
      </c>
      <c r="B25" s="37">
        <f>IF(Keys!$C$9="", 0, IFERROR(SUMIFS(NP2023_deaths!$D:$D, NP2023_deaths!$A:$A, Keys!$C$9, NP2023_deaths!$B:$B, Keys!$B$9, NP2023_deaths!$C:$C, 2024), 0))+IF(Keys!$D$9="", 0, IFERROR(SUMIFS(NP2023_deaths!$D:$D, NP2023_deaths!$A:$A, Keys!$D$9, NP2023_deaths!$B:$B, Keys!$B$9, NP2023_deaths!$C:$C, 2024), 0))+IF(Keys!$E$9="", 0, IFERROR(SUMIFS(NP2023_deaths!$D:$D, NP2023_deaths!$A:$A, Keys!$E$9, NP2023_deaths!$B:$B, Keys!$B$9, NP2023_deaths!$C:$C, 2024), 0))+IF(Keys!$F$9="", 0, IFERROR(SUMIFS(NP2023_deaths!$D:$D, NP2023_deaths!$A:$A, Keys!$F$9, NP2023_deaths!$B:$B, Keys!$B$9, NP2023_deaths!$C:$C, 2024), 0))+IF(Keys!$G$9="", 0, IFERROR(SUMIFS(NP2023_deaths!$D:$D, NP2023_deaths!$A:$A, Keys!$G$9, NP2023_deaths!$B:$B, Keys!$B$9, NP2023_deaths!$C:$C, 2024), 0))+IF(Keys!$H$9="", 0, IFERROR(SUMIFS(NP2023_deaths!$D:$D, NP2023_deaths!$A:$A, Keys!$H$9, NP2023_deaths!$B:$B, Keys!$B$9, NP2023_deaths!$C:$C, 2024), 0))</f>
        <v>2657640</v>
      </c>
      <c r="C25" s="37">
        <f>IF(Keys!$C$9="", 0, IFERROR(SUMIFS(NP2023_deaths!$D:$D, NP2023_deaths!$A:$A, Keys!$C$9, NP2023_deaths!$B:$B, Keys!$B$9, NP2023_deaths!$C:$C, 2025), 0))+IF(Keys!$D$9="", 0, IFERROR(SUMIFS(NP2023_deaths!$D:$D, NP2023_deaths!$A:$A, Keys!$D$9, NP2023_deaths!$B:$B, Keys!$B$9, NP2023_deaths!$C:$C, 2025), 0))+IF(Keys!$E$9="", 0, IFERROR(SUMIFS(NP2023_deaths!$D:$D, NP2023_deaths!$A:$A, Keys!$E$9, NP2023_deaths!$B:$B, Keys!$B$9, NP2023_deaths!$C:$C, 2025), 0))+IF(Keys!$F$9="", 0, IFERROR(SUMIFS(NP2023_deaths!$D:$D, NP2023_deaths!$A:$A, Keys!$F$9, NP2023_deaths!$B:$B, Keys!$B$9, NP2023_deaths!$C:$C, 2025), 0))+IF(Keys!$G$9="", 0, IFERROR(SUMIFS(NP2023_deaths!$D:$D, NP2023_deaths!$A:$A, Keys!$G$9, NP2023_deaths!$B:$B, Keys!$B$9, NP2023_deaths!$C:$C, 2025), 0))+IF(Keys!$H$9="", 0, IFERROR(SUMIFS(NP2023_deaths!$D:$D, NP2023_deaths!$A:$A, Keys!$H$9, NP2023_deaths!$B:$B, Keys!$B$9, NP2023_deaths!$C:$C, 2025), 0))</f>
        <v>2697721</v>
      </c>
      <c r="D25" s="37">
        <f>IF(Keys!$C$9="", 0, IFERROR(SUMIFS(NP2023_deaths!$D:$D, NP2023_deaths!$A:$A, Keys!$C$9, NP2023_deaths!$B:$B, Keys!$B$9, NP2023_deaths!$C:$C, 2026), 0))+IF(Keys!$D$9="", 0, IFERROR(SUMIFS(NP2023_deaths!$D:$D, NP2023_deaths!$A:$A, Keys!$D$9, NP2023_deaths!$B:$B, Keys!$B$9, NP2023_deaths!$C:$C, 2026), 0))+IF(Keys!$E$9="", 0, IFERROR(SUMIFS(NP2023_deaths!$D:$D, NP2023_deaths!$A:$A, Keys!$E$9, NP2023_deaths!$B:$B, Keys!$B$9, NP2023_deaths!$C:$C, 2026), 0))+IF(Keys!$F$9="", 0, IFERROR(SUMIFS(NP2023_deaths!$D:$D, NP2023_deaths!$A:$A, Keys!$F$9, NP2023_deaths!$B:$B, Keys!$B$9, NP2023_deaths!$C:$C, 2026), 0))+IF(Keys!$G$9="", 0, IFERROR(SUMIFS(NP2023_deaths!$D:$D, NP2023_deaths!$A:$A, Keys!$G$9, NP2023_deaths!$B:$B, Keys!$B$9, NP2023_deaths!$C:$C, 2026), 0))+IF(Keys!$H$9="", 0, IFERROR(SUMIFS(NP2023_deaths!$D:$D, NP2023_deaths!$A:$A, Keys!$H$9, NP2023_deaths!$B:$B, Keys!$B$9, NP2023_deaths!$C:$C, 2026), 0))</f>
        <v>2737297</v>
      </c>
      <c r="E25" s="37">
        <f>IF(Keys!$C$9="", 0, IFERROR(SUMIFS(NP2023_deaths!$D:$D, NP2023_deaths!$A:$A, Keys!$C$9, NP2023_deaths!$B:$B, Keys!$B$9, NP2023_deaths!$C:$C, 2027), 0))+IF(Keys!$D$9="", 0, IFERROR(SUMIFS(NP2023_deaths!$D:$D, NP2023_deaths!$A:$A, Keys!$D$9, NP2023_deaths!$B:$B, Keys!$B$9, NP2023_deaths!$C:$C, 2027), 0))+IF(Keys!$E$9="", 0, IFERROR(SUMIFS(NP2023_deaths!$D:$D, NP2023_deaths!$A:$A, Keys!$E$9, NP2023_deaths!$B:$B, Keys!$B$9, NP2023_deaths!$C:$C, 2027), 0))+IF(Keys!$F$9="", 0, IFERROR(SUMIFS(NP2023_deaths!$D:$D, NP2023_deaths!$A:$A, Keys!$F$9, NP2023_deaths!$B:$B, Keys!$B$9, NP2023_deaths!$C:$C, 2027), 0))+IF(Keys!$G$9="", 0, IFERROR(SUMIFS(NP2023_deaths!$D:$D, NP2023_deaths!$A:$A, Keys!$G$9, NP2023_deaths!$B:$B, Keys!$B$9, NP2023_deaths!$C:$C, 2027), 0))+IF(Keys!$H$9="", 0, IFERROR(SUMIFS(NP2023_deaths!$D:$D, NP2023_deaths!$A:$A, Keys!$H$9, NP2023_deaths!$B:$B, Keys!$B$9, NP2023_deaths!$C:$C, 2027), 0))</f>
        <v>2777192</v>
      </c>
      <c r="F25" s="37">
        <f>IF(Keys!$C$9="", 0, IFERROR(SUMIFS(NP2023_deaths!$D:$D, NP2023_deaths!$A:$A, Keys!$C$9, NP2023_deaths!$B:$B, Keys!$B$9, NP2023_deaths!$C:$C, 2028), 0))+IF(Keys!$D$9="", 0, IFERROR(SUMIFS(NP2023_deaths!$D:$D, NP2023_deaths!$A:$A, Keys!$D$9, NP2023_deaths!$B:$B, Keys!$B$9, NP2023_deaths!$C:$C, 2028), 0))+IF(Keys!$E$9="", 0, IFERROR(SUMIFS(NP2023_deaths!$D:$D, NP2023_deaths!$A:$A, Keys!$E$9, NP2023_deaths!$B:$B, Keys!$B$9, NP2023_deaths!$C:$C, 2028), 0))+IF(Keys!$F$9="", 0, IFERROR(SUMIFS(NP2023_deaths!$D:$D, NP2023_deaths!$A:$A, Keys!$F$9, NP2023_deaths!$B:$B, Keys!$B$9, NP2023_deaths!$C:$C, 2028), 0))+IF(Keys!$G$9="", 0, IFERROR(SUMIFS(NP2023_deaths!$D:$D, NP2023_deaths!$A:$A, Keys!$G$9, NP2023_deaths!$B:$B, Keys!$B$9, NP2023_deaths!$C:$C, 2028), 0))+IF(Keys!$H$9="", 0, IFERROR(SUMIFS(NP2023_deaths!$D:$D, NP2023_deaths!$A:$A, Keys!$H$9, NP2023_deaths!$B:$B, Keys!$B$9, NP2023_deaths!$C:$C, 2028), 0))</f>
        <v>2817909</v>
      </c>
      <c r="G25" s="37">
        <f>IF(Keys!$C$9="", 0, IFERROR(SUMIFS(NP2023_deaths!$D:$D, NP2023_deaths!$A:$A, Keys!$C$9, NP2023_deaths!$B:$B, Keys!$B$9, NP2023_deaths!$C:$C, 2029), 0))+IF(Keys!$D$9="", 0, IFERROR(SUMIFS(NP2023_deaths!$D:$D, NP2023_deaths!$A:$A, Keys!$D$9, NP2023_deaths!$B:$B, Keys!$B$9, NP2023_deaths!$C:$C, 2029), 0))+IF(Keys!$E$9="", 0, IFERROR(SUMIFS(NP2023_deaths!$D:$D, NP2023_deaths!$A:$A, Keys!$E$9, NP2023_deaths!$B:$B, Keys!$B$9, NP2023_deaths!$C:$C, 2029), 0))+IF(Keys!$F$9="", 0, IFERROR(SUMIFS(NP2023_deaths!$D:$D, NP2023_deaths!$A:$A, Keys!$F$9, NP2023_deaths!$B:$B, Keys!$B$9, NP2023_deaths!$C:$C, 2029), 0))+IF(Keys!$G$9="", 0, IFERROR(SUMIFS(NP2023_deaths!$D:$D, NP2023_deaths!$A:$A, Keys!$G$9, NP2023_deaths!$B:$B, Keys!$B$9, NP2023_deaths!$C:$C, 2029), 0))+IF(Keys!$H$9="", 0, IFERROR(SUMIFS(NP2023_deaths!$D:$D, NP2023_deaths!$A:$A, Keys!$H$9, NP2023_deaths!$B:$B, Keys!$B$9, NP2023_deaths!$C:$C, 2029), 0))</f>
        <v>2859523</v>
      </c>
      <c r="H25" s="37">
        <f>IF(Keys!$C$9="", 0, IFERROR(SUMIFS(NP2023_deaths!$D:$D, NP2023_deaths!$A:$A, Keys!$C$9, NP2023_deaths!$B:$B, Keys!$B$9, NP2023_deaths!$C:$C, 2030), 0))+IF(Keys!$D$9="", 0, IFERROR(SUMIFS(NP2023_deaths!$D:$D, NP2023_deaths!$A:$A, Keys!$D$9, NP2023_deaths!$B:$B, Keys!$B$9, NP2023_deaths!$C:$C, 2030), 0))+IF(Keys!$E$9="", 0, IFERROR(SUMIFS(NP2023_deaths!$D:$D, NP2023_deaths!$A:$A, Keys!$E$9, NP2023_deaths!$B:$B, Keys!$B$9, NP2023_deaths!$C:$C, 2030), 0))+IF(Keys!$F$9="", 0, IFERROR(SUMIFS(NP2023_deaths!$D:$D, NP2023_deaths!$A:$A, Keys!$F$9, NP2023_deaths!$B:$B, Keys!$B$9, NP2023_deaths!$C:$C, 2030), 0))+IF(Keys!$G$9="", 0, IFERROR(SUMIFS(NP2023_deaths!$D:$D, NP2023_deaths!$A:$A, Keys!$G$9, NP2023_deaths!$B:$B, Keys!$B$9, NP2023_deaths!$C:$C, 2030), 0))+IF(Keys!$H$9="", 0, IFERROR(SUMIFS(NP2023_deaths!$D:$D, NP2023_deaths!$A:$A, Keys!$H$9, NP2023_deaths!$B:$B, Keys!$B$9, NP2023_deaths!$C:$C, 2030), 0))</f>
        <v>2901920</v>
      </c>
      <c r="I25" s="37">
        <f>IF(Keys!$C$9="", 0, IFERROR(SUMIFS(NP2023_deaths!$D:$D, NP2023_deaths!$A:$A, Keys!$C$9, NP2023_deaths!$B:$B, Keys!$B$9, NP2023_deaths!$C:$C, 2031), 0))+IF(Keys!$D$9="", 0, IFERROR(SUMIFS(NP2023_deaths!$D:$D, NP2023_deaths!$A:$A, Keys!$D$9, NP2023_deaths!$B:$B, Keys!$B$9, NP2023_deaths!$C:$C, 2031), 0))+IF(Keys!$E$9="", 0, IFERROR(SUMIFS(NP2023_deaths!$D:$D, NP2023_deaths!$A:$A, Keys!$E$9, NP2023_deaths!$B:$B, Keys!$B$9, NP2023_deaths!$C:$C, 2031), 0))+IF(Keys!$F$9="", 0, IFERROR(SUMIFS(NP2023_deaths!$D:$D, NP2023_deaths!$A:$A, Keys!$F$9, NP2023_deaths!$B:$B, Keys!$B$9, NP2023_deaths!$C:$C, 2031), 0))+IF(Keys!$G$9="", 0, IFERROR(SUMIFS(NP2023_deaths!$D:$D, NP2023_deaths!$A:$A, Keys!$G$9, NP2023_deaths!$B:$B, Keys!$B$9, NP2023_deaths!$C:$C, 2031), 0))+IF(Keys!$H$9="", 0, IFERROR(SUMIFS(NP2023_deaths!$D:$D, NP2023_deaths!$A:$A, Keys!$H$9, NP2023_deaths!$B:$B, Keys!$B$9, NP2023_deaths!$C:$C, 2031), 0))</f>
        <v>2944807</v>
      </c>
      <c r="J25" s="37">
        <f>IF(Keys!$C$9="", 0, IFERROR(SUMIFS(NP2023_deaths!$D:$D, NP2023_deaths!$A:$A, Keys!$C$9, NP2023_deaths!$B:$B, Keys!$B$9, NP2023_deaths!$C:$C, 2032), 0))+IF(Keys!$D$9="", 0, IFERROR(SUMIFS(NP2023_deaths!$D:$D, NP2023_deaths!$A:$A, Keys!$D$9, NP2023_deaths!$B:$B, Keys!$B$9, NP2023_deaths!$C:$C, 2032), 0))+IF(Keys!$E$9="", 0, IFERROR(SUMIFS(NP2023_deaths!$D:$D, NP2023_deaths!$A:$A, Keys!$E$9, NP2023_deaths!$B:$B, Keys!$B$9, NP2023_deaths!$C:$C, 2032), 0))+IF(Keys!$F$9="", 0, IFERROR(SUMIFS(NP2023_deaths!$D:$D, NP2023_deaths!$A:$A, Keys!$F$9, NP2023_deaths!$B:$B, Keys!$B$9, NP2023_deaths!$C:$C, 2032), 0))+IF(Keys!$G$9="", 0, IFERROR(SUMIFS(NP2023_deaths!$D:$D, NP2023_deaths!$A:$A, Keys!$G$9, NP2023_deaths!$B:$B, Keys!$B$9, NP2023_deaths!$C:$C, 2032), 0))+IF(Keys!$H$9="", 0, IFERROR(SUMIFS(NP2023_deaths!$D:$D, NP2023_deaths!$A:$A, Keys!$H$9, NP2023_deaths!$B:$B, Keys!$B$9, NP2023_deaths!$C:$C, 2032), 0))</f>
        <v>2987898</v>
      </c>
      <c r="K25" s="37">
        <f>IF(Keys!$C$9="", 0, IFERROR(SUMIFS(NP2023_deaths!$D:$D, NP2023_deaths!$A:$A, Keys!$C$9, NP2023_deaths!$B:$B, Keys!$B$9, NP2023_deaths!$C:$C, 2033), 0))+IF(Keys!$D$9="", 0, IFERROR(SUMIFS(NP2023_deaths!$D:$D, NP2023_deaths!$A:$A, Keys!$D$9, NP2023_deaths!$B:$B, Keys!$B$9, NP2023_deaths!$C:$C, 2033), 0))+IF(Keys!$E$9="", 0, IFERROR(SUMIFS(NP2023_deaths!$D:$D, NP2023_deaths!$A:$A, Keys!$E$9, NP2023_deaths!$B:$B, Keys!$B$9, NP2023_deaths!$C:$C, 2033), 0))+IF(Keys!$F$9="", 0, IFERROR(SUMIFS(NP2023_deaths!$D:$D, NP2023_deaths!$A:$A, Keys!$F$9, NP2023_deaths!$B:$B, Keys!$B$9, NP2023_deaths!$C:$C, 2033), 0))+IF(Keys!$G$9="", 0, IFERROR(SUMIFS(NP2023_deaths!$D:$D, NP2023_deaths!$A:$A, Keys!$G$9, NP2023_deaths!$B:$B, Keys!$B$9, NP2023_deaths!$C:$C, 2033), 0))+IF(Keys!$H$9="", 0, IFERROR(SUMIFS(NP2023_deaths!$D:$D, NP2023_deaths!$A:$A, Keys!$H$9, NP2023_deaths!$B:$B, Keys!$B$9, NP2023_deaths!$C:$C, 2033), 0))</f>
        <v>3030758</v>
      </c>
      <c r="L25" s="37">
        <f>IF(Keys!$C$9="", 0, IFERROR(SUMIFS(NP2023_deaths!$D:$D, NP2023_deaths!$A:$A, Keys!$C$9, NP2023_deaths!$B:$B, Keys!$B$9, NP2023_deaths!$C:$C, 2034), 0))+IF(Keys!$D$9="", 0, IFERROR(SUMIFS(NP2023_deaths!$D:$D, NP2023_deaths!$A:$A, Keys!$D$9, NP2023_deaths!$B:$B, Keys!$B$9, NP2023_deaths!$C:$C, 2034), 0))+IF(Keys!$E$9="", 0, IFERROR(SUMIFS(NP2023_deaths!$D:$D, NP2023_deaths!$A:$A, Keys!$E$9, NP2023_deaths!$B:$B, Keys!$B$9, NP2023_deaths!$C:$C, 2034), 0))+IF(Keys!$F$9="", 0, IFERROR(SUMIFS(NP2023_deaths!$D:$D, NP2023_deaths!$A:$A, Keys!$F$9, NP2023_deaths!$B:$B, Keys!$B$9, NP2023_deaths!$C:$C, 2034), 0))+IF(Keys!$G$9="", 0, IFERROR(SUMIFS(NP2023_deaths!$D:$D, NP2023_deaths!$A:$A, Keys!$G$9, NP2023_deaths!$B:$B, Keys!$B$9, NP2023_deaths!$C:$C, 2034), 0))+IF(Keys!$H$9="", 0, IFERROR(SUMIFS(NP2023_deaths!$D:$D, NP2023_deaths!$A:$A, Keys!$H$9, NP2023_deaths!$B:$B, Keys!$B$9, NP2023_deaths!$C:$C, 2034), 0))</f>
        <v>3073124</v>
      </c>
      <c r="M25" s="37">
        <f>IF(Keys!$C$9="", 0, IFERROR(SUMIFS(NP2023_deaths!$D:$D, NP2023_deaths!$A:$A, Keys!$C$9, NP2023_deaths!$B:$B, Keys!$B$9, NP2023_deaths!$C:$C, 2035), 0))+IF(Keys!$D$9="", 0, IFERROR(SUMIFS(NP2023_deaths!$D:$D, NP2023_deaths!$A:$A, Keys!$D$9, NP2023_deaths!$B:$B, Keys!$B$9, NP2023_deaths!$C:$C, 2035), 0))+IF(Keys!$E$9="", 0, IFERROR(SUMIFS(NP2023_deaths!$D:$D, NP2023_deaths!$A:$A, Keys!$E$9, NP2023_deaths!$B:$B, Keys!$B$9, NP2023_deaths!$C:$C, 2035), 0))+IF(Keys!$F$9="", 0, IFERROR(SUMIFS(NP2023_deaths!$D:$D, NP2023_deaths!$A:$A, Keys!$F$9, NP2023_deaths!$B:$B, Keys!$B$9, NP2023_deaths!$C:$C, 2035), 0))+IF(Keys!$G$9="", 0, IFERROR(SUMIFS(NP2023_deaths!$D:$D, NP2023_deaths!$A:$A, Keys!$G$9, NP2023_deaths!$B:$B, Keys!$B$9, NP2023_deaths!$C:$C, 2035), 0))+IF(Keys!$H$9="", 0, IFERROR(SUMIFS(NP2023_deaths!$D:$D, NP2023_deaths!$A:$A, Keys!$H$9, NP2023_deaths!$B:$B, Keys!$B$9, NP2023_deaths!$C:$C, 2035), 0))</f>
        <v>3114924</v>
      </c>
      <c r="N25" s="37">
        <f>IF(Keys!$C$9="", 0, IFERROR(SUMIFS(NP2023_deaths!$D:$D, NP2023_deaths!$A:$A, Keys!$C$9, NP2023_deaths!$B:$B, Keys!$B$9, NP2023_deaths!$C:$C, 2036), 0))+IF(Keys!$D$9="", 0, IFERROR(SUMIFS(NP2023_deaths!$D:$D, NP2023_deaths!$A:$A, Keys!$D$9, NP2023_deaths!$B:$B, Keys!$B$9, NP2023_deaths!$C:$C, 2036), 0))+IF(Keys!$E$9="", 0, IFERROR(SUMIFS(NP2023_deaths!$D:$D, NP2023_deaths!$A:$A, Keys!$E$9, NP2023_deaths!$B:$B, Keys!$B$9, NP2023_deaths!$C:$C, 2036), 0))+IF(Keys!$F$9="", 0, IFERROR(SUMIFS(NP2023_deaths!$D:$D, NP2023_deaths!$A:$A, Keys!$F$9, NP2023_deaths!$B:$B, Keys!$B$9, NP2023_deaths!$C:$C, 2036), 0))+IF(Keys!$G$9="", 0, IFERROR(SUMIFS(NP2023_deaths!$D:$D, NP2023_deaths!$A:$A, Keys!$G$9, NP2023_deaths!$B:$B, Keys!$B$9, NP2023_deaths!$C:$C, 2036), 0))+IF(Keys!$H$9="", 0, IFERROR(SUMIFS(NP2023_deaths!$D:$D, NP2023_deaths!$A:$A, Keys!$H$9, NP2023_deaths!$B:$B, Keys!$B$9, NP2023_deaths!$C:$C, 2036), 0))</f>
        <v>3155501</v>
      </c>
      <c r="O25" s="37">
        <f>IF(Keys!$C$9="", 0, IFERROR(SUMIFS(NP2023_deaths!$D:$D, NP2023_deaths!$A:$A, Keys!$C$9, NP2023_deaths!$B:$B, Keys!$B$9, NP2023_deaths!$C:$C, 2037), 0))+IF(Keys!$D$9="", 0, IFERROR(SUMIFS(NP2023_deaths!$D:$D, NP2023_deaths!$A:$A, Keys!$D$9, NP2023_deaths!$B:$B, Keys!$B$9, NP2023_deaths!$C:$C, 2037), 0))+IF(Keys!$E$9="", 0, IFERROR(SUMIFS(NP2023_deaths!$D:$D, NP2023_deaths!$A:$A, Keys!$E$9, NP2023_deaths!$B:$B, Keys!$B$9, NP2023_deaths!$C:$C, 2037), 0))+IF(Keys!$F$9="", 0, IFERROR(SUMIFS(NP2023_deaths!$D:$D, NP2023_deaths!$A:$A, Keys!$F$9, NP2023_deaths!$B:$B, Keys!$B$9, NP2023_deaths!$C:$C, 2037), 0))+IF(Keys!$G$9="", 0, IFERROR(SUMIFS(NP2023_deaths!$D:$D, NP2023_deaths!$A:$A, Keys!$G$9, NP2023_deaths!$B:$B, Keys!$B$9, NP2023_deaths!$C:$C, 2037), 0))+IF(Keys!$H$9="", 0, IFERROR(SUMIFS(NP2023_deaths!$D:$D, NP2023_deaths!$A:$A, Keys!$H$9, NP2023_deaths!$B:$B, Keys!$B$9, NP2023_deaths!$C:$C, 2037), 0))</f>
        <v>3194478</v>
      </c>
      <c r="P25" s="37">
        <f>IF(Keys!$C$9="", 0, IFERROR(SUMIFS(NP2023_deaths!$D:$D, NP2023_deaths!$A:$A, Keys!$C$9, NP2023_deaths!$B:$B, Keys!$B$9, NP2023_deaths!$C:$C, 2038), 0))+IF(Keys!$D$9="", 0, IFERROR(SUMIFS(NP2023_deaths!$D:$D, NP2023_deaths!$A:$A, Keys!$D$9, NP2023_deaths!$B:$B, Keys!$B$9, NP2023_deaths!$C:$C, 2038), 0))+IF(Keys!$E$9="", 0, IFERROR(SUMIFS(NP2023_deaths!$D:$D, NP2023_deaths!$A:$A, Keys!$E$9, NP2023_deaths!$B:$B, Keys!$B$9, NP2023_deaths!$C:$C, 2038), 0))+IF(Keys!$F$9="", 0, IFERROR(SUMIFS(NP2023_deaths!$D:$D, NP2023_deaths!$A:$A, Keys!$F$9, NP2023_deaths!$B:$B, Keys!$B$9, NP2023_deaths!$C:$C, 2038), 0))+IF(Keys!$G$9="", 0, IFERROR(SUMIFS(NP2023_deaths!$D:$D, NP2023_deaths!$A:$A, Keys!$G$9, NP2023_deaths!$B:$B, Keys!$B$9, NP2023_deaths!$C:$C, 2038), 0))+IF(Keys!$H$9="", 0, IFERROR(SUMIFS(NP2023_deaths!$D:$D, NP2023_deaths!$A:$A, Keys!$H$9, NP2023_deaths!$B:$B, Keys!$B$9, NP2023_deaths!$C:$C, 2038), 0))</f>
        <v>3231544</v>
      </c>
      <c r="Q25" s="37">
        <f>IF(Keys!$C$9="", 0, IFERROR(SUMIFS(NP2023_deaths!$D:$D, NP2023_deaths!$A:$A, Keys!$C$9, NP2023_deaths!$B:$B, Keys!$B$9, NP2023_deaths!$C:$C, 2039), 0))+IF(Keys!$D$9="", 0, IFERROR(SUMIFS(NP2023_deaths!$D:$D, NP2023_deaths!$A:$A, Keys!$D$9, NP2023_deaths!$B:$B, Keys!$B$9, NP2023_deaths!$C:$C, 2039), 0))+IF(Keys!$E$9="", 0, IFERROR(SUMIFS(NP2023_deaths!$D:$D, NP2023_deaths!$A:$A, Keys!$E$9, NP2023_deaths!$B:$B, Keys!$B$9, NP2023_deaths!$C:$C, 2039), 0))+IF(Keys!$F$9="", 0, IFERROR(SUMIFS(NP2023_deaths!$D:$D, NP2023_deaths!$A:$A, Keys!$F$9, NP2023_deaths!$B:$B, Keys!$B$9, NP2023_deaths!$C:$C, 2039), 0))+IF(Keys!$G$9="", 0, IFERROR(SUMIFS(NP2023_deaths!$D:$D, NP2023_deaths!$A:$A, Keys!$G$9, NP2023_deaths!$B:$B, Keys!$B$9, NP2023_deaths!$C:$C, 2039), 0))+IF(Keys!$H$9="", 0, IFERROR(SUMIFS(NP2023_deaths!$D:$D, NP2023_deaths!$A:$A, Keys!$H$9, NP2023_deaths!$B:$B, Keys!$B$9, NP2023_deaths!$C:$C, 2039), 0))</f>
        <v>3266143</v>
      </c>
      <c r="R25" s="37">
        <f>IF(Keys!$C$9="", 0, IFERROR(SUMIFS(NP2023_deaths!$D:$D, NP2023_deaths!$A:$A, Keys!$C$9, NP2023_deaths!$B:$B, Keys!$B$9, NP2023_deaths!$C:$C, 2040), 0))+IF(Keys!$D$9="", 0, IFERROR(SUMIFS(NP2023_deaths!$D:$D, NP2023_deaths!$A:$A, Keys!$D$9, NP2023_deaths!$B:$B, Keys!$B$9, NP2023_deaths!$C:$C, 2040), 0))+IF(Keys!$E$9="", 0, IFERROR(SUMIFS(NP2023_deaths!$D:$D, NP2023_deaths!$A:$A, Keys!$E$9, NP2023_deaths!$B:$B, Keys!$B$9, NP2023_deaths!$C:$C, 2040), 0))+IF(Keys!$F$9="", 0, IFERROR(SUMIFS(NP2023_deaths!$D:$D, NP2023_deaths!$A:$A, Keys!$F$9, NP2023_deaths!$B:$B, Keys!$B$9, NP2023_deaths!$C:$C, 2040), 0))+IF(Keys!$G$9="", 0, IFERROR(SUMIFS(NP2023_deaths!$D:$D, NP2023_deaths!$A:$A, Keys!$G$9, NP2023_deaths!$B:$B, Keys!$B$9, NP2023_deaths!$C:$C, 2040), 0))+IF(Keys!$H$9="", 0, IFERROR(SUMIFS(NP2023_deaths!$D:$D, NP2023_deaths!$A:$A, Keys!$H$9, NP2023_deaths!$B:$B, Keys!$B$9, NP2023_deaths!$C:$C, 2040), 0))</f>
        <v>3297930</v>
      </c>
      <c r="S25" s="37">
        <f>IF(Keys!$C$9="", 0, IFERROR(SUMIFS(NP2023_deaths!$D:$D, NP2023_deaths!$A:$A, Keys!$C$9, NP2023_deaths!$B:$B, Keys!$B$9, NP2023_deaths!$C:$C, 2041), 0))+IF(Keys!$D$9="", 0, IFERROR(SUMIFS(NP2023_deaths!$D:$D, NP2023_deaths!$A:$A, Keys!$D$9, NP2023_deaths!$B:$B, Keys!$B$9, NP2023_deaths!$C:$C, 2041), 0))+IF(Keys!$E$9="", 0, IFERROR(SUMIFS(NP2023_deaths!$D:$D, NP2023_deaths!$A:$A, Keys!$E$9, NP2023_deaths!$B:$B, Keys!$B$9, NP2023_deaths!$C:$C, 2041), 0))+IF(Keys!$F$9="", 0, IFERROR(SUMIFS(NP2023_deaths!$D:$D, NP2023_deaths!$A:$A, Keys!$F$9, NP2023_deaths!$B:$B, Keys!$B$9, NP2023_deaths!$C:$C, 2041), 0))+IF(Keys!$G$9="", 0, IFERROR(SUMIFS(NP2023_deaths!$D:$D, NP2023_deaths!$A:$A, Keys!$G$9, NP2023_deaths!$B:$B, Keys!$B$9, NP2023_deaths!$C:$C, 2041), 0))+IF(Keys!$H$9="", 0, IFERROR(SUMIFS(NP2023_deaths!$D:$D, NP2023_deaths!$A:$A, Keys!$H$9, NP2023_deaths!$B:$B, Keys!$B$9, NP2023_deaths!$C:$C, 2041), 0))</f>
        <v>3326585</v>
      </c>
      <c r="T25" s="37">
        <f>IF(Keys!$C$9="", 0, IFERROR(SUMIFS(NP2023_deaths!$D:$D, NP2023_deaths!$A:$A, Keys!$C$9, NP2023_deaths!$B:$B, Keys!$B$9, NP2023_deaths!$C:$C, 2042), 0))+IF(Keys!$D$9="", 0, IFERROR(SUMIFS(NP2023_deaths!$D:$D, NP2023_deaths!$A:$A, Keys!$D$9, NP2023_deaths!$B:$B, Keys!$B$9, NP2023_deaths!$C:$C, 2042), 0))+IF(Keys!$E$9="", 0, IFERROR(SUMIFS(NP2023_deaths!$D:$D, NP2023_deaths!$A:$A, Keys!$E$9, NP2023_deaths!$B:$B, Keys!$B$9, NP2023_deaths!$C:$C, 2042), 0))+IF(Keys!$F$9="", 0, IFERROR(SUMIFS(NP2023_deaths!$D:$D, NP2023_deaths!$A:$A, Keys!$F$9, NP2023_deaths!$B:$B, Keys!$B$9, NP2023_deaths!$C:$C, 2042), 0))+IF(Keys!$G$9="", 0, IFERROR(SUMIFS(NP2023_deaths!$D:$D, NP2023_deaths!$A:$A, Keys!$G$9, NP2023_deaths!$B:$B, Keys!$B$9, NP2023_deaths!$C:$C, 2042), 0))+IF(Keys!$H$9="", 0, IFERROR(SUMIFS(NP2023_deaths!$D:$D, NP2023_deaths!$A:$A, Keys!$H$9, NP2023_deaths!$B:$B, Keys!$B$9, NP2023_deaths!$C:$C, 2042), 0))</f>
        <v>3351893</v>
      </c>
      <c r="U25" s="37">
        <f>IF(Keys!$C$9="", 0, IFERROR(SUMIFS(NP2023_deaths!$D:$D, NP2023_deaths!$A:$A, Keys!$C$9, NP2023_deaths!$B:$B, Keys!$B$9, NP2023_deaths!$C:$C, 2043), 0))+IF(Keys!$D$9="", 0, IFERROR(SUMIFS(NP2023_deaths!$D:$D, NP2023_deaths!$A:$A, Keys!$D$9, NP2023_deaths!$B:$B, Keys!$B$9, NP2023_deaths!$C:$C, 2043), 0))+IF(Keys!$E$9="", 0, IFERROR(SUMIFS(NP2023_deaths!$D:$D, NP2023_deaths!$A:$A, Keys!$E$9, NP2023_deaths!$B:$B, Keys!$B$9, NP2023_deaths!$C:$C, 2043), 0))+IF(Keys!$F$9="", 0, IFERROR(SUMIFS(NP2023_deaths!$D:$D, NP2023_deaths!$A:$A, Keys!$F$9, NP2023_deaths!$B:$B, Keys!$B$9, NP2023_deaths!$C:$C, 2043), 0))+IF(Keys!$G$9="", 0, IFERROR(SUMIFS(NP2023_deaths!$D:$D, NP2023_deaths!$A:$A, Keys!$G$9, NP2023_deaths!$B:$B, Keys!$B$9, NP2023_deaths!$C:$C, 2043), 0))+IF(Keys!$H$9="", 0, IFERROR(SUMIFS(NP2023_deaths!$D:$D, NP2023_deaths!$A:$A, Keys!$H$9, NP2023_deaths!$B:$B, Keys!$B$9, NP2023_deaths!$C:$C, 2043), 0))</f>
        <v>3373825</v>
      </c>
      <c r="V25" s="37">
        <f>IF(Keys!$C$9="", 0, IFERROR(SUMIFS(NP2023_deaths!$D:$D, NP2023_deaths!$A:$A, Keys!$C$9, NP2023_deaths!$B:$B, Keys!$B$9, NP2023_deaths!$C:$C, 2044), 0))+IF(Keys!$D$9="", 0, IFERROR(SUMIFS(NP2023_deaths!$D:$D, NP2023_deaths!$A:$A, Keys!$D$9, NP2023_deaths!$B:$B, Keys!$B$9, NP2023_deaths!$C:$C, 2044), 0))+IF(Keys!$E$9="", 0, IFERROR(SUMIFS(NP2023_deaths!$D:$D, NP2023_deaths!$A:$A, Keys!$E$9, NP2023_deaths!$B:$B, Keys!$B$9, NP2023_deaths!$C:$C, 2044), 0))+IF(Keys!$F$9="", 0, IFERROR(SUMIFS(NP2023_deaths!$D:$D, NP2023_deaths!$A:$A, Keys!$F$9, NP2023_deaths!$B:$B, Keys!$B$9, NP2023_deaths!$C:$C, 2044), 0))+IF(Keys!$G$9="", 0, IFERROR(SUMIFS(NP2023_deaths!$D:$D, NP2023_deaths!$A:$A, Keys!$G$9, NP2023_deaths!$B:$B, Keys!$B$9, NP2023_deaths!$C:$C, 2044), 0))+IF(Keys!$H$9="", 0, IFERROR(SUMIFS(NP2023_deaths!$D:$D, NP2023_deaths!$A:$A, Keys!$H$9, NP2023_deaths!$B:$B, Keys!$B$9, NP2023_deaths!$C:$C, 2044), 0))</f>
        <v>3391569</v>
      </c>
      <c r="W25" s="37">
        <f>IF(Keys!$C$9="", 0, IFERROR(SUMIFS(NP2023_deaths!$D:$D, NP2023_deaths!$A:$A, Keys!$C$9, NP2023_deaths!$B:$B, Keys!$B$9, NP2023_deaths!$C:$C, 2045), 0))+IF(Keys!$D$9="", 0, IFERROR(SUMIFS(NP2023_deaths!$D:$D, NP2023_deaths!$A:$A, Keys!$D$9, NP2023_deaths!$B:$B, Keys!$B$9, NP2023_deaths!$C:$C, 2045), 0))+IF(Keys!$E$9="", 0, IFERROR(SUMIFS(NP2023_deaths!$D:$D, NP2023_deaths!$A:$A, Keys!$E$9, NP2023_deaths!$B:$B, Keys!$B$9, NP2023_deaths!$C:$C, 2045), 0))+IF(Keys!$F$9="", 0, IFERROR(SUMIFS(NP2023_deaths!$D:$D, NP2023_deaths!$A:$A, Keys!$F$9, NP2023_deaths!$B:$B, Keys!$B$9, NP2023_deaths!$C:$C, 2045), 0))+IF(Keys!$G$9="", 0, IFERROR(SUMIFS(NP2023_deaths!$D:$D, NP2023_deaths!$A:$A, Keys!$G$9, NP2023_deaths!$B:$B, Keys!$B$9, NP2023_deaths!$C:$C, 2045), 0))+IF(Keys!$H$9="", 0, IFERROR(SUMIFS(NP2023_deaths!$D:$D, NP2023_deaths!$A:$A, Keys!$H$9, NP2023_deaths!$B:$B, Keys!$B$9, NP2023_deaths!$C:$C, 2045), 0))</f>
        <v>3404952</v>
      </c>
      <c r="X25" s="37">
        <f>IF(Keys!$C$9="", 0, IFERROR(SUMIFS(NP2023_deaths!$D:$D, NP2023_deaths!$A:$A, Keys!$C$9, NP2023_deaths!$B:$B, Keys!$B$9, NP2023_deaths!$C:$C, 2046), 0))+IF(Keys!$D$9="", 0, IFERROR(SUMIFS(NP2023_deaths!$D:$D, NP2023_deaths!$A:$A, Keys!$D$9, NP2023_deaths!$B:$B, Keys!$B$9, NP2023_deaths!$C:$C, 2046), 0))+IF(Keys!$E$9="", 0, IFERROR(SUMIFS(NP2023_deaths!$D:$D, NP2023_deaths!$A:$A, Keys!$E$9, NP2023_deaths!$B:$B, Keys!$B$9, NP2023_deaths!$C:$C, 2046), 0))+IF(Keys!$F$9="", 0, IFERROR(SUMIFS(NP2023_deaths!$D:$D, NP2023_deaths!$A:$A, Keys!$F$9, NP2023_deaths!$B:$B, Keys!$B$9, NP2023_deaths!$C:$C, 2046), 0))+IF(Keys!$G$9="", 0, IFERROR(SUMIFS(NP2023_deaths!$D:$D, NP2023_deaths!$A:$A, Keys!$G$9, NP2023_deaths!$B:$B, Keys!$B$9, NP2023_deaths!$C:$C, 2046), 0))+IF(Keys!$H$9="", 0, IFERROR(SUMIFS(NP2023_deaths!$D:$D, NP2023_deaths!$A:$A, Keys!$H$9, NP2023_deaths!$B:$B, Keys!$B$9, NP2023_deaths!$C:$C, 2046), 0))</f>
        <v>3413935</v>
      </c>
      <c r="Y25" s="37">
        <f>IF(Keys!$C$9="", 0, IFERROR(SUMIFS(NP2023_deaths!$D:$D, NP2023_deaths!$A:$A, Keys!$C$9, NP2023_deaths!$B:$B, Keys!$B$9, NP2023_deaths!$C:$C, 2047), 0))+IF(Keys!$D$9="", 0, IFERROR(SUMIFS(NP2023_deaths!$D:$D, NP2023_deaths!$A:$A, Keys!$D$9, NP2023_deaths!$B:$B, Keys!$B$9, NP2023_deaths!$C:$C, 2047), 0))+IF(Keys!$E$9="", 0, IFERROR(SUMIFS(NP2023_deaths!$D:$D, NP2023_deaths!$A:$A, Keys!$E$9, NP2023_deaths!$B:$B, Keys!$B$9, NP2023_deaths!$C:$C, 2047), 0))+IF(Keys!$F$9="", 0, IFERROR(SUMIFS(NP2023_deaths!$D:$D, NP2023_deaths!$A:$A, Keys!$F$9, NP2023_deaths!$B:$B, Keys!$B$9, NP2023_deaths!$C:$C, 2047), 0))+IF(Keys!$G$9="", 0, IFERROR(SUMIFS(NP2023_deaths!$D:$D, NP2023_deaths!$A:$A, Keys!$G$9, NP2023_deaths!$B:$B, Keys!$B$9, NP2023_deaths!$C:$C, 2047), 0))+IF(Keys!$H$9="", 0, IFERROR(SUMIFS(NP2023_deaths!$D:$D, NP2023_deaths!$A:$A, Keys!$H$9, NP2023_deaths!$B:$B, Keys!$B$9, NP2023_deaths!$C:$C, 2047), 0))</f>
        <v>3420355</v>
      </c>
      <c r="Z25" s="37">
        <f>IF(Keys!$C$9="", 0, IFERROR(SUMIFS(NP2023_deaths!$D:$D, NP2023_deaths!$A:$A, Keys!$C$9, NP2023_deaths!$B:$B, Keys!$B$9, NP2023_deaths!$C:$C, 2048), 0))+IF(Keys!$D$9="", 0, IFERROR(SUMIFS(NP2023_deaths!$D:$D, NP2023_deaths!$A:$A, Keys!$D$9, NP2023_deaths!$B:$B, Keys!$B$9, NP2023_deaths!$C:$C, 2048), 0))+IF(Keys!$E$9="", 0, IFERROR(SUMIFS(NP2023_deaths!$D:$D, NP2023_deaths!$A:$A, Keys!$E$9, NP2023_deaths!$B:$B, Keys!$B$9, NP2023_deaths!$C:$C, 2048), 0))+IF(Keys!$F$9="", 0, IFERROR(SUMIFS(NP2023_deaths!$D:$D, NP2023_deaths!$A:$A, Keys!$F$9, NP2023_deaths!$B:$B, Keys!$B$9, NP2023_deaths!$C:$C, 2048), 0))+IF(Keys!$G$9="", 0, IFERROR(SUMIFS(NP2023_deaths!$D:$D, NP2023_deaths!$A:$A, Keys!$G$9, NP2023_deaths!$B:$B, Keys!$B$9, NP2023_deaths!$C:$C, 2048), 0))+IF(Keys!$H$9="", 0, IFERROR(SUMIFS(NP2023_deaths!$D:$D, NP2023_deaths!$A:$A, Keys!$H$9, NP2023_deaths!$B:$B, Keys!$B$9, NP2023_deaths!$C:$C, 2048), 0))</f>
        <v>3422688</v>
      </c>
      <c r="AA25" s="37">
        <f>IF(Keys!$C$9="", 0, IFERROR(SUMIFS(NP2023_deaths!$D:$D, NP2023_deaths!$A:$A, Keys!$C$9, NP2023_deaths!$B:$B, Keys!$B$9, NP2023_deaths!$C:$C, 2049), 0))+IF(Keys!$D$9="", 0, IFERROR(SUMIFS(NP2023_deaths!$D:$D, NP2023_deaths!$A:$A, Keys!$D$9, NP2023_deaths!$B:$B, Keys!$B$9, NP2023_deaths!$C:$C, 2049), 0))+IF(Keys!$E$9="", 0, IFERROR(SUMIFS(NP2023_deaths!$D:$D, NP2023_deaths!$A:$A, Keys!$E$9, NP2023_deaths!$B:$B, Keys!$B$9, NP2023_deaths!$C:$C, 2049), 0))+IF(Keys!$F$9="", 0, IFERROR(SUMIFS(NP2023_deaths!$D:$D, NP2023_deaths!$A:$A, Keys!$F$9, NP2023_deaths!$B:$B, Keys!$B$9, NP2023_deaths!$C:$C, 2049), 0))+IF(Keys!$G$9="", 0, IFERROR(SUMIFS(NP2023_deaths!$D:$D, NP2023_deaths!$A:$A, Keys!$G$9, NP2023_deaths!$B:$B, Keys!$B$9, NP2023_deaths!$C:$C, 2049), 0))+IF(Keys!$H$9="", 0, IFERROR(SUMIFS(NP2023_deaths!$D:$D, NP2023_deaths!$A:$A, Keys!$H$9, NP2023_deaths!$B:$B, Keys!$B$9, NP2023_deaths!$C:$C, 2049), 0))</f>
        <v>3420902</v>
      </c>
      <c r="AB25" s="37">
        <f>IF(Keys!$C$9="", 0, IFERROR(SUMIFS(NP2023_deaths!$D:$D, NP2023_deaths!$A:$A, Keys!$C$9, NP2023_deaths!$B:$B, Keys!$B$9, NP2023_deaths!$C:$C, 2050), 0))+IF(Keys!$D$9="", 0, IFERROR(SUMIFS(NP2023_deaths!$D:$D, NP2023_deaths!$A:$A, Keys!$D$9, NP2023_deaths!$B:$B, Keys!$B$9, NP2023_deaths!$C:$C, 2050), 0))+IF(Keys!$E$9="", 0, IFERROR(SUMIFS(NP2023_deaths!$D:$D, NP2023_deaths!$A:$A, Keys!$E$9, NP2023_deaths!$B:$B, Keys!$B$9, NP2023_deaths!$C:$C, 2050), 0))+IF(Keys!$F$9="", 0, IFERROR(SUMIFS(NP2023_deaths!$D:$D, NP2023_deaths!$A:$A, Keys!$F$9, NP2023_deaths!$B:$B, Keys!$B$9, NP2023_deaths!$C:$C, 2050), 0))+IF(Keys!$G$9="", 0, IFERROR(SUMIFS(NP2023_deaths!$D:$D, NP2023_deaths!$A:$A, Keys!$G$9, NP2023_deaths!$B:$B, Keys!$B$9, NP2023_deaths!$C:$C, 2050), 0))+IF(Keys!$H$9="", 0, IFERROR(SUMIFS(NP2023_deaths!$D:$D, NP2023_deaths!$A:$A, Keys!$H$9, NP2023_deaths!$B:$B, Keys!$B$9, NP2023_deaths!$C:$C, 2050), 0))</f>
        <v>3415258</v>
      </c>
    </row>
    <row r="27" spans="1:28" x14ac:dyDescent="0.25">
      <c r="A27" s="4" t="s">
        <v>324</v>
      </c>
    </row>
    <row r="28" spans="1:28" x14ac:dyDescent="0.25">
      <c r="A28" s="4" t="s">
        <v>215</v>
      </c>
      <c r="B28" s="37">
        <f>IF(Keys!$C$2="", 0, IFERROR(SUMIFS(NP2023_deaths!$E:$E, NP2023_deaths!$A:$A, Keys!$C$2, NP2023_deaths!$B:$B, Keys!$B$2, NP2023_deaths!$C:$C, 2024), 0))+IF(Keys!$D$2="", 0, IFERROR(SUMIFS(NP2023_deaths!$E:$E, NP2023_deaths!$A:$A, Keys!$D$2, NP2023_deaths!$B:$B, Keys!$B$2, NP2023_deaths!$C:$C, 2024), 0))+IF(Keys!$E$2="", 0, IFERROR(SUMIFS(NP2023_deaths!$E:$E, NP2023_deaths!$A:$A, Keys!$E$2, NP2023_deaths!$B:$B, Keys!$B$2, NP2023_deaths!$C:$C, 2024), 0))+IF(Keys!$F$2="", 0, IFERROR(SUMIFS(NP2023_deaths!$E:$E, NP2023_deaths!$A:$A, Keys!$F$2, NP2023_deaths!$B:$B, Keys!$B$2, NP2023_deaths!$C:$C, 2024), 0))+IF(Keys!$G$2="", 0, IFERROR(SUMIFS(NP2023_deaths!$E:$E, NP2023_deaths!$A:$A, Keys!$G$2, NP2023_deaths!$B:$B, Keys!$B$2, NP2023_deaths!$C:$C, 2024), 0))+IF(Keys!$H$2="", 0, IFERROR(SUMIFS(NP2023_deaths!$E:$E, NP2023_deaths!$A:$A, Keys!$H$2, NP2023_deaths!$B:$B, Keys!$B$2, NP2023_deaths!$C:$C, 2024), 0))</f>
        <v>9411</v>
      </c>
      <c r="C28" s="37">
        <f>IF(Keys!$C$2="", 0, IFERROR(SUMIFS(NP2023_deaths!$E:$E, NP2023_deaths!$A:$A, Keys!$C$2, NP2023_deaths!$B:$B, Keys!$B$2, NP2023_deaths!$C:$C, 2025), 0))+IF(Keys!$D$2="", 0, IFERROR(SUMIFS(NP2023_deaths!$E:$E, NP2023_deaths!$A:$A, Keys!$D$2, NP2023_deaths!$B:$B, Keys!$B$2, NP2023_deaths!$C:$C, 2025), 0))+IF(Keys!$E$2="", 0, IFERROR(SUMIFS(NP2023_deaths!$E:$E, NP2023_deaths!$A:$A, Keys!$E$2, NP2023_deaths!$B:$B, Keys!$B$2, NP2023_deaths!$C:$C, 2025), 0))+IF(Keys!$F$2="", 0, IFERROR(SUMIFS(NP2023_deaths!$E:$E, NP2023_deaths!$A:$A, Keys!$F$2, NP2023_deaths!$B:$B, Keys!$B$2, NP2023_deaths!$C:$C, 2025), 0))+IF(Keys!$G$2="", 0, IFERROR(SUMIFS(NP2023_deaths!$E:$E, NP2023_deaths!$A:$A, Keys!$G$2, NP2023_deaths!$B:$B, Keys!$B$2, NP2023_deaths!$C:$C, 2025), 0))+IF(Keys!$H$2="", 0, IFERROR(SUMIFS(NP2023_deaths!$E:$E, NP2023_deaths!$A:$A, Keys!$H$2, NP2023_deaths!$B:$B, Keys!$B$2, NP2023_deaths!$C:$C, 2025), 0))</f>
        <v>9340</v>
      </c>
      <c r="D28" s="37">
        <f>IF(Keys!$C$2="", 0, IFERROR(SUMIFS(NP2023_deaths!$E:$E, NP2023_deaths!$A:$A, Keys!$C$2, NP2023_deaths!$B:$B, Keys!$B$2, NP2023_deaths!$C:$C, 2026), 0))+IF(Keys!$D$2="", 0, IFERROR(SUMIFS(NP2023_deaths!$E:$E, NP2023_deaths!$A:$A, Keys!$D$2, NP2023_deaths!$B:$B, Keys!$B$2, NP2023_deaths!$C:$C, 2026), 0))+IF(Keys!$E$2="", 0, IFERROR(SUMIFS(NP2023_deaths!$E:$E, NP2023_deaths!$A:$A, Keys!$E$2, NP2023_deaths!$B:$B, Keys!$B$2, NP2023_deaths!$C:$C, 2026), 0))+IF(Keys!$F$2="", 0, IFERROR(SUMIFS(NP2023_deaths!$E:$E, NP2023_deaths!$A:$A, Keys!$F$2, NP2023_deaths!$B:$B, Keys!$B$2, NP2023_deaths!$C:$C, 2026), 0))+IF(Keys!$G$2="", 0, IFERROR(SUMIFS(NP2023_deaths!$E:$E, NP2023_deaths!$A:$A, Keys!$G$2, NP2023_deaths!$B:$B, Keys!$B$2, NP2023_deaths!$C:$C, 2026), 0))+IF(Keys!$H$2="", 0, IFERROR(SUMIFS(NP2023_deaths!$E:$E, NP2023_deaths!$A:$A, Keys!$H$2, NP2023_deaths!$B:$B, Keys!$B$2, NP2023_deaths!$C:$C, 2026), 0))</f>
        <v>9268</v>
      </c>
      <c r="E28" s="37">
        <f>IF(Keys!$C$2="", 0, IFERROR(SUMIFS(NP2023_deaths!$E:$E, NP2023_deaths!$A:$A, Keys!$C$2, NP2023_deaths!$B:$B, Keys!$B$2, NP2023_deaths!$C:$C, 2027), 0))+IF(Keys!$D$2="", 0, IFERROR(SUMIFS(NP2023_deaths!$E:$E, NP2023_deaths!$A:$A, Keys!$D$2, NP2023_deaths!$B:$B, Keys!$B$2, NP2023_deaths!$C:$C, 2027), 0))+IF(Keys!$E$2="", 0, IFERROR(SUMIFS(NP2023_deaths!$E:$E, NP2023_deaths!$A:$A, Keys!$E$2, NP2023_deaths!$B:$B, Keys!$B$2, NP2023_deaths!$C:$C, 2027), 0))+IF(Keys!$F$2="", 0, IFERROR(SUMIFS(NP2023_deaths!$E:$E, NP2023_deaths!$A:$A, Keys!$F$2, NP2023_deaths!$B:$B, Keys!$B$2, NP2023_deaths!$C:$C, 2027), 0))+IF(Keys!$G$2="", 0, IFERROR(SUMIFS(NP2023_deaths!$E:$E, NP2023_deaths!$A:$A, Keys!$G$2, NP2023_deaths!$B:$B, Keys!$B$2, NP2023_deaths!$C:$C, 2027), 0))+IF(Keys!$H$2="", 0, IFERROR(SUMIFS(NP2023_deaths!$E:$E, NP2023_deaths!$A:$A, Keys!$H$2, NP2023_deaths!$B:$B, Keys!$B$2, NP2023_deaths!$C:$C, 2027), 0))</f>
        <v>9196</v>
      </c>
      <c r="F28" s="37">
        <f>IF(Keys!$C$2="", 0, IFERROR(SUMIFS(NP2023_deaths!$E:$E, NP2023_deaths!$A:$A, Keys!$C$2, NP2023_deaths!$B:$B, Keys!$B$2, NP2023_deaths!$C:$C, 2028), 0))+IF(Keys!$D$2="", 0, IFERROR(SUMIFS(NP2023_deaths!$E:$E, NP2023_deaths!$A:$A, Keys!$D$2, NP2023_deaths!$B:$B, Keys!$B$2, NP2023_deaths!$C:$C, 2028), 0))+IF(Keys!$E$2="", 0, IFERROR(SUMIFS(NP2023_deaths!$E:$E, NP2023_deaths!$A:$A, Keys!$E$2, NP2023_deaths!$B:$B, Keys!$B$2, NP2023_deaths!$C:$C, 2028), 0))+IF(Keys!$F$2="", 0, IFERROR(SUMIFS(NP2023_deaths!$E:$E, NP2023_deaths!$A:$A, Keys!$F$2, NP2023_deaths!$B:$B, Keys!$B$2, NP2023_deaths!$C:$C, 2028), 0))+IF(Keys!$G$2="", 0, IFERROR(SUMIFS(NP2023_deaths!$E:$E, NP2023_deaths!$A:$A, Keys!$G$2, NP2023_deaths!$B:$B, Keys!$B$2, NP2023_deaths!$C:$C, 2028), 0))+IF(Keys!$H$2="", 0, IFERROR(SUMIFS(NP2023_deaths!$E:$E, NP2023_deaths!$A:$A, Keys!$H$2, NP2023_deaths!$B:$B, Keys!$B$2, NP2023_deaths!$C:$C, 2028), 0))</f>
        <v>9122</v>
      </c>
      <c r="G28" s="37">
        <f>IF(Keys!$C$2="", 0, IFERROR(SUMIFS(NP2023_deaths!$E:$E, NP2023_deaths!$A:$A, Keys!$C$2, NP2023_deaths!$B:$B, Keys!$B$2, NP2023_deaths!$C:$C, 2029), 0))+IF(Keys!$D$2="", 0, IFERROR(SUMIFS(NP2023_deaths!$E:$E, NP2023_deaths!$A:$A, Keys!$D$2, NP2023_deaths!$B:$B, Keys!$B$2, NP2023_deaths!$C:$C, 2029), 0))+IF(Keys!$E$2="", 0, IFERROR(SUMIFS(NP2023_deaths!$E:$E, NP2023_deaths!$A:$A, Keys!$E$2, NP2023_deaths!$B:$B, Keys!$B$2, NP2023_deaths!$C:$C, 2029), 0))+IF(Keys!$F$2="", 0, IFERROR(SUMIFS(NP2023_deaths!$E:$E, NP2023_deaths!$A:$A, Keys!$F$2, NP2023_deaths!$B:$B, Keys!$B$2, NP2023_deaths!$C:$C, 2029), 0))+IF(Keys!$G$2="", 0, IFERROR(SUMIFS(NP2023_deaths!$E:$E, NP2023_deaths!$A:$A, Keys!$G$2, NP2023_deaths!$B:$B, Keys!$B$2, NP2023_deaths!$C:$C, 2029), 0))+IF(Keys!$H$2="", 0, IFERROR(SUMIFS(NP2023_deaths!$E:$E, NP2023_deaths!$A:$A, Keys!$H$2, NP2023_deaths!$B:$B, Keys!$B$2, NP2023_deaths!$C:$C, 2029), 0))</f>
        <v>9046</v>
      </c>
      <c r="H28" s="37">
        <f>IF(Keys!$C$2="", 0, IFERROR(SUMIFS(NP2023_deaths!$E:$E, NP2023_deaths!$A:$A, Keys!$C$2, NP2023_deaths!$B:$B, Keys!$B$2, NP2023_deaths!$C:$C, 2030), 0))+IF(Keys!$D$2="", 0, IFERROR(SUMIFS(NP2023_deaths!$E:$E, NP2023_deaths!$A:$A, Keys!$D$2, NP2023_deaths!$B:$B, Keys!$B$2, NP2023_deaths!$C:$C, 2030), 0))+IF(Keys!$E$2="", 0, IFERROR(SUMIFS(NP2023_deaths!$E:$E, NP2023_deaths!$A:$A, Keys!$E$2, NP2023_deaths!$B:$B, Keys!$B$2, NP2023_deaths!$C:$C, 2030), 0))+IF(Keys!$F$2="", 0, IFERROR(SUMIFS(NP2023_deaths!$E:$E, NP2023_deaths!$A:$A, Keys!$F$2, NP2023_deaths!$B:$B, Keys!$B$2, NP2023_deaths!$C:$C, 2030), 0))+IF(Keys!$G$2="", 0, IFERROR(SUMIFS(NP2023_deaths!$E:$E, NP2023_deaths!$A:$A, Keys!$G$2, NP2023_deaths!$B:$B, Keys!$B$2, NP2023_deaths!$C:$C, 2030), 0))+IF(Keys!$H$2="", 0, IFERROR(SUMIFS(NP2023_deaths!$E:$E, NP2023_deaths!$A:$A, Keys!$H$2, NP2023_deaths!$B:$B, Keys!$B$2, NP2023_deaths!$C:$C, 2030), 0))</f>
        <v>8968</v>
      </c>
      <c r="I28" s="37">
        <f>IF(Keys!$C$2="", 0, IFERROR(SUMIFS(NP2023_deaths!$E:$E, NP2023_deaths!$A:$A, Keys!$C$2, NP2023_deaths!$B:$B, Keys!$B$2, NP2023_deaths!$C:$C, 2031), 0))+IF(Keys!$D$2="", 0, IFERROR(SUMIFS(NP2023_deaths!$E:$E, NP2023_deaths!$A:$A, Keys!$D$2, NP2023_deaths!$B:$B, Keys!$B$2, NP2023_deaths!$C:$C, 2031), 0))+IF(Keys!$E$2="", 0, IFERROR(SUMIFS(NP2023_deaths!$E:$E, NP2023_deaths!$A:$A, Keys!$E$2, NP2023_deaths!$B:$B, Keys!$B$2, NP2023_deaths!$C:$C, 2031), 0))+IF(Keys!$F$2="", 0, IFERROR(SUMIFS(NP2023_deaths!$E:$E, NP2023_deaths!$A:$A, Keys!$F$2, NP2023_deaths!$B:$B, Keys!$B$2, NP2023_deaths!$C:$C, 2031), 0))+IF(Keys!$G$2="", 0, IFERROR(SUMIFS(NP2023_deaths!$E:$E, NP2023_deaths!$A:$A, Keys!$G$2, NP2023_deaths!$B:$B, Keys!$B$2, NP2023_deaths!$C:$C, 2031), 0))+IF(Keys!$H$2="", 0, IFERROR(SUMIFS(NP2023_deaths!$E:$E, NP2023_deaths!$A:$A, Keys!$H$2, NP2023_deaths!$B:$B, Keys!$B$2, NP2023_deaths!$C:$C, 2031), 0))</f>
        <v>8893</v>
      </c>
      <c r="J28" s="37">
        <f>IF(Keys!$C$2="", 0, IFERROR(SUMIFS(NP2023_deaths!$E:$E, NP2023_deaths!$A:$A, Keys!$C$2, NP2023_deaths!$B:$B, Keys!$B$2, NP2023_deaths!$C:$C, 2032), 0))+IF(Keys!$D$2="", 0, IFERROR(SUMIFS(NP2023_deaths!$E:$E, NP2023_deaths!$A:$A, Keys!$D$2, NP2023_deaths!$B:$B, Keys!$B$2, NP2023_deaths!$C:$C, 2032), 0))+IF(Keys!$E$2="", 0, IFERROR(SUMIFS(NP2023_deaths!$E:$E, NP2023_deaths!$A:$A, Keys!$E$2, NP2023_deaths!$B:$B, Keys!$B$2, NP2023_deaths!$C:$C, 2032), 0))+IF(Keys!$F$2="", 0, IFERROR(SUMIFS(NP2023_deaths!$E:$E, NP2023_deaths!$A:$A, Keys!$F$2, NP2023_deaths!$B:$B, Keys!$B$2, NP2023_deaths!$C:$C, 2032), 0))+IF(Keys!$G$2="", 0, IFERROR(SUMIFS(NP2023_deaths!$E:$E, NP2023_deaths!$A:$A, Keys!$G$2, NP2023_deaths!$B:$B, Keys!$B$2, NP2023_deaths!$C:$C, 2032), 0))+IF(Keys!$H$2="", 0, IFERROR(SUMIFS(NP2023_deaths!$E:$E, NP2023_deaths!$A:$A, Keys!$H$2, NP2023_deaths!$B:$B, Keys!$B$2, NP2023_deaths!$C:$C, 2032), 0))</f>
        <v>8811</v>
      </c>
      <c r="K28" s="37">
        <f>IF(Keys!$C$2="", 0, IFERROR(SUMIFS(NP2023_deaths!$E:$E, NP2023_deaths!$A:$A, Keys!$C$2, NP2023_deaths!$B:$B, Keys!$B$2, NP2023_deaths!$C:$C, 2033), 0))+IF(Keys!$D$2="", 0, IFERROR(SUMIFS(NP2023_deaths!$E:$E, NP2023_deaths!$A:$A, Keys!$D$2, NP2023_deaths!$B:$B, Keys!$B$2, NP2023_deaths!$C:$C, 2033), 0))+IF(Keys!$E$2="", 0, IFERROR(SUMIFS(NP2023_deaths!$E:$E, NP2023_deaths!$A:$A, Keys!$E$2, NP2023_deaths!$B:$B, Keys!$B$2, NP2023_deaths!$C:$C, 2033), 0))+IF(Keys!$F$2="", 0, IFERROR(SUMIFS(NP2023_deaths!$E:$E, NP2023_deaths!$A:$A, Keys!$F$2, NP2023_deaths!$B:$B, Keys!$B$2, NP2023_deaths!$C:$C, 2033), 0))+IF(Keys!$G$2="", 0, IFERROR(SUMIFS(NP2023_deaths!$E:$E, NP2023_deaths!$A:$A, Keys!$G$2, NP2023_deaths!$B:$B, Keys!$B$2, NP2023_deaths!$C:$C, 2033), 0))+IF(Keys!$H$2="", 0, IFERROR(SUMIFS(NP2023_deaths!$E:$E, NP2023_deaths!$A:$A, Keys!$H$2, NP2023_deaths!$B:$B, Keys!$B$2, NP2023_deaths!$C:$C, 2033), 0))</f>
        <v>8730</v>
      </c>
      <c r="L28" s="37">
        <f>IF(Keys!$C$2="", 0, IFERROR(SUMIFS(NP2023_deaths!$E:$E, NP2023_deaths!$A:$A, Keys!$C$2, NP2023_deaths!$B:$B, Keys!$B$2, NP2023_deaths!$C:$C, 2034), 0))+IF(Keys!$D$2="", 0, IFERROR(SUMIFS(NP2023_deaths!$E:$E, NP2023_deaths!$A:$A, Keys!$D$2, NP2023_deaths!$B:$B, Keys!$B$2, NP2023_deaths!$C:$C, 2034), 0))+IF(Keys!$E$2="", 0, IFERROR(SUMIFS(NP2023_deaths!$E:$E, NP2023_deaths!$A:$A, Keys!$E$2, NP2023_deaths!$B:$B, Keys!$B$2, NP2023_deaths!$C:$C, 2034), 0))+IF(Keys!$F$2="", 0, IFERROR(SUMIFS(NP2023_deaths!$E:$E, NP2023_deaths!$A:$A, Keys!$F$2, NP2023_deaths!$B:$B, Keys!$B$2, NP2023_deaths!$C:$C, 2034), 0))+IF(Keys!$G$2="", 0, IFERROR(SUMIFS(NP2023_deaths!$E:$E, NP2023_deaths!$A:$A, Keys!$G$2, NP2023_deaths!$B:$B, Keys!$B$2, NP2023_deaths!$C:$C, 2034), 0))+IF(Keys!$H$2="", 0, IFERROR(SUMIFS(NP2023_deaths!$E:$E, NP2023_deaths!$A:$A, Keys!$H$2, NP2023_deaths!$B:$B, Keys!$B$2, NP2023_deaths!$C:$C, 2034), 0))</f>
        <v>8643</v>
      </c>
      <c r="M28" s="37">
        <f>IF(Keys!$C$2="", 0, IFERROR(SUMIFS(NP2023_deaths!$E:$E, NP2023_deaths!$A:$A, Keys!$C$2, NP2023_deaths!$B:$B, Keys!$B$2, NP2023_deaths!$C:$C, 2035), 0))+IF(Keys!$D$2="", 0, IFERROR(SUMIFS(NP2023_deaths!$E:$E, NP2023_deaths!$A:$A, Keys!$D$2, NP2023_deaths!$B:$B, Keys!$B$2, NP2023_deaths!$C:$C, 2035), 0))+IF(Keys!$E$2="", 0, IFERROR(SUMIFS(NP2023_deaths!$E:$E, NP2023_deaths!$A:$A, Keys!$E$2, NP2023_deaths!$B:$B, Keys!$B$2, NP2023_deaths!$C:$C, 2035), 0))+IF(Keys!$F$2="", 0, IFERROR(SUMIFS(NP2023_deaths!$E:$E, NP2023_deaths!$A:$A, Keys!$F$2, NP2023_deaths!$B:$B, Keys!$B$2, NP2023_deaths!$C:$C, 2035), 0))+IF(Keys!$G$2="", 0, IFERROR(SUMIFS(NP2023_deaths!$E:$E, NP2023_deaths!$A:$A, Keys!$G$2, NP2023_deaths!$B:$B, Keys!$B$2, NP2023_deaths!$C:$C, 2035), 0))+IF(Keys!$H$2="", 0, IFERROR(SUMIFS(NP2023_deaths!$E:$E, NP2023_deaths!$A:$A, Keys!$H$2, NP2023_deaths!$B:$B, Keys!$B$2, NP2023_deaths!$C:$C, 2035), 0))</f>
        <v>8557</v>
      </c>
      <c r="N28" s="37">
        <f>IF(Keys!$C$2="", 0, IFERROR(SUMIFS(NP2023_deaths!$E:$E, NP2023_deaths!$A:$A, Keys!$C$2, NP2023_deaths!$B:$B, Keys!$B$2, NP2023_deaths!$C:$C, 2036), 0))+IF(Keys!$D$2="", 0, IFERROR(SUMIFS(NP2023_deaths!$E:$E, NP2023_deaths!$A:$A, Keys!$D$2, NP2023_deaths!$B:$B, Keys!$B$2, NP2023_deaths!$C:$C, 2036), 0))+IF(Keys!$E$2="", 0, IFERROR(SUMIFS(NP2023_deaths!$E:$E, NP2023_deaths!$A:$A, Keys!$E$2, NP2023_deaths!$B:$B, Keys!$B$2, NP2023_deaths!$C:$C, 2036), 0))+IF(Keys!$F$2="", 0, IFERROR(SUMIFS(NP2023_deaths!$E:$E, NP2023_deaths!$A:$A, Keys!$F$2, NP2023_deaths!$B:$B, Keys!$B$2, NP2023_deaths!$C:$C, 2036), 0))+IF(Keys!$G$2="", 0, IFERROR(SUMIFS(NP2023_deaths!$E:$E, NP2023_deaths!$A:$A, Keys!$G$2, NP2023_deaths!$B:$B, Keys!$B$2, NP2023_deaths!$C:$C, 2036), 0))+IF(Keys!$H$2="", 0, IFERROR(SUMIFS(NP2023_deaths!$E:$E, NP2023_deaths!$A:$A, Keys!$H$2, NP2023_deaths!$B:$B, Keys!$B$2, NP2023_deaths!$C:$C, 2036), 0))</f>
        <v>8473</v>
      </c>
      <c r="O28" s="37">
        <f>IF(Keys!$C$2="", 0, IFERROR(SUMIFS(NP2023_deaths!$E:$E, NP2023_deaths!$A:$A, Keys!$C$2, NP2023_deaths!$B:$B, Keys!$B$2, NP2023_deaths!$C:$C, 2037), 0))+IF(Keys!$D$2="", 0, IFERROR(SUMIFS(NP2023_deaths!$E:$E, NP2023_deaths!$A:$A, Keys!$D$2, NP2023_deaths!$B:$B, Keys!$B$2, NP2023_deaths!$C:$C, 2037), 0))+IF(Keys!$E$2="", 0, IFERROR(SUMIFS(NP2023_deaths!$E:$E, NP2023_deaths!$A:$A, Keys!$E$2, NP2023_deaths!$B:$B, Keys!$B$2, NP2023_deaths!$C:$C, 2037), 0))+IF(Keys!$F$2="", 0, IFERROR(SUMIFS(NP2023_deaths!$E:$E, NP2023_deaths!$A:$A, Keys!$F$2, NP2023_deaths!$B:$B, Keys!$B$2, NP2023_deaths!$C:$C, 2037), 0))+IF(Keys!$G$2="", 0, IFERROR(SUMIFS(NP2023_deaths!$E:$E, NP2023_deaths!$A:$A, Keys!$G$2, NP2023_deaths!$B:$B, Keys!$B$2, NP2023_deaths!$C:$C, 2037), 0))+IF(Keys!$H$2="", 0, IFERROR(SUMIFS(NP2023_deaths!$E:$E, NP2023_deaths!$A:$A, Keys!$H$2, NP2023_deaths!$B:$B, Keys!$B$2, NP2023_deaths!$C:$C, 2037), 0))</f>
        <v>8377</v>
      </c>
      <c r="P28" s="37">
        <f>IF(Keys!$C$2="", 0, IFERROR(SUMIFS(NP2023_deaths!$E:$E, NP2023_deaths!$A:$A, Keys!$C$2, NP2023_deaths!$B:$B, Keys!$B$2, NP2023_deaths!$C:$C, 2038), 0))+IF(Keys!$D$2="", 0, IFERROR(SUMIFS(NP2023_deaths!$E:$E, NP2023_deaths!$A:$A, Keys!$D$2, NP2023_deaths!$B:$B, Keys!$B$2, NP2023_deaths!$C:$C, 2038), 0))+IF(Keys!$E$2="", 0, IFERROR(SUMIFS(NP2023_deaths!$E:$E, NP2023_deaths!$A:$A, Keys!$E$2, NP2023_deaths!$B:$B, Keys!$B$2, NP2023_deaths!$C:$C, 2038), 0))+IF(Keys!$F$2="", 0, IFERROR(SUMIFS(NP2023_deaths!$E:$E, NP2023_deaths!$A:$A, Keys!$F$2, NP2023_deaths!$B:$B, Keys!$B$2, NP2023_deaths!$C:$C, 2038), 0))+IF(Keys!$G$2="", 0, IFERROR(SUMIFS(NP2023_deaths!$E:$E, NP2023_deaths!$A:$A, Keys!$G$2, NP2023_deaths!$B:$B, Keys!$B$2, NP2023_deaths!$C:$C, 2038), 0))+IF(Keys!$H$2="", 0, IFERROR(SUMIFS(NP2023_deaths!$E:$E, NP2023_deaths!$A:$A, Keys!$H$2, NP2023_deaths!$B:$B, Keys!$B$2, NP2023_deaths!$C:$C, 2038), 0))</f>
        <v>8284</v>
      </c>
      <c r="Q28" s="37">
        <f>IF(Keys!$C$2="", 0, IFERROR(SUMIFS(NP2023_deaths!$E:$E, NP2023_deaths!$A:$A, Keys!$C$2, NP2023_deaths!$B:$B, Keys!$B$2, NP2023_deaths!$C:$C, 2039), 0))+IF(Keys!$D$2="", 0, IFERROR(SUMIFS(NP2023_deaths!$E:$E, NP2023_deaths!$A:$A, Keys!$D$2, NP2023_deaths!$B:$B, Keys!$B$2, NP2023_deaths!$C:$C, 2039), 0))+IF(Keys!$E$2="", 0, IFERROR(SUMIFS(NP2023_deaths!$E:$E, NP2023_deaths!$A:$A, Keys!$E$2, NP2023_deaths!$B:$B, Keys!$B$2, NP2023_deaths!$C:$C, 2039), 0))+IF(Keys!$F$2="", 0, IFERROR(SUMIFS(NP2023_deaths!$E:$E, NP2023_deaths!$A:$A, Keys!$F$2, NP2023_deaths!$B:$B, Keys!$B$2, NP2023_deaths!$C:$C, 2039), 0))+IF(Keys!$G$2="", 0, IFERROR(SUMIFS(NP2023_deaths!$E:$E, NP2023_deaths!$A:$A, Keys!$G$2, NP2023_deaths!$B:$B, Keys!$B$2, NP2023_deaths!$C:$C, 2039), 0))+IF(Keys!$H$2="", 0, IFERROR(SUMIFS(NP2023_deaths!$E:$E, NP2023_deaths!$A:$A, Keys!$H$2, NP2023_deaths!$B:$B, Keys!$B$2, NP2023_deaths!$C:$C, 2039), 0))</f>
        <v>8185</v>
      </c>
      <c r="R28" s="37">
        <f>IF(Keys!$C$2="", 0, IFERROR(SUMIFS(NP2023_deaths!$E:$E, NP2023_deaths!$A:$A, Keys!$C$2, NP2023_deaths!$B:$B, Keys!$B$2, NP2023_deaths!$C:$C, 2040), 0))+IF(Keys!$D$2="", 0, IFERROR(SUMIFS(NP2023_deaths!$E:$E, NP2023_deaths!$A:$A, Keys!$D$2, NP2023_deaths!$B:$B, Keys!$B$2, NP2023_deaths!$C:$C, 2040), 0))+IF(Keys!$E$2="", 0, IFERROR(SUMIFS(NP2023_deaths!$E:$E, NP2023_deaths!$A:$A, Keys!$E$2, NP2023_deaths!$B:$B, Keys!$B$2, NP2023_deaths!$C:$C, 2040), 0))+IF(Keys!$F$2="", 0, IFERROR(SUMIFS(NP2023_deaths!$E:$E, NP2023_deaths!$A:$A, Keys!$F$2, NP2023_deaths!$B:$B, Keys!$B$2, NP2023_deaths!$C:$C, 2040), 0))+IF(Keys!$G$2="", 0, IFERROR(SUMIFS(NP2023_deaths!$E:$E, NP2023_deaths!$A:$A, Keys!$G$2, NP2023_deaths!$B:$B, Keys!$B$2, NP2023_deaths!$C:$C, 2040), 0))+IF(Keys!$H$2="", 0, IFERROR(SUMIFS(NP2023_deaths!$E:$E, NP2023_deaths!$A:$A, Keys!$H$2, NP2023_deaths!$B:$B, Keys!$B$2, NP2023_deaths!$C:$C, 2040), 0))</f>
        <v>8085</v>
      </c>
      <c r="S28" s="37">
        <f>IF(Keys!$C$2="", 0, IFERROR(SUMIFS(NP2023_deaths!$E:$E, NP2023_deaths!$A:$A, Keys!$C$2, NP2023_deaths!$B:$B, Keys!$B$2, NP2023_deaths!$C:$C, 2041), 0))+IF(Keys!$D$2="", 0, IFERROR(SUMIFS(NP2023_deaths!$E:$E, NP2023_deaths!$A:$A, Keys!$D$2, NP2023_deaths!$B:$B, Keys!$B$2, NP2023_deaths!$C:$C, 2041), 0))+IF(Keys!$E$2="", 0, IFERROR(SUMIFS(NP2023_deaths!$E:$E, NP2023_deaths!$A:$A, Keys!$E$2, NP2023_deaths!$B:$B, Keys!$B$2, NP2023_deaths!$C:$C, 2041), 0))+IF(Keys!$F$2="", 0, IFERROR(SUMIFS(NP2023_deaths!$E:$E, NP2023_deaths!$A:$A, Keys!$F$2, NP2023_deaths!$B:$B, Keys!$B$2, NP2023_deaths!$C:$C, 2041), 0))+IF(Keys!$G$2="", 0, IFERROR(SUMIFS(NP2023_deaths!$E:$E, NP2023_deaths!$A:$A, Keys!$G$2, NP2023_deaths!$B:$B, Keys!$B$2, NP2023_deaths!$C:$C, 2041), 0))+IF(Keys!$H$2="", 0, IFERROR(SUMIFS(NP2023_deaths!$E:$E, NP2023_deaths!$A:$A, Keys!$H$2, NP2023_deaths!$B:$B, Keys!$B$2, NP2023_deaths!$C:$C, 2041), 0))</f>
        <v>7982</v>
      </c>
      <c r="T28" s="37">
        <f>IF(Keys!$C$2="", 0, IFERROR(SUMIFS(NP2023_deaths!$E:$E, NP2023_deaths!$A:$A, Keys!$C$2, NP2023_deaths!$B:$B, Keys!$B$2, NP2023_deaths!$C:$C, 2042), 0))+IF(Keys!$D$2="", 0, IFERROR(SUMIFS(NP2023_deaths!$E:$E, NP2023_deaths!$A:$A, Keys!$D$2, NP2023_deaths!$B:$B, Keys!$B$2, NP2023_deaths!$C:$C, 2042), 0))+IF(Keys!$E$2="", 0, IFERROR(SUMIFS(NP2023_deaths!$E:$E, NP2023_deaths!$A:$A, Keys!$E$2, NP2023_deaths!$B:$B, Keys!$B$2, NP2023_deaths!$C:$C, 2042), 0))+IF(Keys!$F$2="", 0, IFERROR(SUMIFS(NP2023_deaths!$E:$E, NP2023_deaths!$A:$A, Keys!$F$2, NP2023_deaths!$B:$B, Keys!$B$2, NP2023_deaths!$C:$C, 2042), 0))+IF(Keys!$G$2="", 0, IFERROR(SUMIFS(NP2023_deaths!$E:$E, NP2023_deaths!$A:$A, Keys!$G$2, NP2023_deaths!$B:$B, Keys!$B$2, NP2023_deaths!$C:$C, 2042), 0))+IF(Keys!$H$2="", 0, IFERROR(SUMIFS(NP2023_deaths!$E:$E, NP2023_deaths!$A:$A, Keys!$H$2, NP2023_deaths!$B:$B, Keys!$B$2, NP2023_deaths!$C:$C, 2042), 0))</f>
        <v>7879</v>
      </c>
      <c r="U28" s="37">
        <f>IF(Keys!$C$2="", 0, IFERROR(SUMIFS(NP2023_deaths!$E:$E, NP2023_deaths!$A:$A, Keys!$C$2, NP2023_deaths!$B:$B, Keys!$B$2, NP2023_deaths!$C:$C, 2043), 0))+IF(Keys!$D$2="", 0, IFERROR(SUMIFS(NP2023_deaths!$E:$E, NP2023_deaths!$A:$A, Keys!$D$2, NP2023_deaths!$B:$B, Keys!$B$2, NP2023_deaths!$C:$C, 2043), 0))+IF(Keys!$E$2="", 0, IFERROR(SUMIFS(NP2023_deaths!$E:$E, NP2023_deaths!$A:$A, Keys!$E$2, NP2023_deaths!$B:$B, Keys!$B$2, NP2023_deaths!$C:$C, 2043), 0))+IF(Keys!$F$2="", 0, IFERROR(SUMIFS(NP2023_deaths!$E:$E, NP2023_deaths!$A:$A, Keys!$F$2, NP2023_deaths!$B:$B, Keys!$B$2, NP2023_deaths!$C:$C, 2043), 0))+IF(Keys!$G$2="", 0, IFERROR(SUMIFS(NP2023_deaths!$E:$E, NP2023_deaths!$A:$A, Keys!$G$2, NP2023_deaths!$B:$B, Keys!$B$2, NP2023_deaths!$C:$C, 2043), 0))+IF(Keys!$H$2="", 0, IFERROR(SUMIFS(NP2023_deaths!$E:$E, NP2023_deaths!$A:$A, Keys!$H$2, NP2023_deaths!$B:$B, Keys!$B$2, NP2023_deaths!$C:$C, 2043), 0))</f>
        <v>7776</v>
      </c>
      <c r="V28" s="37">
        <f>IF(Keys!$C$2="", 0, IFERROR(SUMIFS(NP2023_deaths!$E:$E, NP2023_deaths!$A:$A, Keys!$C$2, NP2023_deaths!$B:$B, Keys!$B$2, NP2023_deaths!$C:$C, 2044), 0))+IF(Keys!$D$2="", 0, IFERROR(SUMIFS(NP2023_deaths!$E:$E, NP2023_deaths!$A:$A, Keys!$D$2, NP2023_deaths!$B:$B, Keys!$B$2, NP2023_deaths!$C:$C, 2044), 0))+IF(Keys!$E$2="", 0, IFERROR(SUMIFS(NP2023_deaths!$E:$E, NP2023_deaths!$A:$A, Keys!$E$2, NP2023_deaths!$B:$B, Keys!$B$2, NP2023_deaths!$C:$C, 2044), 0))+IF(Keys!$F$2="", 0, IFERROR(SUMIFS(NP2023_deaths!$E:$E, NP2023_deaths!$A:$A, Keys!$F$2, NP2023_deaths!$B:$B, Keys!$B$2, NP2023_deaths!$C:$C, 2044), 0))+IF(Keys!$G$2="", 0, IFERROR(SUMIFS(NP2023_deaths!$E:$E, NP2023_deaths!$A:$A, Keys!$G$2, NP2023_deaths!$B:$B, Keys!$B$2, NP2023_deaths!$C:$C, 2044), 0))+IF(Keys!$H$2="", 0, IFERROR(SUMIFS(NP2023_deaths!$E:$E, NP2023_deaths!$A:$A, Keys!$H$2, NP2023_deaths!$B:$B, Keys!$B$2, NP2023_deaths!$C:$C, 2044), 0))</f>
        <v>7673</v>
      </c>
      <c r="W28" s="37">
        <f>IF(Keys!$C$2="", 0, IFERROR(SUMIFS(NP2023_deaths!$E:$E, NP2023_deaths!$A:$A, Keys!$C$2, NP2023_deaths!$B:$B, Keys!$B$2, NP2023_deaths!$C:$C, 2045), 0))+IF(Keys!$D$2="", 0, IFERROR(SUMIFS(NP2023_deaths!$E:$E, NP2023_deaths!$A:$A, Keys!$D$2, NP2023_deaths!$B:$B, Keys!$B$2, NP2023_deaths!$C:$C, 2045), 0))+IF(Keys!$E$2="", 0, IFERROR(SUMIFS(NP2023_deaths!$E:$E, NP2023_deaths!$A:$A, Keys!$E$2, NP2023_deaths!$B:$B, Keys!$B$2, NP2023_deaths!$C:$C, 2045), 0))+IF(Keys!$F$2="", 0, IFERROR(SUMIFS(NP2023_deaths!$E:$E, NP2023_deaths!$A:$A, Keys!$F$2, NP2023_deaths!$B:$B, Keys!$B$2, NP2023_deaths!$C:$C, 2045), 0))+IF(Keys!$G$2="", 0, IFERROR(SUMIFS(NP2023_deaths!$E:$E, NP2023_deaths!$A:$A, Keys!$G$2, NP2023_deaths!$B:$B, Keys!$B$2, NP2023_deaths!$C:$C, 2045), 0))+IF(Keys!$H$2="", 0, IFERROR(SUMIFS(NP2023_deaths!$E:$E, NP2023_deaths!$A:$A, Keys!$H$2, NP2023_deaths!$B:$B, Keys!$B$2, NP2023_deaths!$C:$C, 2045), 0))</f>
        <v>7571</v>
      </c>
      <c r="X28" s="37">
        <f>IF(Keys!$C$2="", 0, IFERROR(SUMIFS(NP2023_deaths!$E:$E, NP2023_deaths!$A:$A, Keys!$C$2, NP2023_deaths!$B:$B, Keys!$B$2, NP2023_deaths!$C:$C, 2046), 0))+IF(Keys!$D$2="", 0, IFERROR(SUMIFS(NP2023_deaths!$E:$E, NP2023_deaths!$A:$A, Keys!$D$2, NP2023_deaths!$B:$B, Keys!$B$2, NP2023_deaths!$C:$C, 2046), 0))+IF(Keys!$E$2="", 0, IFERROR(SUMIFS(NP2023_deaths!$E:$E, NP2023_deaths!$A:$A, Keys!$E$2, NP2023_deaths!$B:$B, Keys!$B$2, NP2023_deaths!$C:$C, 2046), 0))+IF(Keys!$F$2="", 0, IFERROR(SUMIFS(NP2023_deaths!$E:$E, NP2023_deaths!$A:$A, Keys!$F$2, NP2023_deaths!$B:$B, Keys!$B$2, NP2023_deaths!$C:$C, 2046), 0))+IF(Keys!$G$2="", 0, IFERROR(SUMIFS(NP2023_deaths!$E:$E, NP2023_deaths!$A:$A, Keys!$G$2, NP2023_deaths!$B:$B, Keys!$B$2, NP2023_deaths!$C:$C, 2046), 0))+IF(Keys!$H$2="", 0, IFERROR(SUMIFS(NP2023_deaths!$E:$E, NP2023_deaths!$A:$A, Keys!$H$2, NP2023_deaths!$B:$B, Keys!$B$2, NP2023_deaths!$C:$C, 2046), 0))</f>
        <v>7477</v>
      </c>
      <c r="Y28" s="37">
        <f>IF(Keys!$C$2="", 0, IFERROR(SUMIFS(NP2023_deaths!$E:$E, NP2023_deaths!$A:$A, Keys!$C$2, NP2023_deaths!$B:$B, Keys!$B$2, NP2023_deaths!$C:$C, 2047), 0))+IF(Keys!$D$2="", 0, IFERROR(SUMIFS(NP2023_deaths!$E:$E, NP2023_deaths!$A:$A, Keys!$D$2, NP2023_deaths!$B:$B, Keys!$B$2, NP2023_deaths!$C:$C, 2047), 0))+IF(Keys!$E$2="", 0, IFERROR(SUMIFS(NP2023_deaths!$E:$E, NP2023_deaths!$A:$A, Keys!$E$2, NP2023_deaths!$B:$B, Keys!$B$2, NP2023_deaths!$C:$C, 2047), 0))+IF(Keys!$F$2="", 0, IFERROR(SUMIFS(NP2023_deaths!$E:$E, NP2023_deaths!$A:$A, Keys!$F$2, NP2023_deaths!$B:$B, Keys!$B$2, NP2023_deaths!$C:$C, 2047), 0))+IF(Keys!$G$2="", 0, IFERROR(SUMIFS(NP2023_deaths!$E:$E, NP2023_deaths!$A:$A, Keys!$G$2, NP2023_deaths!$B:$B, Keys!$B$2, NP2023_deaths!$C:$C, 2047), 0))+IF(Keys!$H$2="", 0, IFERROR(SUMIFS(NP2023_deaths!$E:$E, NP2023_deaths!$A:$A, Keys!$H$2, NP2023_deaths!$B:$B, Keys!$B$2, NP2023_deaths!$C:$C, 2047), 0))</f>
        <v>7383</v>
      </c>
      <c r="Z28" s="37">
        <f>IF(Keys!$C$2="", 0, IFERROR(SUMIFS(NP2023_deaths!$E:$E, NP2023_deaths!$A:$A, Keys!$C$2, NP2023_deaths!$B:$B, Keys!$B$2, NP2023_deaths!$C:$C, 2048), 0))+IF(Keys!$D$2="", 0, IFERROR(SUMIFS(NP2023_deaths!$E:$E, NP2023_deaths!$A:$A, Keys!$D$2, NP2023_deaths!$B:$B, Keys!$B$2, NP2023_deaths!$C:$C, 2048), 0))+IF(Keys!$E$2="", 0, IFERROR(SUMIFS(NP2023_deaths!$E:$E, NP2023_deaths!$A:$A, Keys!$E$2, NP2023_deaths!$B:$B, Keys!$B$2, NP2023_deaths!$C:$C, 2048), 0))+IF(Keys!$F$2="", 0, IFERROR(SUMIFS(NP2023_deaths!$E:$E, NP2023_deaths!$A:$A, Keys!$F$2, NP2023_deaths!$B:$B, Keys!$B$2, NP2023_deaths!$C:$C, 2048), 0))+IF(Keys!$G$2="", 0, IFERROR(SUMIFS(NP2023_deaths!$E:$E, NP2023_deaths!$A:$A, Keys!$G$2, NP2023_deaths!$B:$B, Keys!$B$2, NP2023_deaths!$C:$C, 2048), 0))+IF(Keys!$H$2="", 0, IFERROR(SUMIFS(NP2023_deaths!$E:$E, NP2023_deaths!$A:$A, Keys!$H$2, NP2023_deaths!$B:$B, Keys!$B$2, NP2023_deaths!$C:$C, 2048), 0))</f>
        <v>7294</v>
      </c>
      <c r="AA28" s="37">
        <f>IF(Keys!$C$2="", 0, IFERROR(SUMIFS(NP2023_deaths!$E:$E, NP2023_deaths!$A:$A, Keys!$C$2, NP2023_deaths!$B:$B, Keys!$B$2, NP2023_deaths!$C:$C, 2049), 0))+IF(Keys!$D$2="", 0, IFERROR(SUMIFS(NP2023_deaths!$E:$E, NP2023_deaths!$A:$A, Keys!$D$2, NP2023_deaths!$B:$B, Keys!$B$2, NP2023_deaths!$C:$C, 2049), 0))+IF(Keys!$E$2="", 0, IFERROR(SUMIFS(NP2023_deaths!$E:$E, NP2023_deaths!$A:$A, Keys!$E$2, NP2023_deaths!$B:$B, Keys!$B$2, NP2023_deaths!$C:$C, 2049), 0))+IF(Keys!$F$2="", 0, IFERROR(SUMIFS(NP2023_deaths!$E:$E, NP2023_deaths!$A:$A, Keys!$F$2, NP2023_deaths!$B:$B, Keys!$B$2, NP2023_deaths!$C:$C, 2049), 0))+IF(Keys!$G$2="", 0, IFERROR(SUMIFS(NP2023_deaths!$E:$E, NP2023_deaths!$A:$A, Keys!$G$2, NP2023_deaths!$B:$B, Keys!$B$2, NP2023_deaths!$C:$C, 2049), 0))+IF(Keys!$H$2="", 0, IFERROR(SUMIFS(NP2023_deaths!$E:$E, NP2023_deaths!$A:$A, Keys!$H$2, NP2023_deaths!$B:$B, Keys!$B$2, NP2023_deaths!$C:$C, 2049), 0))</f>
        <v>7206</v>
      </c>
      <c r="AB28" s="37">
        <f>IF(Keys!$C$2="", 0, IFERROR(SUMIFS(NP2023_deaths!$E:$E, NP2023_deaths!$A:$A, Keys!$C$2, NP2023_deaths!$B:$B, Keys!$B$2, NP2023_deaths!$C:$C, 2050), 0))+IF(Keys!$D$2="", 0, IFERROR(SUMIFS(NP2023_deaths!$E:$E, NP2023_deaths!$A:$A, Keys!$D$2, NP2023_deaths!$B:$B, Keys!$B$2, NP2023_deaths!$C:$C, 2050), 0))+IF(Keys!$E$2="", 0, IFERROR(SUMIFS(NP2023_deaths!$E:$E, NP2023_deaths!$A:$A, Keys!$E$2, NP2023_deaths!$B:$B, Keys!$B$2, NP2023_deaths!$C:$C, 2050), 0))+IF(Keys!$F$2="", 0, IFERROR(SUMIFS(NP2023_deaths!$E:$E, NP2023_deaths!$A:$A, Keys!$F$2, NP2023_deaths!$B:$B, Keys!$B$2, NP2023_deaths!$C:$C, 2050), 0))+IF(Keys!$G$2="", 0, IFERROR(SUMIFS(NP2023_deaths!$E:$E, NP2023_deaths!$A:$A, Keys!$G$2, NP2023_deaths!$B:$B, Keys!$B$2, NP2023_deaths!$C:$C, 2050), 0))+IF(Keys!$H$2="", 0, IFERROR(SUMIFS(NP2023_deaths!$E:$E, NP2023_deaths!$A:$A, Keys!$H$2, NP2023_deaths!$B:$B, Keys!$B$2, NP2023_deaths!$C:$C, 2050), 0))</f>
        <v>7118</v>
      </c>
    </row>
    <row r="29" spans="1:28" x14ac:dyDescent="0.25">
      <c r="A29" s="4" t="s">
        <v>216</v>
      </c>
      <c r="B29" s="37">
        <f>IF(Keys!$C$3="", 0, IFERROR(SUMIFS(NP2023_deaths!$E:$E, NP2023_deaths!$A:$A, Keys!$C$3, NP2023_deaths!$B:$B, Keys!$B$3, NP2023_deaths!$C:$C, 2024), 0))+IF(Keys!$D$3="", 0, IFERROR(SUMIFS(NP2023_deaths!$E:$E, NP2023_deaths!$A:$A, Keys!$D$3, NP2023_deaths!$B:$B, Keys!$B$3, NP2023_deaths!$C:$C, 2024), 0))+IF(Keys!$E$3="", 0, IFERROR(SUMIFS(NP2023_deaths!$E:$E, NP2023_deaths!$A:$A, Keys!$E$3, NP2023_deaths!$B:$B, Keys!$B$3, NP2023_deaths!$C:$C, 2024), 0))+IF(Keys!$F$3="", 0, IFERROR(SUMIFS(NP2023_deaths!$E:$E, NP2023_deaths!$A:$A, Keys!$F$3, NP2023_deaths!$B:$B, Keys!$B$3, NP2023_deaths!$C:$C, 2024), 0))+IF(Keys!$G$3="", 0, IFERROR(SUMIFS(NP2023_deaths!$E:$E, NP2023_deaths!$A:$A, Keys!$G$3, NP2023_deaths!$B:$B, Keys!$B$3, NP2023_deaths!$C:$C, 2024), 0))+IF(Keys!$H$3="", 0, IFERROR(SUMIFS(NP2023_deaths!$E:$E, NP2023_deaths!$A:$A, Keys!$H$3, NP2023_deaths!$B:$B, Keys!$B$3, NP2023_deaths!$C:$C, 2024), 0))</f>
        <v>7504</v>
      </c>
      <c r="C29" s="37">
        <f>IF(Keys!$C$3="", 0, IFERROR(SUMIFS(NP2023_deaths!$E:$E, NP2023_deaths!$A:$A, Keys!$C$3, NP2023_deaths!$B:$B, Keys!$B$3, NP2023_deaths!$C:$C, 2025), 0))+IF(Keys!$D$3="", 0, IFERROR(SUMIFS(NP2023_deaths!$E:$E, NP2023_deaths!$A:$A, Keys!$D$3, NP2023_deaths!$B:$B, Keys!$B$3, NP2023_deaths!$C:$C, 2025), 0))+IF(Keys!$E$3="", 0, IFERROR(SUMIFS(NP2023_deaths!$E:$E, NP2023_deaths!$A:$A, Keys!$E$3, NP2023_deaths!$B:$B, Keys!$B$3, NP2023_deaths!$C:$C, 2025), 0))+IF(Keys!$F$3="", 0, IFERROR(SUMIFS(NP2023_deaths!$E:$E, NP2023_deaths!$A:$A, Keys!$F$3, NP2023_deaths!$B:$B, Keys!$B$3, NP2023_deaths!$C:$C, 2025), 0))+IF(Keys!$G$3="", 0, IFERROR(SUMIFS(NP2023_deaths!$E:$E, NP2023_deaths!$A:$A, Keys!$G$3, NP2023_deaths!$B:$B, Keys!$B$3, NP2023_deaths!$C:$C, 2025), 0))+IF(Keys!$H$3="", 0, IFERROR(SUMIFS(NP2023_deaths!$E:$E, NP2023_deaths!$A:$A, Keys!$H$3, NP2023_deaths!$B:$B, Keys!$B$3, NP2023_deaths!$C:$C, 2025), 0))</f>
        <v>7463</v>
      </c>
      <c r="D29" s="37">
        <f>IF(Keys!$C$3="", 0, IFERROR(SUMIFS(NP2023_deaths!$E:$E, NP2023_deaths!$A:$A, Keys!$C$3, NP2023_deaths!$B:$B, Keys!$B$3, NP2023_deaths!$C:$C, 2026), 0))+IF(Keys!$D$3="", 0, IFERROR(SUMIFS(NP2023_deaths!$E:$E, NP2023_deaths!$A:$A, Keys!$D$3, NP2023_deaths!$B:$B, Keys!$B$3, NP2023_deaths!$C:$C, 2026), 0))+IF(Keys!$E$3="", 0, IFERROR(SUMIFS(NP2023_deaths!$E:$E, NP2023_deaths!$A:$A, Keys!$E$3, NP2023_deaths!$B:$B, Keys!$B$3, NP2023_deaths!$C:$C, 2026), 0))+IF(Keys!$F$3="", 0, IFERROR(SUMIFS(NP2023_deaths!$E:$E, NP2023_deaths!$A:$A, Keys!$F$3, NP2023_deaths!$B:$B, Keys!$B$3, NP2023_deaths!$C:$C, 2026), 0))+IF(Keys!$G$3="", 0, IFERROR(SUMIFS(NP2023_deaths!$E:$E, NP2023_deaths!$A:$A, Keys!$G$3, NP2023_deaths!$B:$B, Keys!$B$3, NP2023_deaths!$C:$C, 2026), 0))+IF(Keys!$H$3="", 0, IFERROR(SUMIFS(NP2023_deaths!$E:$E, NP2023_deaths!$A:$A, Keys!$H$3, NP2023_deaths!$B:$B, Keys!$B$3, NP2023_deaths!$C:$C, 2026), 0))</f>
        <v>7422</v>
      </c>
      <c r="E29" s="37">
        <f>IF(Keys!$C$3="", 0, IFERROR(SUMIFS(NP2023_deaths!$E:$E, NP2023_deaths!$A:$A, Keys!$C$3, NP2023_deaths!$B:$B, Keys!$B$3, NP2023_deaths!$C:$C, 2027), 0))+IF(Keys!$D$3="", 0, IFERROR(SUMIFS(NP2023_deaths!$E:$E, NP2023_deaths!$A:$A, Keys!$D$3, NP2023_deaths!$B:$B, Keys!$B$3, NP2023_deaths!$C:$C, 2027), 0))+IF(Keys!$E$3="", 0, IFERROR(SUMIFS(NP2023_deaths!$E:$E, NP2023_deaths!$A:$A, Keys!$E$3, NP2023_deaths!$B:$B, Keys!$B$3, NP2023_deaths!$C:$C, 2027), 0))+IF(Keys!$F$3="", 0, IFERROR(SUMIFS(NP2023_deaths!$E:$E, NP2023_deaths!$A:$A, Keys!$F$3, NP2023_deaths!$B:$B, Keys!$B$3, NP2023_deaths!$C:$C, 2027), 0))+IF(Keys!$G$3="", 0, IFERROR(SUMIFS(NP2023_deaths!$E:$E, NP2023_deaths!$A:$A, Keys!$G$3, NP2023_deaths!$B:$B, Keys!$B$3, NP2023_deaths!$C:$C, 2027), 0))+IF(Keys!$H$3="", 0, IFERROR(SUMIFS(NP2023_deaths!$E:$E, NP2023_deaths!$A:$A, Keys!$H$3, NP2023_deaths!$B:$B, Keys!$B$3, NP2023_deaths!$C:$C, 2027), 0))</f>
        <v>7380</v>
      </c>
      <c r="F29" s="37">
        <f>IF(Keys!$C$3="", 0, IFERROR(SUMIFS(NP2023_deaths!$E:$E, NP2023_deaths!$A:$A, Keys!$C$3, NP2023_deaths!$B:$B, Keys!$B$3, NP2023_deaths!$C:$C, 2028), 0))+IF(Keys!$D$3="", 0, IFERROR(SUMIFS(NP2023_deaths!$E:$E, NP2023_deaths!$A:$A, Keys!$D$3, NP2023_deaths!$B:$B, Keys!$B$3, NP2023_deaths!$C:$C, 2028), 0))+IF(Keys!$E$3="", 0, IFERROR(SUMIFS(NP2023_deaths!$E:$E, NP2023_deaths!$A:$A, Keys!$E$3, NP2023_deaths!$B:$B, Keys!$B$3, NP2023_deaths!$C:$C, 2028), 0))+IF(Keys!$F$3="", 0, IFERROR(SUMIFS(NP2023_deaths!$E:$E, NP2023_deaths!$A:$A, Keys!$F$3, NP2023_deaths!$B:$B, Keys!$B$3, NP2023_deaths!$C:$C, 2028), 0))+IF(Keys!$G$3="", 0, IFERROR(SUMIFS(NP2023_deaths!$E:$E, NP2023_deaths!$A:$A, Keys!$G$3, NP2023_deaths!$B:$B, Keys!$B$3, NP2023_deaths!$C:$C, 2028), 0))+IF(Keys!$H$3="", 0, IFERROR(SUMIFS(NP2023_deaths!$E:$E, NP2023_deaths!$A:$A, Keys!$H$3, NP2023_deaths!$B:$B, Keys!$B$3, NP2023_deaths!$C:$C, 2028), 0))</f>
        <v>7336</v>
      </c>
      <c r="G29" s="37">
        <f>IF(Keys!$C$3="", 0, IFERROR(SUMIFS(NP2023_deaths!$E:$E, NP2023_deaths!$A:$A, Keys!$C$3, NP2023_deaths!$B:$B, Keys!$B$3, NP2023_deaths!$C:$C, 2029), 0))+IF(Keys!$D$3="", 0, IFERROR(SUMIFS(NP2023_deaths!$E:$E, NP2023_deaths!$A:$A, Keys!$D$3, NP2023_deaths!$B:$B, Keys!$B$3, NP2023_deaths!$C:$C, 2029), 0))+IF(Keys!$E$3="", 0, IFERROR(SUMIFS(NP2023_deaths!$E:$E, NP2023_deaths!$A:$A, Keys!$E$3, NP2023_deaths!$B:$B, Keys!$B$3, NP2023_deaths!$C:$C, 2029), 0))+IF(Keys!$F$3="", 0, IFERROR(SUMIFS(NP2023_deaths!$E:$E, NP2023_deaths!$A:$A, Keys!$F$3, NP2023_deaths!$B:$B, Keys!$B$3, NP2023_deaths!$C:$C, 2029), 0))+IF(Keys!$G$3="", 0, IFERROR(SUMIFS(NP2023_deaths!$E:$E, NP2023_deaths!$A:$A, Keys!$G$3, NP2023_deaths!$B:$B, Keys!$B$3, NP2023_deaths!$C:$C, 2029), 0))+IF(Keys!$H$3="", 0, IFERROR(SUMIFS(NP2023_deaths!$E:$E, NP2023_deaths!$A:$A, Keys!$H$3, NP2023_deaths!$B:$B, Keys!$B$3, NP2023_deaths!$C:$C, 2029), 0))</f>
        <v>7292</v>
      </c>
      <c r="H29" s="37">
        <f>IF(Keys!$C$3="", 0, IFERROR(SUMIFS(NP2023_deaths!$E:$E, NP2023_deaths!$A:$A, Keys!$C$3, NP2023_deaths!$B:$B, Keys!$B$3, NP2023_deaths!$C:$C, 2030), 0))+IF(Keys!$D$3="", 0, IFERROR(SUMIFS(NP2023_deaths!$E:$E, NP2023_deaths!$A:$A, Keys!$D$3, NP2023_deaths!$B:$B, Keys!$B$3, NP2023_deaths!$C:$C, 2030), 0))+IF(Keys!$E$3="", 0, IFERROR(SUMIFS(NP2023_deaths!$E:$E, NP2023_deaths!$A:$A, Keys!$E$3, NP2023_deaths!$B:$B, Keys!$B$3, NP2023_deaths!$C:$C, 2030), 0))+IF(Keys!$F$3="", 0, IFERROR(SUMIFS(NP2023_deaths!$E:$E, NP2023_deaths!$A:$A, Keys!$F$3, NP2023_deaths!$B:$B, Keys!$B$3, NP2023_deaths!$C:$C, 2030), 0))+IF(Keys!$G$3="", 0, IFERROR(SUMIFS(NP2023_deaths!$E:$E, NP2023_deaths!$A:$A, Keys!$G$3, NP2023_deaths!$B:$B, Keys!$B$3, NP2023_deaths!$C:$C, 2030), 0))+IF(Keys!$H$3="", 0, IFERROR(SUMIFS(NP2023_deaths!$E:$E, NP2023_deaths!$A:$A, Keys!$H$3, NP2023_deaths!$B:$B, Keys!$B$3, NP2023_deaths!$C:$C, 2030), 0))</f>
        <v>7247</v>
      </c>
      <c r="I29" s="37">
        <f>IF(Keys!$C$3="", 0, IFERROR(SUMIFS(NP2023_deaths!$E:$E, NP2023_deaths!$A:$A, Keys!$C$3, NP2023_deaths!$B:$B, Keys!$B$3, NP2023_deaths!$C:$C, 2031), 0))+IF(Keys!$D$3="", 0, IFERROR(SUMIFS(NP2023_deaths!$E:$E, NP2023_deaths!$A:$A, Keys!$D$3, NP2023_deaths!$B:$B, Keys!$B$3, NP2023_deaths!$C:$C, 2031), 0))+IF(Keys!$E$3="", 0, IFERROR(SUMIFS(NP2023_deaths!$E:$E, NP2023_deaths!$A:$A, Keys!$E$3, NP2023_deaths!$B:$B, Keys!$B$3, NP2023_deaths!$C:$C, 2031), 0))+IF(Keys!$F$3="", 0, IFERROR(SUMIFS(NP2023_deaths!$E:$E, NP2023_deaths!$A:$A, Keys!$F$3, NP2023_deaths!$B:$B, Keys!$B$3, NP2023_deaths!$C:$C, 2031), 0))+IF(Keys!$G$3="", 0, IFERROR(SUMIFS(NP2023_deaths!$E:$E, NP2023_deaths!$A:$A, Keys!$G$3, NP2023_deaths!$B:$B, Keys!$B$3, NP2023_deaths!$C:$C, 2031), 0))+IF(Keys!$H$3="", 0, IFERROR(SUMIFS(NP2023_deaths!$E:$E, NP2023_deaths!$A:$A, Keys!$H$3, NP2023_deaths!$B:$B, Keys!$B$3, NP2023_deaths!$C:$C, 2031), 0))</f>
        <v>7197</v>
      </c>
      <c r="J29" s="37">
        <f>IF(Keys!$C$3="", 0, IFERROR(SUMIFS(NP2023_deaths!$E:$E, NP2023_deaths!$A:$A, Keys!$C$3, NP2023_deaths!$B:$B, Keys!$B$3, NP2023_deaths!$C:$C, 2032), 0))+IF(Keys!$D$3="", 0, IFERROR(SUMIFS(NP2023_deaths!$E:$E, NP2023_deaths!$A:$A, Keys!$D$3, NP2023_deaths!$B:$B, Keys!$B$3, NP2023_deaths!$C:$C, 2032), 0))+IF(Keys!$E$3="", 0, IFERROR(SUMIFS(NP2023_deaths!$E:$E, NP2023_deaths!$A:$A, Keys!$E$3, NP2023_deaths!$B:$B, Keys!$B$3, NP2023_deaths!$C:$C, 2032), 0))+IF(Keys!$F$3="", 0, IFERROR(SUMIFS(NP2023_deaths!$E:$E, NP2023_deaths!$A:$A, Keys!$F$3, NP2023_deaths!$B:$B, Keys!$B$3, NP2023_deaths!$C:$C, 2032), 0))+IF(Keys!$G$3="", 0, IFERROR(SUMIFS(NP2023_deaths!$E:$E, NP2023_deaths!$A:$A, Keys!$G$3, NP2023_deaths!$B:$B, Keys!$B$3, NP2023_deaths!$C:$C, 2032), 0))+IF(Keys!$H$3="", 0, IFERROR(SUMIFS(NP2023_deaths!$E:$E, NP2023_deaths!$A:$A, Keys!$H$3, NP2023_deaths!$B:$B, Keys!$B$3, NP2023_deaths!$C:$C, 2032), 0))</f>
        <v>7150</v>
      </c>
      <c r="K29" s="37">
        <f>IF(Keys!$C$3="", 0, IFERROR(SUMIFS(NP2023_deaths!$E:$E, NP2023_deaths!$A:$A, Keys!$C$3, NP2023_deaths!$B:$B, Keys!$B$3, NP2023_deaths!$C:$C, 2033), 0))+IF(Keys!$D$3="", 0, IFERROR(SUMIFS(NP2023_deaths!$E:$E, NP2023_deaths!$A:$A, Keys!$D$3, NP2023_deaths!$B:$B, Keys!$B$3, NP2023_deaths!$C:$C, 2033), 0))+IF(Keys!$E$3="", 0, IFERROR(SUMIFS(NP2023_deaths!$E:$E, NP2023_deaths!$A:$A, Keys!$E$3, NP2023_deaths!$B:$B, Keys!$B$3, NP2023_deaths!$C:$C, 2033), 0))+IF(Keys!$F$3="", 0, IFERROR(SUMIFS(NP2023_deaths!$E:$E, NP2023_deaths!$A:$A, Keys!$F$3, NP2023_deaths!$B:$B, Keys!$B$3, NP2023_deaths!$C:$C, 2033), 0))+IF(Keys!$G$3="", 0, IFERROR(SUMIFS(NP2023_deaths!$E:$E, NP2023_deaths!$A:$A, Keys!$G$3, NP2023_deaths!$B:$B, Keys!$B$3, NP2023_deaths!$C:$C, 2033), 0))+IF(Keys!$H$3="", 0, IFERROR(SUMIFS(NP2023_deaths!$E:$E, NP2023_deaths!$A:$A, Keys!$H$3, NP2023_deaths!$B:$B, Keys!$B$3, NP2023_deaths!$C:$C, 2033), 0))</f>
        <v>7097</v>
      </c>
      <c r="L29" s="37">
        <f>IF(Keys!$C$3="", 0, IFERROR(SUMIFS(NP2023_deaths!$E:$E, NP2023_deaths!$A:$A, Keys!$C$3, NP2023_deaths!$B:$B, Keys!$B$3, NP2023_deaths!$C:$C, 2034), 0))+IF(Keys!$D$3="", 0, IFERROR(SUMIFS(NP2023_deaths!$E:$E, NP2023_deaths!$A:$A, Keys!$D$3, NP2023_deaths!$B:$B, Keys!$B$3, NP2023_deaths!$C:$C, 2034), 0))+IF(Keys!$E$3="", 0, IFERROR(SUMIFS(NP2023_deaths!$E:$E, NP2023_deaths!$A:$A, Keys!$E$3, NP2023_deaths!$B:$B, Keys!$B$3, NP2023_deaths!$C:$C, 2034), 0))+IF(Keys!$F$3="", 0, IFERROR(SUMIFS(NP2023_deaths!$E:$E, NP2023_deaths!$A:$A, Keys!$F$3, NP2023_deaths!$B:$B, Keys!$B$3, NP2023_deaths!$C:$C, 2034), 0))+IF(Keys!$G$3="", 0, IFERROR(SUMIFS(NP2023_deaths!$E:$E, NP2023_deaths!$A:$A, Keys!$G$3, NP2023_deaths!$B:$B, Keys!$B$3, NP2023_deaths!$C:$C, 2034), 0))+IF(Keys!$H$3="", 0, IFERROR(SUMIFS(NP2023_deaths!$E:$E, NP2023_deaths!$A:$A, Keys!$H$3, NP2023_deaths!$B:$B, Keys!$B$3, NP2023_deaths!$C:$C, 2034), 0))</f>
        <v>7046</v>
      </c>
      <c r="M29" s="37">
        <f>IF(Keys!$C$3="", 0, IFERROR(SUMIFS(NP2023_deaths!$E:$E, NP2023_deaths!$A:$A, Keys!$C$3, NP2023_deaths!$B:$B, Keys!$B$3, NP2023_deaths!$C:$C, 2035), 0))+IF(Keys!$D$3="", 0, IFERROR(SUMIFS(NP2023_deaths!$E:$E, NP2023_deaths!$A:$A, Keys!$D$3, NP2023_deaths!$B:$B, Keys!$B$3, NP2023_deaths!$C:$C, 2035), 0))+IF(Keys!$E$3="", 0, IFERROR(SUMIFS(NP2023_deaths!$E:$E, NP2023_deaths!$A:$A, Keys!$E$3, NP2023_deaths!$B:$B, Keys!$B$3, NP2023_deaths!$C:$C, 2035), 0))+IF(Keys!$F$3="", 0, IFERROR(SUMIFS(NP2023_deaths!$E:$E, NP2023_deaths!$A:$A, Keys!$F$3, NP2023_deaths!$B:$B, Keys!$B$3, NP2023_deaths!$C:$C, 2035), 0))+IF(Keys!$G$3="", 0, IFERROR(SUMIFS(NP2023_deaths!$E:$E, NP2023_deaths!$A:$A, Keys!$G$3, NP2023_deaths!$B:$B, Keys!$B$3, NP2023_deaths!$C:$C, 2035), 0))+IF(Keys!$H$3="", 0, IFERROR(SUMIFS(NP2023_deaths!$E:$E, NP2023_deaths!$A:$A, Keys!$H$3, NP2023_deaths!$B:$B, Keys!$B$3, NP2023_deaths!$C:$C, 2035), 0))</f>
        <v>6989</v>
      </c>
      <c r="N29" s="37">
        <f>IF(Keys!$C$3="", 0, IFERROR(SUMIFS(NP2023_deaths!$E:$E, NP2023_deaths!$A:$A, Keys!$C$3, NP2023_deaths!$B:$B, Keys!$B$3, NP2023_deaths!$C:$C, 2036), 0))+IF(Keys!$D$3="", 0, IFERROR(SUMIFS(NP2023_deaths!$E:$E, NP2023_deaths!$A:$A, Keys!$D$3, NP2023_deaths!$B:$B, Keys!$B$3, NP2023_deaths!$C:$C, 2036), 0))+IF(Keys!$E$3="", 0, IFERROR(SUMIFS(NP2023_deaths!$E:$E, NP2023_deaths!$A:$A, Keys!$E$3, NP2023_deaths!$B:$B, Keys!$B$3, NP2023_deaths!$C:$C, 2036), 0))+IF(Keys!$F$3="", 0, IFERROR(SUMIFS(NP2023_deaths!$E:$E, NP2023_deaths!$A:$A, Keys!$F$3, NP2023_deaths!$B:$B, Keys!$B$3, NP2023_deaths!$C:$C, 2036), 0))+IF(Keys!$G$3="", 0, IFERROR(SUMIFS(NP2023_deaths!$E:$E, NP2023_deaths!$A:$A, Keys!$G$3, NP2023_deaths!$B:$B, Keys!$B$3, NP2023_deaths!$C:$C, 2036), 0))+IF(Keys!$H$3="", 0, IFERROR(SUMIFS(NP2023_deaths!$E:$E, NP2023_deaths!$A:$A, Keys!$H$3, NP2023_deaths!$B:$B, Keys!$B$3, NP2023_deaths!$C:$C, 2036), 0))</f>
        <v>6927</v>
      </c>
      <c r="O29" s="37">
        <f>IF(Keys!$C$3="", 0, IFERROR(SUMIFS(NP2023_deaths!$E:$E, NP2023_deaths!$A:$A, Keys!$C$3, NP2023_deaths!$B:$B, Keys!$B$3, NP2023_deaths!$C:$C, 2037), 0))+IF(Keys!$D$3="", 0, IFERROR(SUMIFS(NP2023_deaths!$E:$E, NP2023_deaths!$A:$A, Keys!$D$3, NP2023_deaths!$B:$B, Keys!$B$3, NP2023_deaths!$C:$C, 2037), 0))+IF(Keys!$E$3="", 0, IFERROR(SUMIFS(NP2023_deaths!$E:$E, NP2023_deaths!$A:$A, Keys!$E$3, NP2023_deaths!$B:$B, Keys!$B$3, NP2023_deaths!$C:$C, 2037), 0))+IF(Keys!$F$3="", 0, IFERROR(SUMIFS(NP2023_deaths!$E:$E, NP2023_deaths!$A:$A, Keys!$F$3, NP2023_deaths!$B:$B, Keys!$B$3, NP2023_deaths!$C:$C, 2037), 0))+IF(Keys!$G$3="", 0, IFERROR(SUMIFS(NP2023_deaths!$E:$E, NP2023_deaths!$A:$A, Keys!$G$3, NP2023_deaths!$B:$B, Keys!$B$3, NP2023_deaths!$C:$C, 2037), 0))+IF(Keys!$H$3="", 0, IFERROR(SUMIFS(NP2023_deaths!$E:$E, NP2023_deaths!$A:$A, Keys!$H$3, NP2023_deaths!$B:$B, Keys!$B$3, NP2023_deaths!$C:$C, 2037), 0))</f>
        <v>6870</v>
      </c>
      <c r="P29" s="37">
        <f>IF(Keys!$C$3="", 0, IFERROR(SUMIFS(NP2023_deaths!$E:$E, NP2023_deaths!$A:$A, Keys!$C$3, NP2023_deaths!$B:$B, Keys!$B$3, NP2023_deaths!$C:$C, 2038), 0))+IF(Keys!$D$3="", 0, IFERROR(SUMIFS(NP2023_deaths!$E:$E, NP2023_deaths!$A:$A, Keys!$D$3, NP2023_deaths!$B:$B, Keys!$B$3, NP2023_deaths!$C:$C, 2038), 0))+IF(Keys!$E$3="", 0, IFERROR(SUMIFS(NP2023_deaths!$E:$E, NP2023_deaths!$A:$A, Keys!$E$3, NP2023_deaths!$B:$B, Keys!$B$3, NP2023_deaths!$C:$C, 2038), 0))+IF(Keys!$F$3="", 0, IFERROR(SUMIFS(NP2023_deaths!$E:$E, NP2023_deaths!$A:$A, Keys!$F$3, NP2023_deaths!$B:$B, Keys!$B$3, NP2023_deaths!$C:$C, 2038), 0))+IF(Keys!$G$3="", 0, IFERROR(SUMIFS(NP2023_deaths!$E:$E, NP2023_deaths!$A:$A, Keys!$G$3, NP2023_deaths!$B:$B, Keys!$B$3, NP2023_deaths!$C:$C, 2038), 0))+IF(Keys!$H$3="", 0, IFERROR(SUMIFS(NP2023_deaths!$E:$E, NP2023_deaths!$A:$A, Keys!$H$3, NP2023_deaths!$B:$B, Keys!$B$3, NP2023_deaths!$C:$C, 2038), 0))</f>
        <v>6803</v>
      </c>
      <c r="Q29" s="37">
        <f>IF(Keys!$C$3="", 0, IFERROR(SUMIFS(NP2023_deaths!$E:$E, NP2023_deaths!$A:$A, Keys!$C$3, NP2023_deaths!$B:$B, Keys!$B$3, NP2023_deaths!$C:$C, 2039), 0))+IF(Keys!$D$3="", 0, IFERROR(SUMIFS(NP2023_deaths!$E:$E, NP2023_deaths!$A:$A, Keys!$D$3, NP2023_deaths!$B:$B, Keys!$B$3, NP2023_deaths!$C:$C, 2039), 0))+IF(Keys!$E$3="", 0, IFERROR(SUMIFS(NP2023_deaths!$E:$E, NP2023_deaths!$A:$A, Keys!$E$3, NP2023_deaths!$B:$B, Keys!$B$3, NP2023_deaths!$C:$C, 2039), 0))+IF(Keys!$F$3="", 0, IFERROR(SUMIFS(NP2023_deaths!$E:$E, NP2023_deaths!$A:$A, Keys!$F$3, NP2023_deaths!$B:$B, Keys!$B$3, NP2023_deaths!$C:$C, 2039), 0))+IF(Keys!$G$3="", 0, IFERROR(SUMIFS(NP2023_deaths!$E:$E, NP2023_deaths!$A:$A, Keys!$G$3, NP2023_deaths!$B:$B, Keys!$B$3, NP2023_deaths!$C:$C, 2039), 0))+IF(Keys!$H$3="", 0, IFERROR(SUMIFS(NP2023_deaths!$E:$E, NP2023_deaths!$A:$A, Keys!$H$3, NP2023_deaths!$B:$B, Keys!$B$3, NP2023_deaths!$C:$C, 2039), 0))</f>
        <v>6738</v>
      </c>
      <c r="R29" s="37">
        <f>IF(Keys!$C$3="", 0, IFERROR(SUMIFS(NP2023_deaths!$E:$E, NP2023_deaths!$A:$A, Keys!$C$3, NP2023_deaths!$B:$B, Keys!$B$3, NP2023_deaths!$C:$C, 2040), 0))+IF(Keys!$D$3="", 0, IFERROR(SUMIFS(NP2023_deaths!$E:$E, NP2023_deaths!$A:$A, Keys!$D$3, NP2023_deaths!$B:$B, Keys!$B$3, NP2023_deaths!$C:$C, 2040), 0))+IF(Keys!$E$3="", 0, IFERROR(SUMIFS(NP2023_deaths!$E:$E, NP2023_deaths!$A:$A, Keys!$E$3, NP2023_deaths!$B:$B, Keys!$B$3, NP2023_deaths!$C:$C, 2040), 0))+IF(Keys!$F$3="", 0, IFERROR(SUMIFS(NP2023_deaths!$E:$E, NP2023_deaths!$A:$A, Keys!$F$3, NP2023_deaths!$B:$B, Keys!$B$3, NP2023_deaths!$C:$C, 2040), 0))+IF(Keys!$G$3="", 0, IFERROR(SUMIFS(NP2023_deaths!$E:$E, NP2023_deaths!$A:$A, Keys!$G$3, NP2023_deaths!$B:$B, Keys!$B$3, NP2023_deaths!$C:$C, 2040), 0))+IF(Keys!$H$3="", 0, IFERROR(SUMIFS(NP2023_deaths!$E:$E, NP2023_deaths!$A:$A, Keys!$H$3, NP2023_deaths!$B:$B, Keys!$B$3, NP2023_deaths!$C:$C, 2040), 0))</f>
        <v>6668</v>
      </c>
      <c r="S29" s="37">
        <f>IF(Keys!$C$3="", 0, IFERROR(SUMIFS(NP2023_deaths!$E:$E, NP2023_deaths!$A:$A, Keys!$C$3, NP2023_deaths!$B:$B, Keys!$B$3, NP2023_deaths!$C:$C, 2041), 0))+IF(Keys!$D$3="", 0, IFERROR(SUMIFS(NP2023_deaths!$E:$E, NP2023_deaths!$A:$A, Keys!$D$3, NP2023_deaths!$B:$B, Keys!$B$3, NP2023_deaths!$C:$C, 2041), 0))+IF(Keys!$E$3="", 0, IFERROR(SUMIFS(NP2023_deaths!$E:$E, NP2023_deaths!$A:$A, Keys!$E$3, NP2023_deaths!$B:$B, Keys!$B$3, NP2023_deaths!$C:$C, 2041), 0))+IF(Keys!$F$3="", 0, IFERROR(SUMIFS(NP2023_deaths!$E:$E, NP2023_deaths!$A:$A, Keys!$F$3, NP2023_deaths!$B:$B, Keys!$B$3, NP2023_deaths!$C:$C, 2041), 0))+IF(Keys!$G$3="", 0, IFERROR(SUMIFS(NP2023_deaths!$E:$E, NP2023_deaths!$A:$A, Keys!$G$3, NP2023_deaths!$B:$B, Keys!$B$3, NP2023_deaths!$C:$C, 2041), 0))+IF(Keys!$H$3="", 0, IFERROR(SUMIFS(NP2023_deaths!$E:$E, NP2023_deaths!$A:$A, Keys!$H$3, NP2023_deaths!$B:$B, Keys!$B$3, NP2023_deaths!$C:$C, 2041), 0))</f>
        <v>6598</v>
      </c>
      <c r="T29" s="37">
        <f>IF(Keys!$C$3="", 0, IFERROR(SUMIFS(NP2023_deaths!$E:$E, NP2023_deaths!$A:$A, Keys!$C$3, NP2023_deaths!$B:$B, Keys!$B$3, NP2023_deaths!$C:$C, 2042), 0))+IF(Keys!$D$3="", 0, IFERROR(SUMIFS(NP2023_deaths!$E:$E, NP2023_deaths!$A:$A, Keys!$D$3, NP2023_deaths!$B:$B, Keys!$B$3, NP2023_deaths!$C:$C, 2042), 0))+IF(Keys!$E$3="", 0, IFERROR(SUMIFS(NP2023_deaths!$E:$E, NP2023_deaths!$A:$A, Keys!$E$3, NP2023_deaths!$B:$B, Keys!$B$3, NP2023_deaths!$C:$C, 2042), 0))+IF(Keys!$F$3="", 0, IFERROR(SUMIFS(NP2023_deaths!$E:$E, NP2023_deaths!$A:$A, Keys!$F$3, NP2023_deaths!$B:$B, Keys!$B$3, NP2023_deaths!$C:$C, 2042), 0))+IF(Keys!$G$3="", 0, IFERROR(SUMIFS(NP2023_deaths!$E:$E, NP2023_deaths!$A:$A, Keys!$G$3, NP2023_deaths!$B:$B, Keys!$B$3, NP2023_deaths!$C:$C, 2042), 0))+IF(Keys!$H$3="", 0, IFERROR(SUMIFS(NP2023_deaths!$E:$E, NP2023_deaths!$A:$A, Keys!$H$3, NP2023_deaths!$B:$B, Keys!$B$3, NP2023_deaths!$C:$C, 2042), 0))</f>
        <v>6526</v>
      </c>
      <c r="U29" s="37">
        <f>IF(Keys!$C$3="", 0, IFERROR(SUMIFS(NP2023_deaths!$E:$E, NP2023_deaths!$A:$A, Keys!$C$3, NP2023_deaths!$B:$B, Keys!$B$3, NP2023_deaths!$C:$C, 2043), 0))+IF(Keys!$D$3="", 0, IFERROR(SUMIFS(NP2023_deaths!$E:$E, NP2023_deaths!$A:$A, Keys!$D$3, NP2023_deaths!$B:$B, Keys!$B$3, NP2023_deaths!$C:$C, 2043), 0))+IF(Keys!$E$3="", 0, IFERROR(SUMIFS(NP2023_deaths!$E:$E, NP2023_deaths!$A:$A, Keys!$E$3, NP2023_deaths!$B:$B, Keys!$B$3, NP2023_deaths!$C:$C, 2043), 0))+IF(Keys!$F$3="", 0, IFERROR(SUMIFS(NP2023_deaths!$E:$E, NP2023_deaths!$A:$A, Keys!$F$3, NP2023_deaths!$B:$B, Keys!$B$3, NP2023_deaths!$C:$C, 2043), 0))+IF(Keys!$G$3="", 0, IFERROR(SUMIFS(NP2023_deaths!$E:$E, NP2023_deaths!$A:$A, Keys!$G$3, NP2023_deaths!$B:$B, Keys!$B$3, NP2023_deaths!$C:$C, 2043), 0))+IF(Keys!$H$3="", 0, IFERROR(SUMIFS(NP2023_deaths!$E:$E, NP2023_deaths!$A:$A, Keys!$H$3, NP2023_deaths!$B:$B, Keys!$B$3, NP2023_deaths!$C:$C, 2043), 0))</f>
        <v>6454</v>
      </c>
      <c r="V29" s="37">
        <f>IF(Keys!$C$3="", 0, IFERROR(SUMIFS(NP2023_deaths!$E:$E, NP2023_deaths!$A:$A, Keys!$C$3, NP2023_deaths!$B:$B, Keys!$B$3, NP2023_deaths!$C:$C, 2044), 0))+IF(Keys!$D$3="", 0, IFERROR(SUMIFS(NP2023_deaths!$E:$E, NP2023_deaths!$A:$A, Keys!$D$3, NP2023_deaths!$B:$B, Keys!$B$3, NP2023_deaths!$C:$C, 2044), 0))+IF(Keys!$E$3="", 0, IFERROR(SUMIFS(NP2023_deaths!$E:$E, NP2023_deaths!$A:$A, Keys!$E$3, NP2023_deaths!$B:$B, Keys!$B$3, NP2023_deaths!$C:$C, 2044), 0))+IF(Keys!$F$3="", 0, IFERROR(SUMIFS(NP2023_deaths!$E:$E, NP2023_deaths!$A:$A, Keys!$F$3, NP2023_deaths!$B:$B, Keys!$B$3, NP2023_deaths!$C:$C, 2044), 0))+IF(Keys!$G$3="", 0, IFERROR(SUMIFS(NP2023_deaths!$E:$E, NP2023_deaths!$A:$A, Keys!$G$3, NP2023_deaths!$B:$B, Keys!$B$3, NP2023_deaths!$C:$C, 2044), 0))+IF(Keys!$H$3="", 0, IFERROR(SUMIFS(NP2023_deaths!$E:$E, NP2023_deaths!$A:$A, Keys!$H$3, NP2023_deaths!$B:$B, Keys!$B$3, NP2023_deaths!$C:$C, 2044), 0))</f>
        <v>6384</v>
      </c>
      <c r="W29" s="37">
        <f>IF(Keys!$C$3="", 0, IFERROR(SUMIFS(NP2023_deaths!$E:$E, NP2023_deaths!$A:$A, Keys!$C$3, NP2023_deaths!$B:$B, Keys!$B$3, NP2023_deaths!$C:$C, 2045), 0))+IF(Keys!$D$3="", 0, IFERROR(SUMIFS(NP2023_deaths!$E:$E, NP2023_deaths!$A:$A, Keys!$D$3, NP2023_deaths!$B:$B, Keys!$B$3, NP2023_deaths!$C:$C, 2045), 0))+IF(Keys!$E$3="", 0, IFERROR(SUMIFS(NP2023_deaths!$E:$E, NP2023_deaths!$A:$A, Keys!$E$3, NP2023_deaths!$B:$B, Keys!$B$3, NP2023_deaths!$C:$C, 2045), 0))+IF(Keys!$F$3="", 0, IFERROR(SUMIFS(NP2023_deaths!$E:$E, NP2023_deaths!$A:$A, Keys!$F$3, NP2023_deaths!$B:$B, Keys!$B$3, NP2023_deaths!$C:$C, 2045), 0))+IF(Keys!$G$3="", 0, IFERROR(SUMIFS(NP2023_deaths!$E:$E, NP2023_deaths!$A:$A, Keys!$G$3, NP2023_deaths!$B:$B, Keys!$B$3, NP2023_deaths!$C:$C, 2045), 0))+IF(Keys!$H$3="", 0, IFERROR(SUMIFS(NP2023_deaths!$E:$E, NP2023_deaths!$A:$A, Keys!$H$3, NP2023_deaths!$B:$B, Keys!$B$3, NP2023_deaths!$C:$C, 2045), 0))</f>
        <v>6315</v>
      </c>
      <c r="X29" s="37">
        <f>IF(Keys!$C$3="", 0, IFERROR(SUMIFS(NP2023_deaths!$E:$E, NP2023_deaths!$A:$A, Keys!$C$3, NP2023_deaths!$B:$B, Keys!$B$3, NP2023_deaths!$C:$C, 2046), 0))+IF(Keys!$D$3="", 0, IFERROR(SUMIFS(NP2023_deaths!$E:$E, NP2023_deaths!$A:$A, Keys!$D$3, NP2023_deaths!$B:$B, Keys!$B$3, NP2023_deaths!$C:$C, 2046), 0))+IF(Keys!$E$3="", 0, IFERROR(SUMIFS(NP2023_deaths!$E:$E, NP2023_deaths!$A:$A, Keys!$E$3, NP2023_deaths!$B:$B, Keys!$B$3, NP2023_deaths!$C:$C, 2046), 0))+IF(Keys!$F$3="", 0, IFERROR(SUMIFS(NP2023_deaths!$E:$E, NP2023_deaths!$A:$A, Keys!$F$3, NP2023_deaths!$B:$B, Keys!$B$3, NP2023_deaths!$C:$C, 2046), 0))+IF(Keys!$G$3="", 0, IFERROR(SUMIFS(NP2023_deaths!$E:$E, NP2023_deaths!$A:$A, Keys!$G$3, NP2023_deaths!$B:$B, Keys!$B$3, NP2023_deaths!$C:$C, 2046), 0))+IF(Keys!$H$3="", 0, IFERROR(SUMIFS(NP2023_deaths!$E:$E, NP2023_deaths!$A:$A, Keys!$H$3, NP2023_deaths!$B:$B, Keys!$B$3, NP2023_deaths!$C:$C, 2046), 0))</f>
        <v>6245</v>
      </c>
      <c r="Y29" s="37">
        <f>IF(Keys!$C$3="", 0, IFERROR(SUMIFS(NP2023_deaths!$E:$E, NP2023_deaths!$A:$A, Keys!$C$3, NP2023_deaths!$B:$B, Keys!$B$3, NP2023_deaths!$C:$C, 2047), 0))+IF(Keys!$D$3="", 0, IFERROR(SUMIFS(NP2023_deaths!$E:$E, NP2023_deaths!$A:$A, Keys!$D$3, NP2023_deaths!$B:$B, Keys!$B$3, NP2023_deaths!$C:$C, 2047), 0))+IF(Keys!$E$3="", 0, IFERROR(SUMIFS(NP2023_deaths!$E:$E, NP2023_deaths!$A:$A, Keys!$E$3, NP2023_deaths!$B:$B, Keys!$B$3, NP2023_deaths!$C:$C, 2047), 0))+IF(Keys!$F$3="", 0, IFERROR(SUMIFS(NP2023_deaths!$E:$E, NP2023_deaths!$A:$A, Keys!$F$3, NP2023_deaths!$B:$B, Keys!$B$3, NP2023_deaths!$C:$C, 2047), 0))+IF(Keys!$G$3="", 0, IFERROR(SUMIFS(NP2023_deaths!$E:$E, NP2023_deaths!$A:$A, Keys!$G$3, NP2023_deaths!$B:$B, Keys!$B$3, NP2023_deaths!$C:$C, 2047), 0))+IF(Keys!$H$3="", 0, IFERROR(SUMIFS(NP2023_deaths!$E:$E, NP2023_deaths!$A:$A, Keys!$H$3, NP2023_deaths!$B:$B, Keys!$B$3, NP2023_deaths!$C:$C, 2047), 0))</f>
        <v>6179</v>
      </c>
      <c r="Z29" s="37">
        <f>IF(Keys!$C$3="", 0, IFERROR(SUMIFS(NP2023_deaths!$E:$E, NP2023_deaths!$A:$A, Keys!$C$3, NP2023_deaths!$B:$B, Keys!$B$3, NP2023_deaths!$C:$C, 2048), 0))+IF(Keys!$D$3="", 0, IFERROR(SUMIFS(NP2023_deaths!$E:$E, NP2023_deaths!$A:$A, Keys!$D$3, NP2023_deaths!$B:$B, Keys!$B$3, NP2023_deaths!$C:$C, 2048), 0))+IF(Keys!$E$3="", 0, IFERROR(SUMIFS(NP2023_deaths!$E:$E, NP2023_deaths!$A:$A, Keys!$E$3, NP2023_deaths!$B:$B, Keys!$B$3, NP2023_deaths!$C:$C, 2048), 0))+IF(Keys!$F$3="", 0, IFERROR(SUMIFS(NP2023_deaths!$E:$E, NP2023_deaths!$A:$A, Keys!$F$3, NP2023_deaths!$B:$B, Keys!$B$3, NP2023_deaths!$C:$C, 2048), 0))+IF(Keys!$G$3="", 0, IFERROR(SUMIFS(NP2023_deaths!$E:$E, NP2023_deaths!$A:$A, Keys!$G$3, NP2023_deaths!$B:$B, Keys!$B$3, NP2023_deaths!$C:$C, 2048), 0))+IF(Keys!$H$3="", 0, IFERROR(SUMIFS(NP2023_deaths!$E:$E, NP2023_deaths!$A:$A, Keys!$H$3, NP2023_deaths!$B:$B, Keys!$B$3, NP2023_deaths!$C:$C, 2048), 0))</f>
        <v>6112</v>
      </c>
      <c r="AA29" s="37">
        <f>IF(Keys!$C$3="", 0, IFERROR(SUMIFS(NP2023_deaths!$E:$E, NP2023_deaths!$A:$A, Keys!$C$3, NP2023_deaths!$B:$B, Keys!$B$3, NP2023_deaths!$C:$C, 2049), 0))+IF(Keys!$D$3="", 0, IFERROR(SUMIFS(NP2023_deaths!$E:$E, NP2023_deaths!$A:$A, Keys!$D$3, NP2023_deaths!$B:$B, Keys!$B$3, NP2023_deaths!$C:$C, 2049), 0))+IF(Keys!$E$3="", 0, IFERROR(SUMIFS(NP2023_deaths!$E:$E, NP2023_deaths!$A:$A, Keys!$E$3, NP2023_deaths!$B:$B, Keys!$B$3, NP2023_deaths!$C:$C, 2049), 0))+IF(Keys!$F$3="", 0, IFERROR(SUMIFS(NP2023_deaths!$E:$E, NP2023_deaths!$A:$A, Keys!$F$3, NP2023_deaths!$B:$B, Keys!$B$3, NP2023_deaths!$C:$C, 2049), 0))+IF(Keys!$G$3="", 0, IFERROR(SUMIFS(NP2023_deaths!$E:$E, NP2023_deaths!$A:$A, Keys!$G$3, NP2023_deaths!$B:$B, Keys!$B$3, NP2023_deaths!$C:$C, 2049), 0))+IF(Keys!$H$3="", 0, IFERROR(SUMIFS(NP2023_deaths!$E:$E, NP2023_deaths!$A:$A, Keys!$H$3, NP2023_deaths!$B:$B, Keys!$B$3, NP2023_deaths!$C:$C, 2049), 0))</f>
        <v>6048</v>
      </c>
      <c r="AB29" s="37">
        <f>IF(Keys!$C$3="", 0, IFERROR(SUMIFS(NP2023_deaths!$E:$E, NP2023_deaths!$A:$A, Keys!$C$3, NP2023_deaths!$B:$B, Keys!$B$3, NP2023_deaths!$C:$C, 2050), 0))+IF(Keys!$D$3="", 0, IFERROR(SUMIFS(NP2023_deaths!$E:$E, NP2023_deaths!$A:$A, Keys!$D$3, NP2023_deaths!$B:$B, Keys!$B$3, NP2023_deaths!$C:$C, 2050), 0))+IF(Keys!$E$3="", 0, IFERROR(SUMIFS(NP2023_deaths!$E:$E, NP2023_deaths!$A:$A, Keys!$E$3, NP2023_deaths!$B:$B, Keys!$B$3, NP2023_deaths!$C:$C, 2050), 0))+IF(Keys!$F$3="", 0, IFERROR(SUMIFS(NP2023_deaths!$E:$E, NP2023_deaths!$A:$A, Keys!$F$3, NP2023_deaths!$B:$B, Keys!$B$3, NP2023_deaths!$C:$C, 2050), 0))+IF(Keys!$G$3="", 0, IFERROR(SUMIFS(NP2023_deaths!$E:$E, NP2023_deaths!$A:$A, Keys!$G$3, NP2023_deaths!$B:$B, Keys!$B$3, NP2023_deaths!$C:$C, 2050), 0))+IF(Keys!$H$3="", 0, IFERROR(SUMIFS(NP2023_deaths!$E:$E, NP2023_deaths!$A:$A, Keys!$H$3, NP2023_deaths!$B:$B, Keys!$B$3, NP2023_deaths!$C:$C, 2050), 0))</f>
        <v>5990</v>
      </c>
    </row>
    <row r="30" spans="1:28" x14ac:dyDescent="0.25">
      <c r="A30" s="4" t="s">
        <v>217</v>
      </c>
      <c r="B30" s="37">
        <f>IF(Keys!$C$4="", 0, IFERROR(SUMIFS(NP2023_deaths!$E:$E, NP2023_deaths!$A:$A, Keys!$C$4, NP2023_deaths!$B:$B, Keys!$B$4, NP2023_deaths!$C:$C, 2024), 0))+IF(Keys!$D$4="", 0, IFERROR(SUMIFS(NP2023_deaths!$E:$E, NP2023_deaths!$A:$A, Keys!$D$4, NP2023_deaths!$B:$B, Keys!$B$4, NP2023_deaths!$C:$C, 2024), 0))+IF(Keys!$E$4="", 0, IFERROR(SUMIFS(NP2023_deaths!$E:$E, NP2023_deaths!$A:$A, Keys!$E$4, NP2023_deaths!$B:$B, Keys!$B$4, NP2023_deaths!$C:$C, 2024), 0))+IF(Keys!$F$4="", 0, IFERROR(SUMIFS(NP2023_deaths!$E:$E, NP2023_deaths!$A:$A, Keys!$F$4, NP2023_deaths!$B:$B, Keys!$B$4, NP2023_deaths!$C:$C, 2024), 0))+IF(Keys!$G$4="", 0, IFERROR(SUMIFS(NP2023_deaths!$E:$E, NP2023_deaths!$A:$A, Keys!$G$4, NP2023_deaths!$B:$B, Keys!$B$4, NP2023_deaths!$C:$C, 2024), 0))+IF(Keys!$H$4="", 0, IFERROR(SUMIFS(NP2023_deaths!$E:$E, NP2023_deaths!$A:$A, Keys!$H$4, NP2023_deaths!$B:$B, Keys!$B$4, NP2023_deaths!$C:$C, 2024), 0))</f>
        <v>9858</v>
      </c>
      <c r="C30" s="37">
        <f>IF(Keys!$C$4="", 0, IFERROR(SUMIFS(NP2023_deaths!$E:$E, NP2023_deaths!$A:$A, Keys!$C$4, NP2023_deaths!$B:$B, Keys!$B$4, NP2023_deaths!$C:$C, 2025), 0))+IF(Keys!$D$4="", 0, IFERROR(SUMIFS(NP2023_deaths!$E:$E, NP2023_deaths!$A:$A, Keys!$D$4, NP2023_deaths!$B:$B, Keys!$B$4, NP2023_deaths!$C:$C, 2025), 0))+IF(Keys!$E$4="", 0, IFERROR(SUMIFS(NP2023_deaths!$E:$E, NP2023_deaths!$A:$A, Keys!$E$4, NP2023_deaths!$B:$B, Keys!$B$4, NP2023_deaths!$C:$C, 2025), 0))+IF(Keys!$F$4="", 0, IFERROR(SUMIFS(NP2023_deaths!$E:$E, NP2023_deaths!$A:$A, Keys!$F$4, NP2023_deaths!$B:$B, Keys!$B$4, NP2023_deaths!$C:$C, 2025), 0))+IF(Keys!$G$4="", 0, IFERROR(SUMIFS(NP2023_deaths!$E:$E, NP2023_deaths!$A:$A, Keys!$G$4, NP2023_deaths!$B:$B, Keys!$B$4, NP2023_deaths!$C:$C, 2025), 0))+IF(Keys!$H$4="", 0, IFERROR(SUMIFS(NP2023_deaths!$E:$E, NP2023_deaths!$A:$A, Keys!$H$4, NP2023_deaths!$B:$B, Keys!$B$4, NP2023_deaths!$C:$C, 2025), 0))</f>
        <v>9793</v>
      </c>
      <c r="D30" s="37">
        <f>IF(Keys!$C$4="", 0, IFERROR(SUMIFS(NP2023_deaths!$E:$E, NP2023_deaths!$A:$A, Keys!$C$4, NP2023_deaths!$B:$B, Keys!$B$4, NP2023_deaths!$C:$C, 2026), 0))+IF(Keys!$D$4="", 0, IFERROR(SUMIFS(NP2023_deaths!$E:$E, NP2023_deaths!$A:$A, Keys!$D$4, NP2023_deaths!$B:$B, Keys!$B$4, NP2023_deaths!$C:$C, 2026), 0))+IF(Keys!$E$4="", 0, IFERROR(SUMIFS(NP2023_deaths!$E:$E, NP2023_deaths!$A:$A, Keys!$E$4, NP2023_deaths!$B:$B, Keys!$B$4, NP2023_deaths!$C:$C, 2026), 0))+IF(Keys!$F$4="", 0, IFERROR(SUMIFS(NP2023_deaths!$E:$E, NP2023_deaths!$A:$A, Keys!$F$4, NP2023_deaths!$B:$B, Keys!$B$4, NP2023_deaths!$C:$C, 2026), 0))+IF(Keys!$G$4="", 0, IFERROR(SUMIFS(NP2023_deaths!$E:$E, NP2023_deaths!$A:$A, Keys!$G$4, NP2023_deaths!$B:$B, Keys!$B$4, NP2023_deaths!$C:$C, 2026), 0))+IF(Keys!$H$4="", 0, IFERROR(SUMIFS(NP2023_deaths!$E:$E, NP2023_deaths!$A:$A, Keys!$H$4, NP2023_deaths!$B:$B, Keys!$B$4, NP2023_deaths!$C:$C, 2026), 0))</f>
        <v>9729</v>
      </c>
      <c r="E30" s="37">
        <f>IF(Keys!$C$4="", 0, IFERROR(SUMIFS(NP2023_deaths!$E:$E, NP2023_deaths!$A:$A, Keys!$C$4, NP2023_deaths!$B:$B, Keys!$B$4, NP2023_deaths!$C:$C, 2027), 0))+IF(Keys!$D$4="", 0, IFERROR(SUMIFS(NP2023_deaths!$E:$E, NP2023_deaths!$A:$A, Keys!$D$4, NP2023_deaths!$B:$B, Keys!$B$4, NP2023_deaths!$C:$C, 2027), 0))+IF(Keys!$E$4="", 0, IFERROR(SUMIFS(NP2023_deaths!$E:$E, NP2023_deaths!$A:$A, Keys!$E$4, NP2023_deaths!$B:$B, Keys!$B$4, NP2023_deaths!$C:$C, 2027), 0))+IF(Keys!$F$4="", 0, IFERROR(SUMIFS(NP2023_deaths!$E:$E, NP2023_deaths!$A:$A, Keys!$F$4, NP2023_deaths!$B:$B, Keys!$B$4, NP2023_deaths!$C:$C, 2027), 0))+IF(Keys!$G$4="", 0, IFERROR(SUMIFS(NP2023_deaths!$E:$E, NP2023_deaths!$A:$A, Keys!$G$4, NP2023_deaths!$B:$B, Keys!$B$4, NP2023_deaths!$C:$C, 2027), 0))+IF(Keys!$H$4="", 0, IFERROR(SUMIFS(NP2023_deaths!$E:$E, NP2023_deaths!$A:$A, Keys!$H$4, NP2023_deaths!$B:$B, Keys!$B$4, NP2023_deaths!$C:$C, 2027), 0))</f>
        <v>9663</v>
      </c>
      <c r="F30" s="37">
        <f>IF(Keys!$C$4="", 0, IFERROR(SUMIFS(NP2023_deaths!$E:$E, NP2023_deaths!$A:$A, Keys!$C$4, NP2023_deaths!$B:$B, Keys!$B$4, NP2023_deaths!$C:$C, 2028), 0))+IF(Keys!$D$4="", 0, IFERROR(SUMIFS(NP2023_deaths!$E:$E, NP2023_deaths!$A:$A, Keys!$D$4, NP2023_deaths!$B:$B, Keys!$B$4, NP2023_deaths!$C:$C, 2028), 0))+IF(Keys!$E$4="", 0, IFERROR(SUMIFS(NP2023_deaths!$E:$E, NP2023_deaths!$A:$A, Keys!$E$4, NP2023_deaths!$B:$B, Keys!$B$4, NP2023_deaths!$C:$C, 2028), 0))+IF(Keys!$F$4="", 0, IFERROR(SUMIFS(NP2023_deaths!$E:$E, NP2023_deaths!$A:$A, Keys!$F$4, NP2023_deaths!$B:$B, Keys!$B$4, NP2023_deaths!$C:$C, 2028), 0))+IF(Keys!$G$4="", 0, IFERROR(SUMIFS(NP2023_deaths!$E:$E, NP2023_deaths!$A:$A, Keys!$G$4, NP2023_deaths!$B:$B, Keys!$B$4, NP2023_deaths!$C:$C, 2028), 0))+IF(Keys!$H$4="", 0, IFERROR(SUMIFS(NP2023_deaths!$E:$E, NP2023_deaths!$A:$A, Keys!$H$4, NP2023_deaths!$B:$B, Keys!$B$4, NP2023_deaths!$C:$C, 2028), 0))</f>
        <v>9596</v>
      </c>
      <c r="G30" s="37">
        <f>IF(Keys!$C$4="", 0, IFERROR(SUMIFS(NP2023_deaths!$E:$E, NP2023_deaths!$A:$A, Keys!$C$4, NP2023_deaths!$B:$B, Keys!$B$4, NP2023_deaths!$C:$C, 2029), 0))+IF(Keys!$D$4="", 0, IFERROR(SUMIFS(NP2023_deaths!$E:$E, NP2023_deaths!$A:$A, Keys!$D$4, NP2023_deaths!$B:$B, Keys!$B$4, NP2023_deaths!$C:$C, 2029), 0))+IF(Keys!$E$4="", 0, IFERROR(SUMIFS(NP2023_deaths!$E:$E, NP2023_deaths!$A:$A, Keys!$E$4, NP2023_deaths!$B:$B, Keys!$B$4, NP2023_deaths!$C:$C, 2029), 0))+IF(Keys!$F$4="", 0, IFERROR(SUMIFS(NP2023_deaths!$E:$E, NP2023_deaths!$A:$A, Keys!$F$4, NP2023_deaths!$B:$B, Keys!$B$4, NP2023_deaths!$C:$C, 2029), 0))+IF(Keys!$G$4="", 0, IFERROR(SUMIFS(NP2023_deaths!$E:$E, NP2023_deaths!$A:$A, Keys!$G$4, NP2023_deaths!$B:$B, Keys!$B$4, NP2023_deaths!$C:$C, 2029), 0))+IF(Keys!$H$4="", 0, IFERROR(SUMIFS(NP2023_deaths!$E:$E, NP2023_deaths!$A:$A, Keys!$H$4, NP2023_deaths!$B:$B, Keys!$B$4, NP2023_deaths!$C:$C, 2029), 0))</f>
        <v>9529</v>
      </c>
      <c r="H30" s="37">
        <f>IF(Keys!$C$4="", 0, IFERROR(SUMIFS(NP2023_deaths!$E:$E, NP2023_deaths!$A:$A, Keys!$C$4, NP2023_deaths!$B:$B, Keys!$B$4, NP2023_deaths!$C:$C, 2030), 0))+IF(Keys!$D$4="", 0, IFERROR(SUMIFS(NP2023_deaths!$E:$E, NP2023_deaths!$A:$A, Keys!$D$4, NP2023_deaths!$B:$B, Keys!$B$4, NP2023_deaths!$C:$C, 2030), 0))+IF(Keys!$E$4="", 0, IFERROR(SUMIFS(NP2023_deaths!$E:$E, NP2023_deaths!$A:$A, Keys!$E$4, NP2023_deaths!$B:$B, Keys!$B$4, NP2023_deaths!$C:$C, 2030), 0))+IF(Keys!$F$4="", 0, IFERROR(SUMIFS(NP2023_deaths!$E:$E, NP2023_deaths!$A:$A, Keys!$F$4, NP2023_deaths!$B:$B, Keys!$B$4, NP2023_deaths!$C:$C, 2030), 0))+IF(Keys!$G$4="", 0, IFERROR(SUMIFS(NP2023_deaths!$E:$E, NP2023_deaths!$A:$A, Keys!$G$4, NP2023_deaths!$B:$B, Keys!$B$4, NP2023_deaths!$C:$C, 2030), 0))+IF(Keys!$H$4="", 0, IFERROR(SUMIFS(NP2023_deaths!$E:$E, NP2023_deaths!$A:$A, Keys!$H$4, NP2023_deaths!$B:$B, Keys!$B$4, NP2023_deaths!$C:$C, 2030), 0))</f>
        <v>9458</v>
      </c>
      <c r="I30" s="37">
        <f>IF(Keys!$C$4="", 0, IFERROR(SUMIFS(NP2023_deaths!$E:$E, NP2023_deaths!$A:$A, Keys!$C$4, NP2023_deaths!$B:$B, Keys!$B$4, NP2023_deaths!$C:$C, 2031), 0))+IF(Keys!$D$4="", 0, IFERROR(SUMIFS(NP2023_deaths!$E:$E, NP2023_deaths!$A:$A, Keys!$D$4, NP2023_deaths!$B:$B, Keys!$B$4, NP2023_deaths!$C:$C, 2031), 0))+IF(Keys!$E$4="", 0, IFERROR(SUMIFS(NP2023_deaths!$E:$E, NP2023_deaths!$A:$A, Keys!$E$4, NP2023_deaths!$B:$B, Keys!$B$4, NP2023_deaths!$C:$C, 2031), 0))+IF(Keys!$F$4="", 0, IFERROR(SUMIFS(NP2023_deaths!$E:$E, NP2023_deaths!$A:$A, Keys!$F$4, NP2023_deaths!$B:$B, Keys!$B$4, NP2023_deaths!$C:$C, 2031), 0))+IF(Keys!$G$4="", 0, IFERROR(SUMIFS(NP2023_deaths!$E:$E, NP2023_deaths!$A:$A, Keys!$G$4, NP2023_deaths!$B:$B, Keys!$B$4, NP2023_deaths!$C:$C, 2031), 0))+IF(Keys!$H$4="", 0, IFERROR(SUMIFS(NP2023_deaths!$E:$E, NP2023_deaths!$A:$A, Keys!$H$4, NP2023_deaths!$B:$B, Keys!$B$4, NP2023_deaths!$C:$C, 2031), 0))</f>
        <v>9388</v>
      </c>
      <c r="J30" s="37">
        <f>IF(Keys!$C$4="", 0, IFERROR(SUMIFS(NP2023_deaths!$E:$E, NP2023_deaths!$A:$A, Keys!$C$4, NP2023_deaths!$B:$B, Keys!$B$4, NP2023_deaths!$C:$C, 2032), 0))+IF(Keys!$D$4="", 0, IFERROR(SUMIFS(NP2023_deaths!$E:$E, NP2023_deaths!$A:$A, Keys!$D$4, NP2023_deaths!$B:$B, Keys!$B$4, NP2023_deaths!$C:$C, 2032), 0))+IF(Keys!$E$4="", 0, IFERROR(SUMIFS(NP2023_deaths!$E:$E, NP2023_deaths!$A:$A, Keys!$E$4, NP2023_deaths!$B:$B, Keys!$B$4, NP2023_deaths!$C:$C, 2032), 0))+IF(Keys!$F$4="", 0, IFERROR(SUMIFS(NP2023_deaths!$E:$E, NP2023_deaths!$A:$A, Keys!$F$4, NP2023_deaths!$B:$B, Keys!$B$4, NP2023_deaths!$C:$C, 2032), 0))+IF(Keys!$G$4="", 0, IFERROR(SUMIFS(NP2023_deaths!$E:$E, NP2023_deaths!$A:$A, Keys!$G$4, NP2023_deaths!$B:$B, Keys!$B$4, NP2023_deaths!$C:$C, 2032), 0))+IF(Keys!$H$4="", 0, IFERROR(SUMIFS(NP2023_deaths!$E:$E, NP2023_deaths!$A:$A, Keys!$H$4, NP2023_deaths!$B:$B, Keys!$B$4, NP2023_deaths!$C:$C, 2032), 0))</f>
        <v>9313</v>
      </c>
      <c r="K30" s="37">
        <f>IF(Keys!$C$4="", 0, IFERROR(SUMIFS(NP2023_deaths!$E:$E, NP2023_deaths!$A:$A, Keys!$C$4, NP2023_deaths!$B:$B, Keys!$B$4, NP2023_deaths!$C:$C, 2033), 0))+IF(Keys!$D$4="", 0, IFERROR(SUMIFS(NP2023_deaths!$E:$E, NP2023_deaths!$A:$A, Keys!$D$4, NP2023_deaths!$B:$B, Keys!$B$4, NP2023_deaths!$C:$C, 2033), 0))+IF(Keys!$E$4="", 0, IFERROR(SUMIFS(NP2023_deaths!$E:$E, NP2023_deaths!$A:$A, Keys!$E$4, NP2023_deaths!$B:$B, Keys!$B$4, NP2023_deaths!$C:$C, 2033), 0))+IF(Keys!$F$4="", 0, IFERROR(SUMIFS(NP2023_deaths!$E:$E, NP2023_deaths!$A:$A, Keys!$F$4, NP2023_deaths!$B:$B, Keys!$B$4, NP2023_deaths!$C:$C, 2033), 0))+IF(Keys!$G$4="", 0, IFERROR(SUMIFS(NP2023_deaths!$E:$E, NP2023_deaths!$A:$A, Keys!$G$4, NP2023_deaths!$B:$B, Keys!$B$4, NP2023_deaths!$C:$C, 2033), 0))+IF(Keys!$H$4="", 0, IFERROR(SUMIFS(NP2023_deaths!$E:$E, NP2023_deaths!$A:$A, Keys!$H$4, NP2023_deaths!$B:$B, Keys!$B$4, NP2023_deaths!$C:$C, 2033), 0))</f>
        <v>9234</v>
      </c>
      <c r="L30" s="37">
        <f>IF(Keys!$C$4="", 0, IFERROR(SUMIFS(NP2023_deaths!$E:$E, NP2023_deaths!$A:$A, Keys!$C$4, NP2023_deaths!$B:$B, Keys!$B$4, NP2023_deaths!$C:$C, 2034), 0))+IF(Keys!$D$4="", 0, IFERROR(SUMIFS(NP2023_deaths!$E:$E, NP2023_deaths!$A:$A, Keys!$D$4, NP2023_deaths!$B:$B, Keys!$B$4, NP2023_deaths!$C:$C, 2034), 0))+IF(Keys!$E$4="", 0, IFERROR(SUMIFS(NP2023_deaths!$E:$E, NP2023_deaths!$A:$A, Keys!$E$4, NP2023_deaths!$B:$B, Keys!$B$4, NP2023_deaths!$C:$C, 2034), 0))+IF(Keys!$F$4="", 0, IFERROR(SUMIFS(NP2023_deaths!$E:$E, NP2023_deaths!$A:$A, Keys!$F$4, NP2023_deaths!$B:$B, Keys!$B$4, NP2023_deaths!$C:$C, 2034), 0))+IF(Keys!$G$4="", 0, IFERROR(SUMIFS(NP2023_deaths!$E:$E, NP2023_deaths!$A:$A, Keys!$G$4, NP2023_deaths!$B:$B, Keys!$B$4, NP2023_deaths!$C:$C, 2034), 0))+IF(Keys!$H$4="", 0, IFERROR(SUMIFS(NP2023_deaths!$E:$E, NP2023_deaths!$A:$A, Keys!$H$4, NP2023_deaths!$B:$B, Keys!$B$4, NP2023_deaths!$C:$C, 2034), 0))</f>
        <v>9150</v>
      </c>
      <c r="M30" s="37">
        <f>IF(Keys!$C$4="", 0, IFERROR(SUMIFS(NP2023_deaths!$E:$E, NP2023_deaths!$A:$A, Keys!$C$4, NP2023_deaths!$B:$B, Keys!$B$4, NP2023_deaths!$C:$C, 2035), 0))+IF(Keys!$D$4="", 0, IFERROR(SUMIFS(NP2023_deaths!$E:$E, NP2023_deaths!$A:$A, Keys!$D$4, NP2023_deaths!$B:$B, Keys!$B$4, NP2023_deaths!$C:$C, 2035), 0))+IF(Keys!$E$4="", 0, IFERROR(SUMIFS(NP2023_deaths!$E:$E, NP2023_deaths!$A:$A, Keys!$E$4, NP2023_deaths!$B:$B, Keys!$B$4, NP2023_deaths!$C:$C, 2035), 0))+IF(Keys!$F$4="", 0, IFERROR(SUMIFS(NP2023_deaths!$E:$E, NP2023_deaths!$A:$A, Keys!$F$4, NP2023_deaths!$B:$B, Keys!$B$4, NP2023_deaths!$C:$C, 2035), 0))+IF(Keys!$G$4="", 0, IFERROR(SUMIFS(NP2023_deaths!$E:$E, NP2023_deaths!$A:$A, Keys!$G$4, NP2023_deaths!$B:$B, Keys!$B$4, NP2023_deaths!$C:$C, 2035), 0))+IF(Keys!$H$4="", 0, IFERROR(SUMIFS(NP2023_deaths!$E:$E, NP2023_deaths!$A:$A, Keys!$H$4, NP2023_deaths!$B:$B, Keys!$B$4, NP2023_deaths!$C:$C, 2035), 0))</f>
        <v>9061</v>
      </c>
      <c r="N30" s="37">
        <f>IF(Keys!$C$4="", 0, IFERROR(SUMIFS(NP2023_deaths!$E:$E, NP2023_deaths!$A:$A, Keys!$C$4, NP2023_deaths!$B:$B, Keys!$B$4, NP2023_deaths!$C:$C, 2036), 0))+IF(Keys!$D$4="", 0, IFERROR(SUMIFS(NP2023_deaths!$E:$E, NP2023_deaths!$A:$A, Keys!$D$4, NP2023_deaths!$B:$B, Keys!$B$4, NP2023_deaths!$C:$C, 2036), 0))+IF(Keys!$E$4="", 0, IFERROR(SUMIFS(NP2023_deaths!$E:$E, NP2023_deaths!$A:$A, Keys!$E$4, NP2023_deaths!$B:$B, Keys!$B$4, NP2023_deaths!$C:$C, 2036), 0))+IF(Keys!$F$4="", 0, IFERROR(SUMIFS(NP2023_deaths!$E:$E, NP2023_deaths!$A:$A, Keys!$F$4, NP2023_deaths!$B:$B, Keys!$B$4, NP2023_deaths!$C:$C, 2036), 0))+IF(Keys!$G$4="", 0, IFERROR(SUMIFS(NP2023_deaths!$E:$E, NP2023_deaths!$A:$A, Keys!$G$4, NP2023_deaths!$B:$B, Keys!$B$4, NP2023_deaths!$C:$C, 2036), 0))+IF(Keys!$H$4="", 0, IFERROR(SUMIFS(NP2023_deaths!$E:$E, NP2023_deaths!$A:$A, Keys!$H$4, NP2023_deaths!$B:$B, Keys!$B$4, NP2023_deaths!$C:$C, 2036), 0))</f>
        <v>8967</v>
      </c>
      <c r="O30" s="37">
        <f>IF(Keys!$C$4="", 0, IFERROR(SUMIFS(NP2023_deaths!$E:$E, NP2023_deaths!$A:$A, Keys!$C$4, NP2023_deaths!$B:$B, Keys!$B$4, NP2023_deaths!$C:$C, 2037), 0))+IF(Keys!$D$4="", 0, IFERROR(SUMIFS(NP2023_deaths!$E:$E, NP2023_deaths!$A:$A, Keys!$D$4, NP2023_deaths!$B:$B, Keys!$B$4, NP2023_deaths!$C:$C, 2037), 0))+IF(Keys!$E$4="", 0, IFERROR(SUMIFS(NP2023_deaths!$E:$E, NP2023_deaths!$A:$A, Keys!$E$4, NP2023_deaths!$B:$B, Keys!$B$4, NP2023_deaths!$C:$C, 2037), 0))+IF(Keys!$F$4="", 0, IFERROR(SUMIFS(NP2023_deaths!$E:$E, NP2023_deaths!$A:$A, Keys!$F$4, NP2023_deaths!$B:$B, Keys!$B$4, NP2023_deaths!$C:$C, 2037), 0))+IF(Keys!$G$4="", 0, IFERROR(SUMIFS(NP2023_deaths!$E:$E, NP2023_deaths!$A:$A, Keys!$G$4, NP2023_deaths!$B:$B, Keys!$B$4, NP2023_deaths!$C:$C, 2037), 0))+IF(Keys!$H$4="", 0, IFERROR(SUMIFS(NP2023_deaths!$E:$E, NP2023_deaths!$A:$A, Keys!$H$4, NP2023_deaths!$B:$B, Keys!$B$4, NP2023_deaths!$C:$C, 2037), 0))</f>
        <v>8865</v>
      </c>
      <c r="P30" s="37">
        <f>IF(Keys!$C$4="", 0, IFERROR(SUMIFS(NP2023_deaths!$E:$E, NP2023_deaths!$A:$A, Keys!$C$4, NP2023_deaths!$B:$B, Keys!$B$4, NP2023_deaths!$C:$C, 2038), 0))+IF(Keys!$D$4="", 0, IFERROR(SUMIFS(NP2023_deaths!$E:$E, NP2023_deaths!$A:$A, Keys!$D$4, NP2023_deaths!$B:$B, Keys!$B$4, NP2023_deaths!$C:$C, 2038), 0))+IF(Keys!$E$4="", 0, IFERROR(SUMIFS(NP2023_deaths!$E:$E, NP2023_deaths!$A:$A, Keys!$E$4, NP2023_deaths!$B:$B, Keys!$B$4, NP2023_deaths!$C:$C, 2038), 0))+IF(Keys!$F$4="", 0, IFERROR(SUMIFS(NP2023_deaths!$E:$E, NP2023_deaths!$A:$A, Keys!$F$4, NP2023_deaths!$B:$B, Keys!$B$4, NP2023_deaths!$C:$C, 2038), 0))+IF(Keys!$G$4="", 0, IFERROR(SUMIFS(NP2023_deaths!$E:$E, NP2023_deaths!$A:$A, Keys!$G$4, NP2023_deaths!$B:$B, Keys!$B$4, NP2023_deaths!$C:$C, 2038), 0))+IF(Keys!$H$4="", 0, IFERROR(SUMIFS(NP2023_deaths!$E:$E, NP2023_deaths!$A:$A, Keys!$H$4, NP2023_deaths!$B:$B, Keys!$B$4, NP2023_deaths!$C:$C, 2038), 0))</f>
        <v>8759</v>
      </c>
      <c r="Q30" s="37">
        <f>IF(Keys!$C$4="", 0, IFERROR(SUMIFS(NP2023_deaths!$E:$E, NP2023_deaths!$A:$A, Keys!$C$4, NP2023_deaths!$B:$B, Keys!$B$4, NP2023_deaths!$C:$C, 2039), 0))+IF(Keys!$D$4="", 0, IFERROR(SUMIFS(NP2023_deaths!$E:$E, NP2023_deaths!$A:$A, Keys!$D$4, NP2023_deaths!$B:$B, Keys!$B$4, NP2023_deaths!$C:$C, 2039), 0))+IF(Keys!$E$4="", 0, IFERROR(SUMIFS(NP2023_deaths!$E:$E, NP2023_deaths!$A:$A, Keys!$E$4, NP2023_deaths!$B:$B, Keys!$B$4, NP2023_deaths!$C:$C, 2039), 0))+IF(Keys!$F$4="", 0, IFERROR(SUMIFS(NP2023_deaths!$E:$E, NP2023_deaths!$A:$A, Keys!$F$4, NP2023_deaths!$B:$B, Keys!$B$4, NP2023_deaths!$C:$C, 2039), 0))+IF(Keys!$G$4="", 0, IFERROR(SUMIFS(NP2023_deaths!$E:$E, NP2023_deaths!$A:$A, Keys!$G$4, NP2023_deaths!$B:$B, Keys!$B$4, NP2023_deaths!$C:$C, 2039), 0))+IF(Keys!$H$4="", 0, IFERROR(SUMIFS(NP2023_deaths!$E:$E, NP2023_deaths!$A:$A, Keys!$H$4, NP2023_deaths!$B:$B, Keys!$B$4, NP2023_deaths!$C:$C, 2039), 0))</f>
        <v>8648</v>
      </c>
      <c r="R30" s="37">
        <f>IF(Keys!$C$4="", 0, IFERROR(SUMIFS(NP2023_deaths!$E:$E, NP2023_deaths!$A:$A, Keys!$C$4, NP2023_deaths!$B:$B, Keys!$B$4, NP2023_deaths!$C:$C, 2040), 0))+IF(Keys!$D$4="", 0, IFERROR(SUMIFS(NP2023_deaths!$E:$E, NP2023_deaths!$A:$A, Keys!$D$4, NP2023_deaths!$B:$B, Keys!$B$4, NP2023_deaths!$C:$C, 2040), 0))+IF(Keys!$E$4="", 0, IFERROR(SUMIFS(NP2023_deaths!$E:$E, NP2023_deaths!$A:$A, Keys!$E$4, NP2023_deaths!$B:$B, Keys!$B$4, NP2023_deaths!$C:$C, 2040), 0))+IF(Keys!$F$4="", 0, IFERROR(SUMIFS(NP2023_deaths!$E:$E, NP2023_deaths!$A:$A, Keys!$F$4, NP2023_deaths!$B:$B, Keys!$B$4, NP2023_deaths!$C:$C, 2040), 0))+IF(Keys!$G$4="", 0, IFERROR(SUMIFS(NP2023_deaths!$E:$E, NP2023_deaths!$A:$A, Keys!$G$4, NP2023_deaths!$B:$B, Keys!$B$4, NP2023_deaths!$C:$C, 2040), 0))+IF(Keys!$H$4="", 0, IFERROR(SUMIFS(NP2023_deaths!$E:$E, NP2023_deaths!$A:$A, Keys!$H$4, NP2023_deaths!$B:$B, Keys!$B$4, NP2023_deaths!$C:$C, 2040), 0))</f>
        <v>8532</v>
      </c>
      <c r="S30" s="37">
        <f>IF(Keys!$C$4="", 0, IFERROR(SUMIFS(NP2023_deaths!$E:$E, NP2023_deaths!$A:$A, Keys!$C$4, NP2023_deaths!$B:$B, Keys!$B$4, NP2023_deaths!$C:$C, 2041), 0))+IF(Keys!$D$4="", 0, IFERROR(SUMIFS(NP2023_deaths!$E:$E, NP2023_deaths!$A:$A, Keys!$D$4, NP2023_deaths!$B:$B, Keys!$B$4, NP2023_deaths!$C:$C, 2041), 0))+IF(Keys!$E$4="", 0, IFERROR(SUMIFS(NP2023_deaths!$E:$E, NP2023_deaths!$A:$A, Keys!$E$4, NP2023_deaths!$B:$B, Keys!$B$4, NP2023_deaths!$C:$C, 2041), 0))+IF(Keys!$F$4="", 0, IFERROR(SUMIFS(NP2023_deaths!$E:$E, NP2023_deaths!$A:$A, Keys!$F$4, NP2023_deaths!$B:$B, Keys!$B$4, NP2023_deaths!$C:$C, 2041), 0))+IF(Keys!$G$4="", 0, IFERROR(SUMIFS(NP2023_deaths!$E:$E, NP2023_deaths!$A:$A, Keys!$G$4, NP2023_deaths!$B:$B, Keys!$B$4, NP2023_deaths!$C:$C, 2041), 0))+IF(Keys!$H$4="", 0, IFERROR(SUMIFS(NP2023_deaths!$E:$E, NP2023_deaths!$A:$A, Keys!$H$4, NP2023_deaths!$B:$B, Keys!$B$4, NP2023_deaths!$C:$C, 2041), 0))</f>
        <v>8413</v>
      </c>
      <c r="T30" s="37">
        <f>IF(Keys!$C$4="", 0, IFERROR(SUMIFS(NP2023_deaths!$E:$E, NP2023_deaths!$A:$A, Keys!$C$4, NP2023_deaths!$B:$B, Keys!$B$4, NP2023_deaths!$C:$C, 2042), 0))+IF(Keys!$D$4="", 0, IFERROR(SUMIFS(NP2023_deaths!$E:$E, NP2023_deaths!$A:$A, Keys!$D$4, NP2023_deaths!$B:$B, Keys!$B$4, NP2023_deaths!$C:$C, 2042), 0))+IF(Keys!$E$4="", 0, IFERROR(SUMIFS(NP2023_deaths!$E:$E, NP2023_deaths!$A:$A, Keys!$E$4, NP2023_deaths!$B:$B, Keys!$B$4, NP2023_deaths!$C:$C, 2042), 0))+IF(Keys!$F$4="", 0, IFERROR(SUMIFS(NP2023_deaths!$E:$E, NP2023_deaths!$A:$A, Keys!$F$4, NP2023_deaths!$B:$B, Keys!$B$4, NP2023_deaths!$C:$C, 2042), 0))+IF(Keys!$G$4="", 0, IFERROR(SUMIFS(NP2023_deaths!$E:$E, NP2023_deaths!$A:$A, Keys!$G$4, NP2023_deaths!$B:$B, Keys!$B$4, NP2023_deaths!$C:$C, 2042), 0))+IF(Keys!$H$4="", 0, IFERROR(SUMIFS(NP2023_deaths!$E:$E, NP2023_deaths!$A:$A, Keys!$H$4, NP2023_deaths!$B:$B, Keys!$B$4, NP2023_deaths!$C:$C, 2042), 0))</f>
        <v>8294</v>
      </c>
      <c r="U30" s="37">
        <f>IF(Keys!$C$4="", 0, IFERROR(SUMIFS(NP2023_deaths!$E:$E, NP2023_deaths!$A:$A, Keys!$C$4, NP2023_deaths!$B:$B, Keys!$B$4, NP2023_deaths!$C:$C, 2043), 0))+IF(Keys!$D$4="", 0, IFERROR(SUMIFS(NP2023_deaths!$E:$E, NP2023_deaths!$A:$A, Keys!$D$4, NP2023_deaths!$B:$B, Keys!$B$4, NP2023_deaths!$C:$C, 2043), 0))+IF(Keys!$E$4="", 0, IFERROR(SUMIFS(NP2023_deaths!$E:$E, NP2023_deaths!$A:$A, Keys!$E$4, NP2023_deaths!$B:$B, Keys!$B$4, NP2023_deaths!$C:$C, 2043), 0))+IF(Keys!$F$4="", 0, IFERROR(SUMIFS(NP2023_deaths!$E:$E, NP2023_deaths!$A:$A, Keys!$F$4, NP2023_deaths!$B:$B, Keys!$B$4, NP2023_deaths!$C:$C, 2043), 0))+IF(Keys!$G$4="", 0, IFERROR(SUMIFS(NP2023_deaths!$E:$E, NP2023_deaths!$A:$A, Keys!$G$4, NP2023_deaths!$B:$B, Keys!$B$4, NP2023_deaths!$C:$C, 2043), 0))+IF(Keys!$H$4="", 0, IFERROR(SUMIFS(NP2023_deaths!$E:$E, NP2023_deaths!$A:$A, Keys!$H$4, NP2023_deaths!$B:$B, Keys!$B$4, NP2023_deaths!$C:$C, 2043), 0))</f>
        <v>8175</v>
      </c>
      <c r="V30" s="37">
        <f>IF(Keys!$C$4="", 0, IFERROR(SUMIFS(NP2023_deaths!$E:$E, NP2023_deaths!$A:$A, Keys!$C$4, NP2023_deaths!$B:$B, Keys!$B$4, NP2023_deaths!$C:$C, 2044), 0))+IF(Keys!$D$4="", 0, IFERROR(SUMIFS(NP2023_deaths!$E:$E, NP2023_deaths!$A:$A, Keys!$D$4, NP2023_deaths!$B:$B, Keys!$B$4, NP2023_deaths!$C:$C, 2044), 0))+IF(Keys!$E$4="", 0, IFERROR(SUMIFS(NP2023_deaths!$E:$E, NP2023_deaths!$A:$A, Keys!$E$4, NP2023_deaths!$B:$B, Keys!$B$4, NP2023_deaths!$C:$C, 2044), 0))+IF(Keys!$F$4="", 0, IFERROR(SUMIFS(NP2023_deaths!$E:$E, NP2023_deaths!$A:$A, Keys!$F$4, NP2023_deaths!$B:$B, Keys!$B$4, NP2023_deaths!$C:$C, 2044), 0))+IF(Keys!$G$4="", 0, IFERROR(SUMIFS(NP2023_deaths!$E:$E, NP2023_deaths!$A:$A, Keys!$G$4, NP2023_deaths!$B:$B, Keys!$B$4, NP2023_deaths!$C:$C, 2044), 0))+IF(Keys!$H$4="", 0, IFERROR(SUMIFS(NP2023_deaths!$E:$E, NP2023_deaths!$A:$A, Keys!$H$4, NP2023_deaths!$B:$B, Keys!$B$4, NP2023_deaths!$C:$C, 2044), 0))</f>
        <v>8057</v>
      </c>
      <c r="W30" s="37">
        <f>IF(Keys!$C$4="", 0, IFERROR(SUMIFS(NP2023_deaths!$E:$E, NP2023_deaths!$A:$A, Keys!$C$4, NP2023_deaths!$B:$B, Keys!$B$4, NP2023_deaths!$C:$C, 2045), 0))+IF(Keys!$D$4="", 0, IFERROR(SUMIFS(NP2023_deaths!$E:$E, NP2023_deaths!$A:$A, Keys!$D$4, NP2023_deaths!$B:$B, Keys!$B$4, NP2023_deaths!$C:$C, 2045), 0))+IF(Keys!$E$4="", 0, IFERROR(SUMIFS(NP2023_deaths!$E:$E, NP2023_deaths!$A:$A, Keys!$E$4, NP2023_deaths!$B:$B, Keys!$B$4, NP2023_deaths!$C:$C, 2045), 0))+IF(Keys!$F$4="", 0, IFERROR(SUMIFS(NP2023_deaths!$E:$E, NP2023_deaths!$A:$A, Keys!$F$4, NP2023_deaths!$B:$B, Keys!$B$4, NP2023_deaths!$C:$C, 2045), 0))+IF(Keys!$G$4="", 0, IFERROR(SUMIFS(NP2023_deaths!$E:$E, NP2023_deaths!$A:$A, Keys!$G$4, NP2023_deaths!$B:$B, Keys!$B$4, NP2023_deaths!$C:$C, 2045), 0))+IF(Keys!$H$4="", 0, IFERROR(SUMIFS(NP2023_deaths!$E:$E, NP2023_deaths!$A:$A, Keys!$H$4, NP2023_deaths!$B:$B, Keys!$B$4, NP2023_deaths!$C:$C, 2045), 0))</f>
        <v>7942</v>
      </c>
      <c r="X30" s="37">
        <f>IF(Keys!$C$4="", 0, IFERROR(SUMIFS(NP2023_deaths!$E:$E, NP2023_deaths!$A:$A, Keys!$C$4, NP2023_deaths!$B:$B, Keys!$B$4, NP2023_deaths!$C:$C, 2046), 0))+IF(Keys!$D$4="", 0, IFERROR(SUMIFS(NP2023_deaths!$E:$E, NP2023_deaths!$A:$A, Keys!$D$4, NP2023_deaths!$B:$B, Keys!$B$4, NP2023_deaths!$C:$C, 2046), 0))+IF(Keys!$E$4="", 0, IFERROR(SUMIFS(NP2023_deaths!$E:$E, NP2023_deaths!$A:$A, Keys!$E$4, NP2023_deaths!$B:$B, Keys!$B$4, NP2023_deaths!$C:$C, 2046), 0))+IF(Keys!$F$4="", 0, IFERROR(SUMIFS(NP2023_deaths!$E:$E, NP2023_deaths!$A:$A, Keys!$F$4, NP2023_deaths!$B:$B, Keys!$B$4, NP2023_deaths!$C:$C, 2046), 0))+IF(Keys!$G$4="", 0, IFERROR(SUMIFS(NP2023_deaths!$E:$E, NP2023_deaths!$A:$A, Keys!$G$4, NP2023_deaths!$B:$B, Keys!$B$4, NP2023_deaths!$C:$C, 2046), 0))+IF(Keys!$H$4="", 0, IFERROR(SUMIFS(NP2023_deaths!$E:$E, NP2023_deaths!$A:$A, Keys!$H$4, NP2023_deaths!$B:$B, Keys!$B$4, NP2023_deaths!$C:$C, 2046), 0))</f>
        <v>7831</v>
      </c>
      <c r="Y30" s="37">
        <f>IF(Keys!$C$4="", 0, IFERROR(SUMIFS(NP2023_deaths!$E:$E, NP2023_deaths!$A:$A, Keys!$C$4, NP2023_deaths!$B:$B, Keys!$B$4, NP2023_deaths!$C:$C, 2047), 0))+IF(Keys!$D$4="", 0, IFERROR(SUMIFS(NP2023_deaths!$E:$E, NP2023_deaths!$A:$A, Keys!$D$4, NP2023_deaths!$B:$B, Keys!$B$4, NP2023_deaths!$C:$C, 2047), 0))+IF(Keys!$E$4="", 0, IFERROR(SUMIFS(NP2023_deaths!$E:$E, NP2023_deaths!$A:$A, Keys!$E$4, NP2023_deaths!$B:$B, Keys!$B$4, NP2023_deaths!$C:$C, 2047), 0))+IF(Keys!$F$4="", 0, IFERROR(SUMIFS(NP2023_deaths!$E:$E, NP2023_deaths!$A:$A, Keys!$F$4, NP2023_deaths!$B:$B, Keys!$B$4, NP2023_deaths!$C:$C, 2047), 0))+IF(Keys!$G$4="", 0, IFERROR(SUMIFS(NP2023_deaths!$E:$E, NP2023_deaths!$A:$A, Keys!$G$4, NP2023_deaths!$B:$B, Keys!$B$4, NP2023_deaths!$C:$C, 2047), 0))+IF(Keys!$H$4="", 0, IFERROR(SUMIFS(NP2023_deaths!$E:$E, NP2023_deaths!$A:$A, Keys!$H$4, NP2023_deaths!$B:$B, Keys!$B$4, NP2023_deaths!$C:$C, 2047), 0))</f>
        <v>7722</v>
      </c>
      <c r="Z30" s="37">
        <f>IF(Keys!$C$4="", 0, IFERROR(SUMIFS(NP2023_deaths!$E:$E, NP2023_deaths!$A:$A, Keys!$C$4, NP2023_deaths!$B:$B, Keys!$B$4, NP2023_deaths!$C:$C, 2048), 0))+IF(Keys!$D$4="", 0, IFERROR(SUMIFS(NP2023_deaths!$E:$E, NP2023_deaths!$A:$A, Keys!$D$4, NP2023_deaths!$B:$B, Keys!$B$4, NP2023_deaths!$C:$C, 2048), 0))+IF(Keys!$E$4="", 0, IFERROR(SUMIFS(NP2023_deaths!$E:$E, NP2023_deaths!$A:$A, Keys!$E$4, NP2023_deaths!$B:$B, Keys!$B$4, NP2023_deaths!$C:$C, 2048), 0))+IF(Keys!$F$4="", 0, IFERROR(SUMIFS(NP2023_deaths!$E:$E, NP2023_deaths!$A:$A, Keys!$F$4, NP2023_deaths!$B:$B, Keys!$B$4, NP2023_deaths!$C:$C, 2048), 0))+IF(Keys!$G$4="", 0, IFERROR(SUMIFS(NP2023_deaths!$E:$E, NP2023_deaths!$A:$A, Keys!$G$4, NP2023_deaths!$B:$B, Keys!$B$4, NP2023_deaths!$C:$C, 2048), 0))+IF(Keys!$H$4="", 0, IFERROR(SUMIFS(NP2023_deaths!$E:$E, NP2023_deaths!$A:$A, Keys!$H$4, NP2023_deaths!$B:$B, Keys!$B$4, NP2023_deaths!$C:$C, 2048), 0))</f>
        <v>7616</v>
      </c>
      <c r="AA30" s="37">
        <f>IF(Keys!$C$4="", 0, IFERROR(SUMIFS(NP2023_deaths!$E:$E, NP2023_deaths!$A:$A, Keys!$C$4, NP2023_deaths!$B:$B, Keys!$B$4, NP2023_deaths!$C:$C, 2049), 0))+IF(Keys!$D$4="", 0, IFERROR(SUMIFS(NP2023_deaths!$E:$E, NP2023_deaths!$A:$A, Keys!$D$4, NP2023_deaths!$B:$B, Keys!$B$4, NP2023_deaths!$C:$C, 2049), 0))+IF(Keys!$E$4="", 0, IFERROR(SUMIFS(NP2023_deaths!$E:$E, NP2023_deaths!$A:$A, Keys!$E$4, NP2023_deaths!$B:$B, Keys!$B$4, NP2023_deaths!$C:$C, 2049), 0))+IF(Keys!$F$4="", 0, IFERROR(SUMIFS(NP2023_deaths!$E:$E, NP2023_deaths!$A:$A, Keys!$F$4, NP2023_deaths!$B:$B, Keys!$B$4, NP2023_deaths!$C:$C, 2049), 0))+IF(Keys!$G$4="", 0, IFERROR(SUMIFS(NP2023_deaths!$E:$E, NP2023_deaths!$A:$A, Keys!$G$4, NP2023_deaths!$B:$B, Keys!$B$4, NP2023_deaths!$C:$C, 2049), 0))+IF(Keys!$H$4="", 0, IFERROR(SUMIFS(NP2023_deaths!$E:$E, NP2023_deaths!$A:$A, Keys!$H$4, NP2023_deaths!$B:$B, Keys!$B$4, NP2023_deaths!$C:$C, 2049), 0))</f>
        <v>7515</v>
      </c>
      <c r="AB30" s="37">
        <f>IF(Keys!$C$4="", 0, IFERROR(SUMIFS(NP2023_deaths!$E:$E, NP2023_deaths!$A:$A, Keys!$C$4, NP2023_deaths!$B:$B, Keys!$B$4, NP2023_deaths!$C:$C, 2050), 0))+IF(Keys!$D$4="", 0, IFERROR(SUMIFS(NP2023_deaths!$E:$E, NP2023_deaths!$A:$A, Keys!$D$4, NP2023_deaths!$B:$B, Keys!$B$4, NP2023_deaths!$C:$C, 2050), 0))+IF(Keys!$E$4="", 0, IFERROR(SUMIFS(NP2023_deaths!$E:$E, NP2023_deaths!$A:$A, Keys!$E$4, NP2023_deaths!$B:$B, Keys!$B$4, NP2023_deaths!$C:$C, 2050), 0))+IF(Keys!$F$4="", 0, IFERROR(SUMIFS(NP2023_deaths!$E:$E, NP2023_deaths!$A:$A, Keys!$F$4, NP2023_deaths!$B:$B, Keys!$B$4, NP2023_deaths!$C:$C, 2050), 0))+IF(Keys!$G$4="", 0, IFERROR(SUMIFS(NP2023_deaths!$E:$E, NP2023_deaths!$A:$A, Keys!$G$4, NP2023_deaths!$B:$B, Keys!$B$4, NP2023_deaths!$C:$C, 2050), 0))+IF(Keys!$H$4="", 0, IFERROR(SUMIFS(NP2023_deaths!$E:$E, NP2023_deaths!$A:$A, Keys!$H$4, NP2023_deaths!$B:$B, Keys!$B$4, NP2023_deaths!$C:$C, 2050), 0))</f>
        <v>7417</v>
      </c>
    </row>
    <row r="31" spans="1:28" x14ac:dyDescent="0.25">
      <c r="A31" s="4" t="s">
        <v>218</v>
      </c>
      <c r="B31" s="37">
        <f>IF(Keys!$C$5="", 0, IFERROR(SUMIFS(NP2023_deaths!$E:$E, NP2023_deaths!$A:$A, Keys!$C$5, NP2023_deaths!$B:$B, Keys!$B$5, NP2023_deaths!$C:$C, 2024), 0))+IF(Keys!$D$5="", 0, IFERROR(SUMIFS(NP2023_deaths!$E:$E, NP2023_deaths!$A:$A, Keys!$D$5, NP2023_deaths!$B:$B, Keys!$B$5, NP2023_deaths!$C:$C, 2024), 0))+IF(Keys!$E$5="", 0, IFERROR(SUMIFS(NP2023_deaths!$E:$E, NP2023_deaths!$A:$A, Keys!$E$5, NP2023_deaths!$B:$B, Keys!$B$5, NP2023_deaths!$C:$C, 2024), 0))+IF(Keys!$F$5="", 0, IFERROR(SUMIFS(NP2023_deaths!$E:$E, NP2023_deaths!$A:$A, Keys!$F$5, NP2023_deaths!$B:$B, Keys!$B$5, NP2023_deaths!$C:$C, 2024), 0))+IF(Keys!$G$5="", 0, IFERROR(SUMIFS(NP2023_deaths!$E:$E, NP2023_deaths!$A:$A, Keys!$G$5, NP2023_deaths!$B:$B, Keys!$B$5, NP2023_deaths!$C:$C, 2024), 0))+IF(Keys!$H$5="", 0, IFERROR(SUMIFS(NP2023_deaths!$E:$E, NP2023_deaths!$A:$A, Keys!$H$5, NP2023_deaths!$B:$B, Keys!$B$5, NP2023_deaths!$C:$C, 2024), 0))</f>
        <v>4678</v>
      </c>
      <c r="C31" s="37">
        <f>IF(Keys!$C$5="", 0, IFERROR(SUMIFS(NP2023_deaths!$E:$E, NP2023_deaths!$A:$A, Keys!$C$5, NP2023_deaths!$B:$B, Keys!$B$5, NP2023_deaths!$C:$C, 2025), 0))+IF(Keys!$D$5="", 0, IFERROR(SUMIFS(NP2023_deaths!$E:$E, NP2023_deaths!$A:$A, Keys!$D$5, NP2023_deaths!$B:$B, Keys!$B$5, NP2023_deaths!$C:$C, 2025), 0))+IF(Keys!$E$5="", 0, IFERROR(SUMIFS(NP2023_deaths!$E:$E, NP2023_deaths!$A:$A, Keys!$E$5, NP2023_deaths!$B:$B, Keys!$B$5, NP2023_deaths!$C:$C, 2025), 0))+IF(Keys!$F$5="", 0, IFERROR(SUMIFS(NP2023_deaths!$E:$E, NP2023_deaths!$A:$A, Keys!$F$5, NP2023_deaths!$B:$B, Keys!$B$5, NP2023_deaths!$C:$C, 2025), 0))+IF(Keys!$G$5="", 0, IFERROR(SUMIFS(NP2023_deaths!$E:$E, NP2023_deaths!$A:$A, Keys!$G$5, NP2023_deaths!$B:$B, Keys!$B$5, NP2023_deaths!$C:$C, 2025), 0))+IF(Keys!$H$5="", 0, IFERROR(SUMIFS(NP2023_deaths!$E:$E, NP2023_deaths!$A:$A, Keys!$H$5, NP2023_deaths!$B:$B, Keys!$B$5, NP2023_deaths!$C:$C, 2025), 0))</f>
        <v>4615</v>
      </c>
      <c r="D31" s="37">
        <f>IF(Keys!$C$5="", 0, IFERROR(SUMIFS(NP2023_deaths!$E:$E, NP2023_deaths!$A:$A, Keys!$C$5, NP2023_deaths!$B:$B, Keys!$B$5, NP2023_deaths!$C:$C, 2026), 0))+IF(Keys!$D$5="", 0, IFERROR(SUMIFS(NP2023_deaths!$E:$E, NP2023_deaths!$A:$A, Keys!$D$5, NP2023_deaths!$B:$B, Keys!$B$5, NP2023_deaths!$C:$C, 2026), 0))+IF(Keys!$E$5="", 0, IFERROR(SUMIFS(NP2023_deaths!$E:$E, NP2023_deaths!$A:$A, Keys!$E$5, NP2023_deaths!$B:$B, Keys!$B$5, NP2023_deaths!$C:$C, 2026), 0))+IF(Keys!$F$5="", 0, IFERROR(SUMIFS(NP2023_deaths!$E:$E, NP2023_deaths!$A:$A, Keys!$F$5, NP2023_deaths!$B:$B, Keys!$B$5, NP2023_deaths!$C:$C, 2026), 0))+IF(Keys!$G$5="", 0, IFERROR(SUMIFS(NP2023_deaths!$E:$E, NP2023_deaths!$A:$A, Keys!$G$5, NP2023_deaths!$B:$B, Keys!$B$5, NP2023_deaths!$C:$C, 2026), 0))+IF(Keys!$H$5="", 0, IFERROR(SUMIFS(NP2023_deaths!$E:$E, NP2023_deaths!$A:$A, Keys!$H$5, NP2023_deaths!$B:$B, Keys!$B$5, NP2023_deaths!$C:$C, 2026), 0))</f>
        <v>4553</v>
      </c>
      <c r="E31" s="37">
        <f>IF(Keys!$C$5="", 0, IFERROR(SUMIFS(NP2023_deaths!$E:$E, NP2023_deaths!$A:$A, Keys!$C$5, NP2023_deaths!$B:$B, Keys!$B$5, NP2023_deaths!$C:$C, 2027), 0))+IF(Keys!$D$5="", 0, IFERROR(SUMIFS(NP2023_deaths!$E:$E, NP2023_deaths!$A:$A, Keys!$D$5, NP2023_deaths!$B:$B, Keys!$B$5, NP2023_deaths!$C:$C, 2027), 0))+IF(Keys!$E$5="", 0, IFERROR(SUMIFS(NP2023_deaths!$E:$E, NP2023_deaths!$A:$A, Keys!$E$5, NP2023_deaths!$B:$B, Keys!$B$5, NP2023_deaths!$C:$C, 2027), 0))+IF(Keys!$F$5="", 0, IFERROR(SUMIFS(NP2023_deaths!$E:$E, NP2023_deaths!$A:$A, Keys!$F$5, NP2023_deaths!$B:$B, Keys!$B$5, NP2023_deaths!$C:$C, 2027), 0))+IF(Keys!$G$5="", 0, IFERROR(SUMIFS(NP2023_deaths!$E:$E, NP2023_deaths!$A:$A, Keys!$G$5, NP2023_deaths!$B:$B, Keys!$B$5, NP2023_deaths!$C:$C, 2027), 0))+IF(Keys!$H$5="", 0, IFERROR(SUMIFS(NP2023_deaths!$E:$E, NP2023_deaths!$A:$A, Keys!$H$5, NP2023_deaths!$B:$B, Keys!$B$5, NP2023_deaths!$C:$C, 2027), 0))</f>
        <v>4489</v>
      </c>
      <c r="F31" s="37">
        <f>IF(Keys!$C$5="", 0, IFERROR(SUMIFS(NP2023_deaths!$E:$E, NP2023_deaths!$A:$A, Keys!$C$5, NP2023_deaths!$B:$B, Keys!$B$5, NP2023_deaths!$C:$C, 2028), 0))+IF(Keys!$D$5="", 0, IFERROR(SUMIFS(NP2023_deaths!$E:$E, NP2023_deaths!$A:$A, Keys!$D$5, NP2023_deaths!$B:$B, Keys!$B$5, NP2023_deaths!$C:$C, 2028), 0))+IF(Keys!$E$5="", 0, IFERROR(SUMIFS(NP2023_deaths!$E:$E, NP2023_deaths!$A:$A, Keys!$E$5, NP2023_deaths!$B:$B, Keys!$B$5, NP2023_deaths!$C:$C, 2028), 0))+IF(Keys!$F$5="", 0, IFERROR(SUMIFS(NP2023_deaths!$E:$E, NP2023_deaths!$A:$A, Keys!$F$5, NP2023_deaths!$B:$B, Keys!$B$5, NP2023_deaths!$C:$C, 2028), 0))+IF(Keys!$G$5="", 0, IFERROR(SUMIFS(NP2023_deaths!$E:$E, NP2023_deaths!$A:$A, Keys!$G$5, NP2023_deaths!$B:$B, Keys!$B$5, NP2023_deaths!$C:$C, 2028), 0))+IF(Keys!$H$5="", 0, IFERROR(SUMIFS(NP2023_deaths!$E:$E, NP2023_deaths!$A:$A, Keys!$H$5, NP2023_deaths!$B:$B, Keys!$B$5, NP2023_deaths!$C:$C, 2028), 0))</f>
        <v>4423</v>
      </c>
      <c r="G31" s="37">
        <f>IF(Keys!$C$5="", 0, IFERROR(SUMIFS(NP2023_deaths!$E:$E, NP2023_deaths!$A:$A, Keys!$C$5, NP2023_deaths!$B:$B, Keys!$B$5, NP2023_deaths!$C:$C, 2029), 0))+IF(Keys!$D$5="", 0, IFERROR(SUMIFS(NP2023_deaths!$E:$E, NP2023_deaths!$A:$A, Keys!$D$5, NP2023_deaths!$B:$B, Keys!$B$5, NP2023_deaths!$C:$C, 2029), 0))+IF(Keys!$E$5="", 0, IFERROR(SUMIFS(NP2023_deaths!$E:$E, NP2023_deaths!$A:$A, Keys!$E$5, NP2023_deaths!$B:$B, Keys!$B$5, NP2023_deaths!$C:$C, 2029), 0))+IF(Keys!$F$5="", 0, IFERROR(SUMIFS(NP2023_deaths!$E:$E, NP2023_deaths!$A:$A, Keys!$F$5, NP2023_deaths!$B:$B, Keys!$B$5, NP2023_deaths!$C:$C, 2029), 0))+IF(Keys!$G$5="", 0, IFERROR(SUMIFS(NP2023_deaths!$E:$E, NP2023_deaths!$A:$A, Keys!$G$5, NP2023_deaths!$B:$B, Keys!$B$5, NP2023_deaths!$C:$C, 2029), 0))+IF(Keys!$H$5="", 0, IFERROR(SUMIFS(NP2023_deaths!$E:$E, NP2023_deaths!$A:$A, Keys!$H$5, NP2023_deaths!$B:$B, Keys!$B$5, NP2023_deaths!$C:$C, 2029), 0))</f>
        <v>4357</v>
      </c>
      <c r="H31" s="37">
        <f>IF(Keys!$C$5="", 0, IFERROR(SUMIFS(NP2023_deaths!$E:$E, NP2023_deaths!$A:$A, Keys!$C$5, NP2023_deaths!$B:$B, Keys!$B$5, NP2023_deaths!$C:$C, 2030), 0))+IF(Keys!$D$5="", 0, IFERROR(SUMIFS(NP2023_deaths!$E:$E, NP2023_deaths!$A:$A, Keys!$D$5, NP2023_deaths!$B:$B, Keys!$B$5, NP2023_deaths!$C:$C, 2030), 0))+IF(Keys!$E$5="", 0, IFERROR(SUMIFS(NP2023_deaths!$E:$E, NP2023_deaths!$A:$A, Keys!$E$5, NP2023_deaths!$B:$B, Keys!$B$5, NP2023_deaths!$C:$C, 2030), 0))+IF(Keys!$F$5="", 0, IFERROR(SUMIFS(NP2023_deaths!$E:$E, NP2023_deaths!$A:$A, Keys!$F$5, NP2023_deaths!$B:$B, Keys!$B$5, NP2023_deaths!$C:$C, 2030), 0))+IF(Keys!$G$5="", 0, IFERROR(SUMIFS(NP2023_deaths!$E:$E, NP2023_deaths!$A:$A, Keys!$G$5, NP2023_deaths!$B:$B, Keys!$B$5, NP2023_deaths!$C:$C, 2030), 0))+IF(Keys!$H$5="", 0, IFERROR(SUMIFS(NP2023_deaths!$E:$E, NP2023_deaths!$A:$A, Keys!$H$5, NP2023_deaths!$B:$B, Keys!$B$5, NP2023_deaths!$C:$C, 2030), 0))</f>
        <v>4288</v>
      </c>
      <c r="I31" s="37">
        <f>IF(Keys!$C$5="", 0, IFERROR(SUMIFS(NP2023_deaths!$E:$E, NP2023_deaths!$A:$A, Keys!$C$5, NP2023_deaths!$B:$B, Keys!$B$5, NP2023_deaths!$C:$C, 2031), 0))+IF(Keys!$D$5="", 0, IFERROR(SUMIFS(NP2023_deaths!$E:$E, NP2023_deaths!$A:$A, Keys!$D$5, NP2023_deaths!$B:$B, Keys!$B$5, NP2023_deaths!$C:$C, 2031), 0))+IF(Keys!$E$5="", 0, IFERROR(SUMIFS(NP2023_deaths!$E:$E, NP2023_deaths!$A:$A, Keys!$E$5, NP2023_deaths!$B:$B, Keys!$B$5, NP2023_deaths!$C:$C, 2031), 0))+IF(Keys!$F$5="", 0, IFERROR(SUMIFS(NP2023_deaths!$E:$E, NP2023_deaths!$A:$A, Keys!$F$5, NP2023_deaths!$B:$B, Keys!$B$5, NP2023_deaths!$C:$C, 2031), 0))+IF(Keys!$G$5="", 0, IFERROR(SUMIFS(NP2023_deaths!$E:$E, NP2023_deaths!$A:$A, Keys!$G$5, NP2023_deaths!$B:$B, Keys!$B$5, NP2023_deaths!$C:$C, 2031), 0))+IF(Keys!$H$5="", 0, IFERROR(SUMIFS(NP2023_deaths!$E:$E, NP2023_deaths!$A:$A, Keys!$H$5, NP2023_deaths!$B:$B, Keys!$B$5, NP2023_deaths!$C:$C, 2031), 0))</f>
        <v>4220</v>
      </c>
      <c r="J31" s="37">
        <f>IF(Keys!$C$5="", 0, IFERROR(SUMIFS(NP2023_deaths!$E:$E, NP2023_deaths!$A:$A, Keys!$C$5, NP2023_deaths!$B:$B, Keys!$B$5, NP2023_deaths!$C:$C, 2032), 0))+IF(Keys!$D$5="", 0, IFERROR(SUMIFS(NP2023_deaths!$E:$E, NP2023_deaths!$A:$A, Keys!$D$5, NP2023_deaths!$B:$B, Keys!$B$5, NP2023_deaths!$C:$C, 2032), 0))+IF(Keys!$E$5="", 0, IFERROR(SUMIFS(NP2023_deaths!$E:$E, NP2023_deaths!$A:$A, Keys!$E$5, NP2023_deaths!$B:$B, Keys!$B$5, NP2023_deaths!$C:$C, 2032), 0))+IF(Keys!$F$5="", 0, IFERROR(SUMIFS(NP2023_deaths!$E:$E, NP2023_deaths!$A:$A, Keys!$F$5, NP2023_deaths!$B:$B, Keys!$B$5, NP2023_deaths!$C:$C, 2032), 0))+IF(Keys!$G$5="", 0, IFERROR(SUMIFS(NP2023_deaths!$E:$E, NP2023_deaths!$A:$A, Keys!$G$5, NP2023_deaths!$B:$B, Keys!$B$5, NP2023_deaths!$C:$C, 2032), 0))+IF(Keys!$H$5="", 0, IFERROR(SUMIFS(NP2023_deaths!$E:$E, NP2023_deaths!$A:$A, Keys!$H$5, NP2023_deaths!$B:$B, Keys!$B$5, NP2023_deaths!$C:$C, 2032), 0))</f>
        <v>4152</v>
      </c>
      <c r="K31" s="37">
        <f>IF(Keys!$C$5="", 0, IFERROR(SUMIFS(NP2023_deaths!$E:$E, NP2023_deaths!$A:$A, Keys!$C$5, NP2023_deaths!$B:$B, Keys!$B$5, NP2023_deaths!$C:$C, 2033), 0))+IF(Keys!$D$5="", 0, IFERROR(SUMIFS(NP2023_deaths!$E:$E, NP2023_deaths!$A:$A, Keys!$D$5, NP2023_deaths!$B:$B, Keys!$B$5, NP2023_deaths!$C:$C, 2033), 0))+IF(Keys!$E$5="", 0, IFERROR(SUMIFS(NP2023_deaths!$E:$E, NP2023_deaths!$A:$A, Keys!$E$5, NP2023_deaths!$B:$B, Keys!$B$5, NP2023_deaths!$C:$C, 2033), 0))+IF(Keys!$F$5="", 0, IFERROR(SUMIFS(NP2023_deaths!$E:$E, NP2023_deaths!$A:$A, Keys!$F$5, NP2023_deaths!$B:$B, Keys!$B$5, NP2023_deaths!$C:$C, 2033), 0))+IF(Keys!$G$5="", 0, IFERROR(SUMIFS(NP2023_deaths!$E:$E, NP2023_deaths!$A:$A, Keys!$G$5, NP2023_deaths!$B:$B, Keys!$B$5, NP2023_deaths!$C:$C, 2033), 0))+IF(Keys!$H$5="", 0, IFERROR(SUMIFS(NP2023_deaths!$E:$E, NP2023_deaths!$A:$A, Keys!$H$5, NP2023_deaths!$B:$B, Keys!$B$5, NP2023_deaths!$C:$C, 2033), 0))</f>
        <v>4084</v>
      </c>
      <c r="L31" s="37">
        <f>IF(Keys!$C$5="", 0, IFERROR(SUMIFS(NP2023_deaths!$E:$E, NP2023_deaths!$A:$A, Keys!$C$5, NP2023_deaths!$B:$B, Keys!$B$5, NP2023_deaths!$C:$C, 2034), 0))+IF(Keys!$D$5="", 0, IFERROR(SUMIFS(NP2023_deaths!$E:$E, NP2023_deaths!$A:$A, Keys!$D$5, NP2023_deaths!$B:$B, Keys!$B$5, NP2023_deaths!$C:$C, 2034), 0))+IF(Keys!$E$5="", 0, IFERROR(SUMIFS(NP2023_deaths!$E:$E, NP2023_deaths!$A:$A, Keys!$E$5, NP2023_deaths!$B:$B, Keys!$B$5, NP2023_deaths!$C:$C, 2034), 0))+IF(Keys!$F$5="", 0, IFERROR(SUMIFS(NP2023_deaths!$E:$E, NP2023_deaths!$A:$A, Keys!$F$5, NP2023_deaths!$B:$B, Keys!$B$5, NP2023_deaths!$C:$C, 2034), 0))+IF(Keys!$G$5="", 0, IFERROR(SUMIFS(NP2023_deaths!$E:$E, NP2023_deaths!$A:$A, Keys!$G$5, NP2023_deaths!$B:$B, Keys!$B$5, NP2023_deaths!$C:$C, 2034), 0))+IF(Keys!$H$5="", 0, IFERROR(SUMIFS(NP2023_deaths!$E:$E, NP2023_deaths!$A:$A, Keys!$H$5, NP2023_deaths!$B:$B, Keys!$B$5, NP2023_deaths!$C:$C, 2034), 0))</f>
        <v>4018</v>
      </c>
      <c r="M31" s="37">
        <f>IF(Keys!$C$5="", 0, IFERROR(SUMIFS(NP2023_deaths!$E:$E, NP2023_deaths!$A:$A, Keys!$C$5, NP2023_deaths!$B:$B, Keys!$B$5, NP2023_deaths!$C:$C, 2035), 0))+IF(Keys!$D$5="", 0, IFERROR(SUMIFS(NP2023_deaths!$E:$E, NP2023_deaths!$A:$A, Keys!$D$5, NP2023_deaths!$B:$B, Keys!$B$5, NP2023_deaths!$C:$C, 2035), 0))+IF(Keys!$E$5="", 0, IFERROR(SUMIFS(NP2023_deaths!$E:$E, NP2023_deaths!$A:$A, Keys!$E$5, NP2023_deaths!$B:$B, Keys!$B$5, NP2023_deaths!$C:$C, 2035), 0))+IF(Keys!$F$5="", 0, IFERROR(SUMIFS(NP2023_deaths!$E:$E, NP2023_deaths!$A:$A, Keys!$F$5, NP2023_deaths!$B:$B, Keys!$B$5, NP2023_deaths!$C:$C, 2035), 0))+IF(Keys!$G$5="", 0, IFERROR(SUMIFS(NP2023_deaths!$E:$E, NP2023_deaths!$A:$A, Keys!$G$5, NP2023_deaths!$B:$B, Keys!$B$5, NP2023_deaths!$C:$C, 2035), 0))+IF(Keys!$H$5="", 0, IFERROR(SUMIFS(NP2023_deaths!$E:$E, NP2023_deaths!$A:$A, Keys!$H$5, NP2023_deaths!$B:$B, Keys!$B$5, NP2023_deaths!$C:$C, 2035), 0))</f>
        <v>3955</v>
      </c>
      <c r="N31" s="37">
        <f>IF(Keys!$C$5="", 0, IFERROR(SUMIFS(NP2023_deaths!$E:$E, NP2023_deaths!$A:$A, Keys!$C$5, NP2023_deaths!$B:$B, Keys!$B$5, NP2023_deaths!$C:$C, 2036), 0))+IF(Keys!$D$5="", 0, IFERROR(SUMIFS(NP2023_deaths!$E:$E, NP2023_deaths!$A:$A, Keys!$D$5, NP2023_deaths!$B:$B, Keys!$B$5, NP2023_deaths!$C:$C, 2036), 0))+IF(Keys!$E$5="", 0, IFERROR(SUMIFS(NP2023_deaths!$E:$E, NP2023_deaths!$A:$A, Keys!$E$5, NP2023_deaths!$B:$B, Keys!$B$5, NP2023_deaths!$C:$C, 2036), 0))+IF(Keys!$F$5="", 0, IFERROR(SUMIFS(NP2023_deaths!$E:$E, NP2023_deaths!$A:$A, Keys!$F$5, NP2023_deaths!$B:$B, Keys!$B$5, NP2023_deaths!$C:$C, 2036), 0))+IF(Keys!$G$5="", 0, IFERROR(SUMIFS(NP2023_deaths!$E:$E, NP2023_deaths!$A:$A, Keys!$G$5, NP2023_deaths!$B:$B, Keys!$B$5, NP2023_deaths!$C:$C, 2036), 0))+IF(Keys!$H$5="", 0, IFERROR(SUMIFS(NP2023_deaths!$E:$E, NP2023_deaths!$A:$A, Keys!$H$5, NP2023_deaths!$B:$B, Keys!$B$5, NP2023_deaths!$C:$C, 2036), 0))</f>
        <v>3892</v>
      </c>
      <c r="O31" s="37">
        <f>IF(Keys!$C$5="", 0, IFERROR(SUMIFS(NP2023_deaths!$E:$E, NP2023_deaths!$A:$A, Keys!$C$5, NP2023_deaths!$B:$B, Keys!$B$5, NP2023_deaths!$C:$C, 2037), 0))+IF(Keys!$D$5="", 0, IFERROR(SUMIFS(NP2023_deaths!$E:$E, NP2023_deaths!$A:$A, Keys!$D$5, NP2023_deaths!$B:$B, Keys!$B$5, NP2023_deaths!$C:$C, 2037), 0))+IF(Keys!$E$5="", 0, IFERROR(SUMIFS(NP2023_deaths!$E:$E, NP2023_deaths!$A:$A, Keys!$E$5, NP2023_deaths!$B:$B, Keys!$B$5, NP2023_deaths!$C:$C, 2037), 0))+IF(Keys!$F$5="", 0, IFERROR(SUMIFS(NP2023_deaths!$E:$E, NP2023_deaths!$A:$A, Keys!$F$5, NP2023_deaths!$B:$B, Keys!$B$5, NP2023_deaths!$C:$C, 2037), 0))+IF(Keys!$G$5="", 0, IFERROR(SUMIFS(NP2023_deaths!$E:$E, NP2023_deaths!$A:$A, Keys!$G$5, NP2023_deaths!$B:$B, Keys!$B$5, NP2023_deaths!$C:$C, 2037), 0))+IF(Keys!$H$5="", 0, IFERROR(SUMIFS(NP2023_deaths!$E:$E, NP2023_deaths!$A:$A, Keys!$H$5, NP2023_deaths!$B:$B, Keys!$B$5, NP2023_deaths!$C:$C, 2037), 0))</f>
        <v>3832</v>
      </c>
      <c r="P31" s="37">
        <f>IF(Keys!$C$5="", 0, IFERROR(SUMIFS(NP2023_deaths!$E:$E, NP2023_deaths!$A:$A, Keys!$C$5, NP2023_deaths!$B:$B, Keys!$B$5, NP2023_deaths!$C:$C, 2038), 0))+IF(Keys!$D$5="", 0, IFERROR(SUMIFS(NP2023_deaths!$E:$E, NP2023_deaths!$A:$A, Keys!$D$5, NP2023_deaths!$B:$B, Keys!$B$5, NP2023_deaths!$C:$C, 2038), 0))+IF(Keys!$E$5="", 0, IFERROR(SUMIFS(NP2023_deaths!$E:$E, NP2023_deaths!$A:$A, Keys!$E$5, NP2023_deaths!$B:$B, Keys!$B$5, NP2023_deaths!$C:$C, 2038), 0))+IF(Keys!$F$5="", 0, IFERROR(SUMIFS(NP2023_deaths!$E:$E, NP2023_deaths!$A:$A, Keys!$F$5, NP2023_deaths!$B:$B, Keys!$B$5, NP2023_deaths!$C:$C, 2038), 0))+IF(Keys!$G$5="", 0, IFERROR(SUMIFS(NP2023_deaths!$E:$E, NP2023_deaths!$A:$A, Keys!$G$5, NP2023_deaths!$B:$B, Keys!$B$5, NP2023_deaths!$C:$C, 2038), 0))+IF(Keys!$H$5="", 0, IFERROR(SUMIFS(NP2023_deaths!$E:$E, NP2023_deaths!$A:$A, Keys!$H$5, NP2023_deaths!$B:$B, Keys!$B$5, NP2023_deaths!$C:$C, 2038), 0))</f>
        <v>3772</v>
      </c>
      <c r="Q31" s="37">
        <f>IF(Keys!$C$5="", 0, IFERROR(SUMIFS(NP2023_deaths!$E:$E, NP2023_deaths!$A:$A, Keys!$C$5, NP2023_deaths!$B:$B, Keys!$B$5, NP2023_deaths!$C:$C, 2039), 0))+IF(Keys!$D$5="", 0, IFERROR(SUMIFS(NP2023_deaths!$E:$E, NP2023_deaths!$A:$A, Keys!$D$5, NP2023_deaths!$B:$B, Keys!$B$5, NP2023_deaths!$C:$C, 2039), 0))+IF(Keys!$E$5="", 0, IFERROR(SUMIFS(NP2023_deaths!$E:$E, NP2023_deaths!$A:$A, Keys!$E$5, NP2023_deaths!$B:$B, Keys!$B$5, NP2023_deaths!$C:$C, 2039), 0))+IF(Keys!$F$5="", 0, IFERROR(SUMIFS(NP2023_deaths!$E:$E, NP2023_deaths!$A:$A, Keys!$F$5, NP2023_deaths!$B:$B, Keys!$B$5, NP2023_deaths!$C:$C, 2039), 0))+IF(Keys!$G$5="", 0, IFERROR(SUMIFS(NP2023_deaths!$E:$E, NP2023_deaths!$A:$A, Keys!$G$5, NP2023_deaths!$B:$B, Keys!$B$5, NP2023_deaths!$C:$C, 2039), 0))+IF(Keys!$H$5="", 0, IFERROR(SUMIFS(NP2023_deaths!$E:$E, NP2023_deaths!$A:$A, Keys!$H$5, NP2023_deaths!$B:$B, Keys!$B$5, NP2023_deaths!$C:$C, 2039), 0))</f>
        <v>3714</v>
      </c>
      <c r="R31" s="37">
        <f>IF(Keys!$C$5="", 0, IFERROR(SUMIFS(NP2023_deaths!$E:$E, NP2023_deaths!$A:$A, Keys!$C$5, NP2023_deaths!$B:$B, Keys!$B$5, NP2023_deaths!$C:$C, 2040), 0))+IF(Keys!$D$5="", 0, IFERROR(SUMIFS(NP2023_deaths!$E:$E, NP2023_deaths!$A:$A, Keys!$D$5, NP2023_deaths!$B:$B, Keys!$B$5, NP2023_deaths!$C:$C, 2040), 0))+IF(Keys!$E$5="", 0, IFERROR(SUMIFS(NP2023_deaths!$E:$E, NP2023_deaths!$A:$A, Keys!$E$5, NP2023_deaths!$B:$B, Keys!$B$5, NP2023_deaths!$C:$C, 2040), 0))+IF(Keys!$F$5="", 0, IFERROR(SUMIFS(NP2023_deaths!$E:$E, NP2023_deaths!$A:$A, Keys!$F$5, NP2023_deaths!$B:$B, Keys!$B$5, NP2023_deaths!$C:$C, 2040), 0))+IF(Keys!$G$5="", 0, IFERROR(SUMIFS(NP2023_deaths!$E:$E, NP2023_deaths!$A:$A, Keys!$G$5, NP2023_deaths!$B:$B, Keys!$B$5, NP2023_deaths!$C:$C, 2040), 0))+IF(Keys!$H$5="", 0, IFERROR(SUMIFS(NP2023_deaths!$E:$E, NP2023_deaths!$A:$A, Keys!$H$5, NP2023_deaths!$B:$B, Keys!$B$5, NP2023_deaths!$C:$C, 2040), 0))</f>
        <v>3657</v>
      </c>
      <c r="S31" s="37">
        <f>IF(Keys!$C$5="", 0, IFERROR(SUMIFS(NP2023_deaths!$E:$E, NP2023_deaths!$A:$A, Keys!$C$5, NP2023_deaths!$B:$B, Keys!$B$5, NP2023_deaths!$C:$C, 2041), 0))+IF(Keys!$D$5="", 0, IFERROR(SUMIFS(NP2023_deaths!$E:$E, NP2023_deaths!$A:$A, Keys!$D$5, NP2023_deaths!$B:$B, Keys!$B$5, NP2023_deaths!$C:$C, 2041), 0))+IF(Keys!$E$5="", 0, IFERROR(SUMIFS(NP2023_deaths!$E:$E, NP2023_deaths!$A:$A, Keys!$E$5, NP2023_deaths!$B:$B, Keys!$B$5, NP2023_deaths!$C:$C, 2041), 0))+IF(Keys!$F$5="", 0, IFERROR(SUMIFS(NP2023_deaths!$E:$E, NP2023_deaths!$A:$A, Keys!$F$5, NP2023_deaths!$B:$B, Keys!$B$5, NP2023_deaths!$C:$C, 2041), 0))+IF(Keys!$G$5="", 0, IFERROR(SUMIFS(NP2023_deaths!$E:$E, NP2023_deaths!$A:$A, Keys!$G$5, NP2023_deaths!$B:$B, Keys!$B$5, NP2023_deaths!$C:$C, 2041), 0))+IF(Keys!$H$5="", 0, IFERROR(SUMIFS(NP2023_deaths!$E:$E, NP2023_deaths!$A:$A, Keys!$H$5, NP2023_deaths!$B:$B, Keys!$B$5, NP2023_deaths!$C:$C, 2041), 0))</f>
        <v>3600</v>
      </c>
      <c r="T31" s="37">
        <f>IF(Keys!$C$5="", 0, IFERROR(SUMIFS(NP2023_deaths!$E:$E, NP2023_deaths!$A:$A, Keys!$C$5, NP2023_deaths!$B:$B, Keys!$B$5, NP2023_deaths!$C:$C, 2042), 0))+IF(Keys!$D$5="", 0, IFERROR(SUMIFS(NP2023_deaths!$E:$E, NP2023_deaths!$A:$A, Keys!$D$5, NP2023_deaths!$B:$B, Keys!$B$5, NP2023_deaths!$C:$C, 2042), 0))+IF(Keys!$E$5="", 0, IFERROR(SUMIFS(NP2023_deaths!$E:$E, NP2023_deaths!$A:$A, Keys!$E$5, NP2023_deaths!$B:$B, Keys!$B$5, NP2023_deaths!$C:$C, 2042), 0))+IF(Keys!$F$5="", 0, IFERROR(SUMIFS(NP2023_deaths!$E:$E, NP2023_deaths!$A:$A, Keys!$F$5, NP2023_deaths!$B:$B, Keys!$B$5, NP2023_deaths!$C:$C, 2042), 0))+IF(Keys!$G$5="", 0, IFERROR(SUMIFS(NP2023_deaths!$E:$E, NP2023_deaths!$A:$A, Keys!$G$5, NP2023_deaths!$B:$B, Keys!$B$5, NP2023_deaths!$C:$C, 2042), 0))+IF(Keys!$H$5="", 0, IFERROR(SUMIFS(NP2023_deaths!$E:$E, NP2023_deaths!$A:$A, Keys!$H$5, NP2023_deaths!$B:$B, Keys!$B$5, NP2023_deaths!$C:$C, 2042), 0))</f>
        <v>3544</v>
      </c>
      <c r="U31" s="37">
        <f>IF(Keys!$C$5="", 0, IFERROR(SUMIFS(NP2023_deaths!$E:$E, NP2023_deaths!$A:$A, Keys!$C$5, NP2023_deaths!$B:$B, Keys!$B$5, NP2023_deaths!$C:$C, 2043), 0))+IF(Keys!$D$5="", 0, IFERROR(SUMIFS(NP2023_deaths!$E:$E, NP2023_deaths!$A:$A, Keys!$D$5, NP2023_deaths!$B:$B, Keys!$B$5, NP2023_deaths!$C:$C, 2043), 0))+IF(Keys!$E$5="", 0, IFERROR(SUMIFS(NP2023_deaths!$E:$E, NP2023_deaths!$A:$A, Keys!$E$5, NP2023_deaths!$B:$B, Keys!$B$5, NP2023_deaths!$C:$C, 2043), 0))+IF(Keys!$F$5="", 0, IFERROR(SUMIFS(NP2023_deaths!$E:$E, NP2023_deaths!$A:$A, Keys!$F$5, NP2023_deaths!$B:$B, Keys!$B$5, NP2023_deaths!$C:$C, 2043), 0))+IF(Keys!$G$5="", 0, IFERROR(SUMIFS(NP2023_deaths!$E:$E, NP2023_deaths!$A:$A, Keys!$G$5, NP2023_deaths!$B:$B, Keys!$B$5, NP2023_deaths!$C:$C, 2043), 0))+IF(Keys!$H$5="", 0, IFERROR(SUMIFS(NP2023_deaths!$E:$E, NP2023_deaths!$A:$A, Keys!$H$5, NP2023_deaths!$B:$B, Keys!$B$5, NP2023_deaths!$C:$C, 2043), 0))</f>
        <v>3488</v>
      </c>
      <c r="V31" s="37">
        <f>IF(Keys!$C$5="", 0, IFERROR(SUMIFS(NP2023_deaths!$E:$E, NP2023_deaths!$A:$A, Keys!$C$5, NP2023_deaths!$B:$B, Keys!$B$5, NP2023_deaths!$C:$C, 2044), 0))+IF(Keys!$D$5="", 0, IFERROR(SUMIFS(NP2023_deaths!$E:$E, NP2023_deaths!$A:$A, Keys!$D$5, NP2023_deaths!$B:$B, Keys!$B$5, NP2023_deaths!$C:$C, 2044), 0))+IF(Keys!$E$5="", 0, IFERROR(SUMIFS(NP2023_deaths!$E:$E, NP2023_deaths!$A:$A, Keys!$E$5, NP2023_deaths!$B:$B, Keys!$B$5, NP2023_deaths!$C:$C, 2044), 0))+IF(Keys!$F$5="", 0, IFERROR(SUMIFS(NP2023_deaths!$E:$E, NP2023_deaths!$A:$A, Keys!$F$5, NP2023_deaths!$B:$B, Keys!$B$5, NP2023_deaths!$C:$C, 2044), 0))+IF(Keys!$G$5="", 0, IFERROR(SUMIFS(NP2023_deaths!$E:$E, NP2023_deaths!$A:$A, Keys!$G$5, NP2023_deaths!$B:$B, Keys!$B$5, NP2023_deaths!$C:$C, 2044), 0))+IF(Keys!$H$5="", 0, IFERROR(SUMIFS(NP2023_deaths!$E:$E, NP2023_deaths!$A:$A, Keys!$H$5, NP2023_deaths!$B:$B, Keys!$B$5, NP2023_deaths!$C:$C, 2044), 0))</f>
        <v>3434</v>
      </c>
      <c r="W31" s="37">
        <f>IF(Keys!$C$5="", 0, IFERROR(SUMIFS(NP2023_deaths!$E:$E, NP2023_deaths!$A:$A, Keys!$C$5, NP2023_deaths!$B:$B, Keys!$B$5, NP2023_deaths!$C:$C, 2045), 0))+IF(Keys!$D$5="", 0, IFERROR(SUMIFS(NP2023_deaths!$E:$E, NP2023_deaths!$A:$A, Keys!$D$5, NP2023_deaths!$B:$B, Keys!$B$5, NP2023_deaths!$C:$C, 2045), 0))+IF(Keys!$E$5="", 0, IFERROR(SUMIFS(NP2023_deaths!$E:$E, NP2023_deaths!$A:$A, Keys!$E$5, NP2023_deaths!$B:$B, Keys!$B$5, NP2023_deaths!$C:$C, 2045), 0))+IF(Keys!$F$5="", 0, IFERROR(SUMIFS(NP2023_deaths!$E:$E, NP2023_deaths!$A:$A, Keys!$F$5, NP2023_deaths!$B:$B, Keys!$B$5, NP2023_deaths!$C:$C, 2045), 0))+IF(Keys!$G$5="", 0, IFERROR(SUMIFS(NP2023_deaths!$E:$E, NP2023_deaths!$A:$A, Keys!$G$5, NP2023_deaths!$B:$B, Keys!$B$5, NP2023_deaths!$C:$C, 2045), 0))+IF(Keys!$H$5="", 0, IFERROR(SUMIFS(NP2023_deaths!$E:$E, NP2023_deaths!$A:$A, Keys!$H$5, NP2023_deaths!$B:$B, Keys!$B$5, NP2023_deaths!$C:$C, 2045), 0))</f>
        <v>3379</v>
      </c>
      <c r="X31" s="37">
        <f>IF(Keys!$C$5="", 0, IFERROR(SUMIFS(NP2023_deaths!$E:$E, NP2023_deaths!$A:$A, Keys!$C$5, NP2023_deaths!$B:$B, Keys!$B$5, NP2023_deaths!$C:$C, 2046), 0))+IF(Keys!$D$5="", 0, IFERROR(SUMIFS(NP2023_deaths!$E:$E, NP2023_deaths!$A:$A, Keys!$D$5, NP2023_deaths!$B:$B, Keys!$B$5, NP2023_deaths!$C:$C, 2046), 0))+IF(Keys!$E$5="", 0, IFERROR(SUMIFS(NP2023_deaths!$E:$E, NP2023_deaths!$A:$A, Keys!$E$5, NP2023_deaths!$B:$B, Keys!$B$5, NP2023_deaths!$C:$C, 2046), 0))+IF(Keys!$F$5="", 0, IFERROR(SUMIFS(NP2023_deaths!$E:$E, NP2023_deaths!$A:$A, Keys!$F$5, NP2023_deaths!$B:$B, Keys!$B$5, NP2023_deaths!$C:$C, 2046), 0))+IF(Keys!$G$5="", 0, IFERROR(SUMIFS(NP2023_deaths!$E:$E, NP2023_deaths!$A:$A, Keys!$G$5, NP2023_deaths!$B:$B, Keys!$B$5, NP2023_deaths!$C:$C, 2046), 0))+IF(Keys!$H$5="", 0, IFERROR(SUMIFS(NP2023_deaths!$E:$E, NP2023_deaths!$A:$A, Keys!$H$5, NP2023_deaths!$B:$B, Keys!$B$5, NP2023_deaths!$C:$C, 2046), 0))</f>
        <v>3326</v>
      </c>
      <c r="Y31" s="37">
        <f>IF(Keys!$C$5="", 0, IFERROR(SUMIFS(NP2023_deaths!$E:$E, NP2023_deaths!$A:$A, Keys!$C$5, NP2023_deaths!$B:$B, Keys!$B$5, NP2023_deaths!$C:$C, 2047), 0))+IF(Keys!$D$5="", 0, IFERROR(SUMIFS(NP2023_deaths!$E:$E, NP2023_deaths!$A:$A, Keys!$D$5, NP2023_deaths!$B:$B, Keys!$B$5, NP2023_deaths!$C:$C, 2047), 0))+IF(Keys!$E$5="", 0, IFERROR(SUMIFS(NP2023_deaths!$E:$E, NP2023_deaths!$A:$A, Keys!$E$5, NP2023_deaths!$B:$B, Keys!$B$5, NP2023_deaths!$C:$C, 2047), 0))+IF(Keys!$F$5="", 0, IFERROR(SUMIFS(NP2023_deaths!$E:$E, NP2023_deaths!$A:$A, Keys!$F$5, NP2023_deaths!$B:$B, Keys!$B$5, NP2023_deaths!$C:$C, 2047), 0))+IF(Keys!$G$5="", 0, IFERROR(SUMIFS(NP2023_deaths!$E:$E, NP2023_deaths!$A:$A, Keys!$G$5, NP2023_deaths!$B:$B, Keys!$B$5, NP2023_deaths!$C:$C, 2047), 0))+IF(Keys!$H$5="", 0, IFERROR(SUMIFS(NP2023_deaths!$E:$E, NP2023_deaths!$A:$A, Keys!$H$5, NP2023_deaths!$B:$B, Keys!$B$5, NP2023_deaths!$C:$C, 2047), 0))</f>
        <v>3276</v>
      </c>
      <c r="Z31" s="37">
        <f>IF(Keys!$C$5="", 0, IFERROR(SUMIFS(NP2023_deaths!$E:$E, NP2023_deaths!$A:$A, Keys!$C$5, NP2023_deaths!$B:$B, Keys!$B$5, NP2023_deaths!$C:$C, 2048), 0))+IF(Keys!$D$5="", 0, IFERROR(SUMIFS(NP2023_deaths!$E:$E, NP2023_deaths!$A:$A, Keys!$D$5, NP2023_deaths!$B:$B, Keys!$B$5, NP2023_deaths!$C:$C, 2048), 0))+IF(Keys!$E$5="", 0, IFERROR(SUMIFS(NP2023_deaths!$E:$E, NP2023_deaths!$A:$A, Keys!$E$5, NP2023_deaths!$B:$B, Keys!$B$5, NP2023_deaths!$C:$C, 2048), 0))+IF(Keys!$F$5="", 0, IFERROR(SUMIFS(NP2023_deaths!$E:$E, NP2023_deaths!$A:$A, Keys!$F$5, NP2023_deaths!$B:$B, Keys!$B$5, NP2023_deaths!$C:$C, 2048), 0))+IF(Keys!$G$5="", 0, IFERROR(SUMIFS(NP2023_deaths!$E:$E, NP2023_deaths!$A:$A, Keys!$G$5, NP2023_deaths!$B:$B, Keys!$B$5, NP2023_deaths!$C:$C, 2048), 0))+IF(Keys!$H$5="", 0, IFERROR(SUMIFS(NP2023_deaths!$E:$E, NP2023_deaths!$A:$A, Keys!$H$5, NP2023_deaths!$B:$B, Keys!$B$5, NP2023_deaths!$C:$C, 2048), 0))</f>
        <v>3226</v>
      </c>
      <c r="AA31" s="37">
        <f>IF(Keys!$C$5="", 0, IFERROR(SUMIFS(NP2023_deaths!$E:$E, NP2023_deaths!$A:$A, Keys!$C$5, NP2023_deaths!$B:$B, Keys!$B$5, NP2023_deaths!$C:$C, 2049), 0))+IF(Keys!$D$5="", 0, IFERROR(SUMIFS(NP2023_deaths!$E:$E, NP2023_deaths!$A:$A, Keys!$D$5, NP2023_deaths!$B:$B, Keys!$B$5, NP2023_deaths!$C:$C, 2049), 0))+IF(Keys!$E$5="", 0, IFERROR(SUMIFS(NP2023_deaths!$E:$E, NP2023_deaths!$A:$A, Keys!$E$5, NP2023_deaths!$B:$B, Keys!$B$5, NP2023_deaths!$C:$C, 2049), 0))+IF(Keys!$F$5="", 0, IFERROR(SUMIFS(NP2023_deaths!$E:$E, NP2023_deaths!$A:$A, Keys!$F$5, NP2023_deaths!$B:$B, Keys!$B$5, NP2023_deaths!$C:$C, 2049), 0))+IF(Keys!$G$5="", 0, IFERROR(SUMIFS(NP2023_deaths!$E:$E, NP2023_deaths!$A:$A, Keys!$G$5, NP2023_deaths!$B:$B, Keys!$B$5, NP2023_deaths!$C:$C, 2049), 0))+IF(Keys!$H$5="", 0, IFERROR(SUMIFS(NP2023_deaths!$E:$E, NP2023_deaths!$A:$A, Keys!$H$5, NP2023_deaths!$B:$B, Keys!$B$5, NP2023_deaths!$C:$C, 2049), 0))</f>
        <v>3178</v>
      </c>
      <c r="AB31" s="37">
        <f>IF(Keys!$C$5="", 0, IFERROR(SUMIFS(NP2023_deaths!$E:$E, NP2023_deaths!$A:$A, Keys!$C$5, NP2023_deaths!$B:$B, Keys!$B$5, NP2023_deaths!$C:$C, 2050), 0))+IF(Keys!$D$5="", 0, IFERROR(SUMIFS(NP2023_deaths!$E:$E, NP2023_deaths!$A:$A, Keys!$D$5, NP2023_deaths!$B:$B, Keys!$B$5, NP2023_deaths!$C:$C, 2050), 0))+IF(Keys!$E$5="", 0, IFERROR(SUMIFS(NP2023_deaths!$E:$E, NP2023_deaths!$A:$A, Keys!$E$5, NP2023_deaths!$B:$B, Keys!$B$5, NP2023_deaths!$C:$C, 2050), 0))+IF(Keys!$F$5="", 0, IFERROR(SUMIFS(NP2023_deaths!$E:$E, NP2023_deaths!$A:$A, Keys!$F$5, NP2023_deaths!$B:$B, Keys!$B$5, NP2023_deaths!$C:$C, 2050), 0))+IF(Keys!$G$5="", 0, IFERROR(SUMIFS(NP2023_deaths!$E:$E, NP2023_deaths!$A:$A, Keys!$G$5, NP2023_deaths!$B:$B, Keys!$B$5, NP2023_deaths!$C:$C, 2050), 0))+IF(Keys!$H$5="", 0, IFERROR(SUMIFS(NP2023_deaths!$E:$E, NP2023_deaths!$A:$A, Keys!$H$5, NP2023_deaths!$B:$B, Keys!$B$5, NP2023_deaths!$C:$C, 2050), 0))</f>
        <v>3130</v>
      </c>
    </row>
    <row r="32" spans="1:28" x14ac:dyDescent="0.25">
      <c r="A32" s="4" t="s">
        <v>219</v>
      </c>
      <c r="B32" s="37">
        <f>IF(Keys!$C$6="", 0, IFERROR(SUMIFS(NP2023_deaths!$E:$E, NP2023_deaths!$A:$A, Keys!$C$6, NP2023_deaths!$B:$B, Keys!$B$6, NP2023_deaths!$C:$C, 2024), 0))+IF(Keys!$D$6="", 0, IFERROR(SUMIFS(NP2023_deaths!$E:$E, NP2023_deaths!$A:$A, Keys!$D$6, NP2023_deaths!$B:$B, Keys!$B$6, NP2023_deaths!$C:$C, 2024), 0))+IF(Keys!$E$6="", 0, IFERROR(SUMIFS(NP2023_deaths!$E:$E, NP2023_deaths!$A:$A, Keys!$E$6, NP2023_deaths!$B:$B, Keys!$B$6, NP2023_deaths!$C:$C, 2024), 0))+IF(Keys!$F$6="", 0, IFERROR(SUMIFS(NP2023_deaths!$E:$E, NP2023_deaths!$A:$A, Keys!$F$6, NP2023_deaths!$B:$B, Keys!$B$6, NP2023_deaths!$C:$C, 2024), 0))+IF(Keys!$G$6="", 0, IFERROR(SUMIFS(NP2023_deaths!$E:$E, NP2023_deaths!$A:$A, Keys!$G$6, NP2023_deaths!$B:$B, Keys!$B$6, NP2023_deaths!$C:$C, 2024), 0))+IF(Keys!$H$6="", 0, IFERROR(SUMIFS(NP2023_deaths!$E:$E, NP2023_deaths!$A:$A, Keys!$H$6, NP2023_deaths!$B:$B, Keys!$B$6, NP2023_deaths!$C:$C, 2024), 0))</f>
        <v>861</v>
      </c>
      <c r="C32" s="37">
        <f>IF(Keys!$C$6="", 0, IFERROR(SUMIFS(NP2023_deaths!$E:$E, NP2023_deaths!$A:$A, Keys!$C$6, NP2023_deaths!$B:$B, Keys!$B$6, NP2023_deaths!$C:$C, 2025), 0))+IF(Keys!$D$6="", 0, IFERROR(SUMIFS(NP2023_deaths!$E:$E, NP2023_deaths!$A:$A, Keys!$D$6, NP2023_deaths!$B:$B, Keys!$B$6, NP2023_deaths!$C:$C, 2025), 0))+IF(Keys!$E$6="", 0, IFERROR(SUMIFS(NP2023_deaths!$E:$E, NP2023_deaths!$A:$A, Keys!$E$6, NP2023_deaths!$B:$B, Keys!$B$6, NP2023_deaths!$C:$C, 2025), 0))+IF(Keys!$F$6="", 0, IFERROR(SUMIFS(NP2023_deaths!$E:$E, NP2023_deaths!$A:$A, Keys!$F$6, NP2023_deaths!$B:$B, Keys!$B$6, NP2023_deaths!$C:$C, 2025), 0))+IF(Keys!$G$6="", 0, IFERROR(SUMIFS(NP2023_deaths!$E:$E, NP2023_deaths!$A:$A, Keys!$G$6, NP2023_deaths!$B:$B, Keys!$B$6, NP2023_deaths!$C:$C, 2025), 0))+IF(Keys!$H$6="", 0, IFERROR(SUMIFS(NP2023_deaths!$E:$E, NP2023_deaths!$A:$A, Keys!$H$6, NP2023_deaths!$B:$B, Keys!$B$6, NP2023_deaths!$C:$C, 2025), 0))</f>
        <v>864</v>
      </c>
      <c r="D32" s="37">
        <f>IF(Keys!$C$6="", 0, IFERROR(SUMIFS(NP2023_deaths!$E:$E, NP2023_deaths!$A:$A, Keys!$C$6, NP2023_deaths!$B:$B, Keys!$B$6, NP2023_deaths!$C:$C, 2026), 0))+IF(Keys!$D$6="", 0, IFERROR(SUMIFS(NP2023_deaths!$E:$E, NP2023_deaths!$A:$A, Keys!$D$6, NP2023_deaths!$B:$B, Keys!$B$6, NP2023_deaths!$C:$C, 2026), 0))+IF(Keys!$E$6="", 0, IFERROR(SUMIFS(NP2023_deaths!$E:$E, NP2023_deaths!$A:$A, Keys!$E$6, NP2023_deaths!$B:$B, Keys!$B$6, NP2023_deaths!$C:$C, 2026), 0))+IF(Keys!$F$6="", 0, IFERROR(SUMIFS(NP2023_deaths!$E:$E, NP2023_deaths!$A:$A, Keys!$F$6, NP2023_deaths!$B:$B, Keys!$B$6, NP2023_deaths!$C:$C, 2026), 0))+IF(Keys!$G$6="", 0, IFERROR(SUMIFS(NP2023_deaths!$E:$E, NP2023_deaths!$A:$A, Keys!$G$6, NP2023_deaths!$B:$B, Keys!$B$6, NP2023_deaths!$C:$C, 2026), 0))+IF(Keys!$H$6="", 0, IFERROR(SUMIFS(NP2023_deaths!$E:$E, NP2023_deaths!$A:$A, Keys!$H$6, NP2023_deaths!$B:$B, Keys!$B$6, NP2023_deaths!$C:$C, 2026), 0))</f>
        <v>867</v>
      </c>
      <c r="E32" s="37">
        <f>IF(Keys!$C$6="", 0, IFERROR(SUMIFS(NP2023_deaths!$E:$E, NP2023_deaths!$A:$A, Keys!$C$6, NP2023_deaths!$B:$B, Keys!$B$6, NP2023_deaths!$C:$C, 2027), 0))+IF(Keys!$D$6="", 0, IFERROR(SUMIFS(NP2023_deaths!$E:$E, NP2023_deaths!$A:$A, Keys!$D$6, NP2023_deaths!$B:$B, Keys!$B$6, NP2023_deaths!$C:$C, 2027), 0))+IF(Keys!$E$6="", 0, IFERROR(SUMIFS(NP2023_deaths!$E:$E, NP2023_deaths!$A:$A, Keys!$E$6, NP2023_deaths!$B:$B, Keys!$B$6, NP2023_deaths!$C:$C, 2027), 0))+IF(Keys!$F$6="", 0, IFERROR(SUMIFS(NP2023_deaths!$E:$E, NP2023_deaths!$A:$A, Keys!$F$6, NP2023_deaths!$B:$B, Keys!$B$6, NP2023_deaths!$C:$C, 2027), 0))+IF(Keys!$G$6="", 0, IFERROR(SUMIFS(NP2023_deaths!$E:$E, NP2023_deaths!$A:$A, Keys!$G$6, NP2023_deaths!$B:$B, Keys!$B$6, NP2023_deaths!$C:$C, 2027), 0))+IF(Keys!$H$6="", 0, IFERROR(SUMIFS(NP2023_deaths!$E:$E, NP2023_deaths!$A:$A, Keys!$H$6, NP2023_deaths!$B:$B, Keys!$B$6, NP2023_deaths!$C:$C, 2027), 0))</f>
        <v>871</v>
      </c>
      <c r="F32" s="37">
        <f>IF(Keys!$C$6="", 0, IFERROR(SUMIFS(NP2023_deaths!$E:$E, NP2023_deaths!$A:$A, Keys!$C$6, NP2023_deaths!$B:$B, Keys!$B$6, NP2023_deaths!$C:$C, 2028), 0))+IF(Keys!$D$6="", 0, IFERROR(SUMIFS(NP2023_deaths!$E:$E, NP2023_deaths!$A:$A, Keys!$D$6, NP2023_deaths!$B:$B, Keys!$B$6, NP2023_deaths!$C:$C, 2028), 0))+IF(Keys!$E$6="", 0, IFERROR(SUMIFS(NP2023_deaths!$E:$E, NP2023_deaths!$A:$A, Keys!$E$6, NP2023_deaths!$B:$B, Keys!$B$6, NP2023_deaths!$C:$C, 2028), 0))+IF(Keys!$F$6="", 0, IFERROR(SUMIFS(NP2023_deaths!$E:$E, NP2023_deaths!$A:$A, Keys!$F$6, NP2023_deaths!$B:$B, Keys!$B$6, NP2023_deaths!$C:$C, 2028), 0))+IF(Keys!$G$6="", 0, IFERROR(SUMIFS(NP2023_deaths!$E:$E, NP2023_deaths!$A:$A, Keys!$G$6, NP2023_deaths!$B:$B, Keys!$B$6, NP2023_deaths!$C:$C, 2028), 0))+IF(Keys!$H$6="", 0, IFERROR(SUMIFS(NP2023_deaths!$E:$E, NP2023_deaths!$A:$A, Keys!$H$6, NP2023_deaths!$B:$B, Keys!$B$6, NP2023_deaths!$C:$C, 2028), 0))</f>
        <v>875</v>
      </c>
      <c r="G32" s="37">
        <f>IF(Keys!$C$6="", 0, IFERROR(SUMIFS(NP2023_deaths!$E:$E, NP2023_deaths!$A:$A, Keys!$C$6, NP2023_deaths!$B:$B, Keys!$B$6, NP2023_deaths!$C:$C, 2029), 0))+IF(Keys!$D$6="", 0, IFERROR(SUMIFS(NP2023_deaths!$E:$E, NP2023_deaths!$A:$A, Keys!$D$6, NP2023_deaths!$B:$B, Keys!$B$6, NP2023_deaths!$C:$C, 2029), 0))+IF(Keys!$E$6="", 0, IFERROR(SUMIFS(NP2023_deaths!$E:$E, NP2023_deaths!$A:$A, Keys!$E$6, NP2023_deaths!$B:$B, Keys!$B$6, NP2023_deaths!$C:$C, 2029), 0))+IF(Keys!$F$6="", 0, IFERROR(SUMIFS(NP2023_deaths!$E:$E, NP2023_deaths!$A:$A, Keys!$F$6, NP2023_deaths!$B:$B, Keys!$B$6, NP2023_deaths!$C:$C, 2029), 0))+IF(Keys!$G$6="", 0, IFERROR(SUMIFS(NP2023_deaths!$E:$E, NP2023_deaths!$A:$A, Keys!$G$6, NP2023_deaths!$B:$B, Keys!$B$6, NP2023_deaths!$C:$C, 2029), 0))+IF(Keys!$H$6="", 0, IFERROR(SUMIFS(NP2023_deaths!$E:$E, NP2023_deaths!$A:$A, Keys!$H$6, NP2023_deaths!$B:$B, Keys!$B$6, NP2023_deaths!$C:$C, 2029), 0))</f>
        <v>879</v>
      </c>
      <c r="H32" s="37">
        <f>IF(Keys!$C$6="", 0, IFERROR(SUMIFS(NP2023_deaths!$E:$E, NP2023_deaths!$A:$A, Keys!$C$6, NP2023_deaths!$B:$B, Keys!$B$6, NP2023_deaths!$C:$C, 2030), 0))+IF(Keys!$D$6="", 0, IFERROR(SUMIFS(NP2023_deaths!$E:$E, NP2023_deaths!$A:$A, Keys!$D$6, NP2023_deaths!$B:$B, Keys!$B$6, NP2023_deaths!$C:$C, 2030), 0))+IF(Keys!$E$6="", 0, IFERROR(SUMIFS(NP2023_deaths!$E:$E, NP2023_deaths!$A:$A, Keys!$E$6, NP2023_deaths!$B:$B, Keys!$B$6, NP2023_deaths!$C:$C, 2030), 0))+IF(Keys!$F$6="", 0, IFERROR(SUMIFS(NP2023_deaths!$E:$E, NP2023_deaths!$A:$A, Keys!$F$6, NP2023_deaths!$B:$B, Keys!$B$6, NP2023_deaths!$C:$C, 2030), 0))+IF(Keys!$G$6="", 0, IFERROR(SUMIFS(NP2023_deaths!$E:$E, NP2023_deaths!$A:$A, Keys!$G$6, NP2023_deaths!$B:$B, Keys!$B$6, NP2023_deaths!$C:$C, 2030), 0))+IF(Keys!$H$6="", 0, IFERROR(SUMIFS(NP2023_deaths!$E:$E, NP2023_deaths!$A:$A, Keys!$H$6, NP2023_deaths!$B:$B, Keys!$B$6, NP2023_deaths!$C:$C, 2030), 0))</f>
        <v>883</v>
      </c>
      <c r="I32" s="37">
        <f>IF(Keys!$C$6="", 0, IFERROR(SUMIFS(NP2023_deaths!$E:$E, NP2023_deaths!$A:$A, Keys!$C$6, NP2023_deaths!$B:$B, Keys!$B$6, NP2023_deaths!$C:$C, 2031), 0))+IF(Keys!$D$6="", 0, IFERROR(SUMIFS(NP2023_deaths!$E:$E, NP2023_deaths!$A:$A, Keys!$D$6, NP2023_deaths!$B:$B, Keys!$B$6, NP2023_deaths!$C:$C, 2031), 0))+IF(Keys!$E$6="", 0, IFERROR(SUMIFS(NP2023_deaths!$E:$E, NP2023_deaths!$A:$A, Keys!$E$6, NP2023_deaths!$B:$B, Keys!$B$6, NP2023_deaths!$C:$C, 2031), 0))+IF(Keys!$F$6="", 0, IFERROR(SUMIFS(NP2023_deaths!$E:$E, NP2023_deaths!$A:$A, Keys!$F$6, NP2023_deaths!$B:$B, Keys!$B$6, NP2023_deaths!$C:$C, 2031), 0))+IF(Keys!$G$6="", 0, IFERROR(SUMIFS(NP2023_deaths!$E:$E, NP2023_deaths!$A:$A, Keys!$G$6, NP2023_deaths!$B:$B, Keys!$B$6, NP2023_deaths!$C:$C, 2031), 0))+IF(Keys!$H$6="", 0, IFERROR(SUMIFS(NP2023_deaths!$E:$E, NP2023_deaths!$A:$A, Keys!$H$6, NP2023_deaths!$B:$B, Keys!$B$6, NP2023_deaths!$C:$C, 2031), 0))</f>
        <v>887</v>
      </c>
      <c r="J32" s="37">
        <f>IF(Keys!$C$6="", 0, IFERROR(SUMIFS(NP2023_deaths!$E:$E, NP2023_deaths!$A:$A, Keys!$C$6, NP2023_deaths!$B:$B, Keys!$B$6, NP2023_deaths!$C:$C, 2032), 0))+IF(Keys!$D$6="", 0, IFERROR(SUMIFS(NP2023_deaths!$E:$E, NP2023_deaths!$A:$A, Keys!$D$6, NP2023_deaths!$B:$B, Keys!$B$6, NP2023_deaths!$C:$C, 2032), 0))+IF(Keys!$E$6="", 0, IFERROR(SUMIFS(NP2023_deaths!$E:$E, NP2023_deaths!$A:$A, Keys!$E$6, NP2023_deaths!$B:$B, Keys!$B$6, NP2023_deaths!$C:$C, 2032), 0))+IF(Keys!$F$6="", 0, IFERROR(SUMIFS(NP2023_deaths!$E:$E, NP2023_deaths!$A:$A, Keys!$F$6, NP2023_deaths!$B:$B, Keys!$B$6, NP2023_deaths!$C:$C, 2032), 0))+IF(Keys!$G$6="", 0, IFERROR(SUMIFS(NP2023_deaths!$E:$E, NP2023_deaths!$A:$A, Keys!$G$6, NP2023_deaths!$B:$B, Keys!$B$6, NP2023_deaths!$C:$C, 2032), 0))+IF(Keys!$H$6="", 0, IFERROR(SUMIFS(NP2023_deaths!$E:$E, NP2023_deaths!$A:$A, Keys!$H$6, NP2023_deaths!$B:$B, Keys!$B$6, NP2023_deaths!$C:$C, 2032), 0))</f>
        <v>891</v>
      </c>
      <c r="K32" s="37">
        <f>IF(Keys!$C$6="", 0, IFERROR(SUMIFS(NP2023_deaths!$E:$E, NP2023_deaths!$A:$A, Keys!$C$6, NP2023_deaths!$B:$B, Keys!$B$6, NP2023_deaths!$C:$C, 2033), 0))+IF(Keys!$D$6="", 0, IFERROR(SUMIFS(NP2023_deaths!$E:$E, NP2023_deaths!$A:$A, Keys!$D$6, NP2023_deaths!$B:$B, Keys!$B$6, NP2023_deaths!$C:$C, 2033), 0))+IF(Keys!$E$6="", 0, IFERROR(SUMIFS(NP2023_deaths!$E:$E, NP2023_deaths!$A:$A, Keys!$E$6, NP2023_deaths!$B:$B, Keys!$B$6, NP2023_deaths!$C:$C, 2033), 0))+IF(Keys!$F$6="", 0, IFERROR(SUMIFS(NP2023_deaths!$E:$E, NP2023_deaths!$A:$A, Keys!$F$6, NP2023_deaths!$B:$B, Keys!$B$6, NP2023_deaths!$C:$C, 2033), 0))+IF(Keys!$G$6="", 0, IFERROR(SUMIFS(NP2023_deaths!$E:$E, NP2023_deaths!$A:$A, Keys!$G$6, NP2023_deaths!$B:$B, Keys!$B$6, NP2023_deaths!$C:$C, 2033), 0))+IF(Keys!$H$6="", 0, IFERROR(SUMIFS(NP2023_deaths!$E:$E, NP2023_deaths!$A:$A, Keys!$H$6, NP2023_deaths!$B:$B, Keys!$B$6, NP2023_deaths!$C:$C, 2033), 0))</f>
        <v>897</v>
      </c>
      <c r="L32" s="37">
        <f>IF(Keys!$C$6="", 0, IFERROR(SUMIFS(NP2023_deaths!$E:$E, NP2023_deaths!$A:$A, Keys!$C$6, NP2023_deaths!$B:$B, Keys!$B$6, NP2023_deaths!$C:$C, 2034), 0))+IF(Keys!$D$6="", 0, IFERROR(SUMIFS(NP2023_deaths!$E:$E, NP2023_deaths!$A:$A, Keys!$D$6, NP2023_deaths!$B:$B, Keys!$B$6, NP2023_deaths!$C:$C, 2034), 0))+IF(Keys!$E$6="", 0, IFERROR(SUMIFS(NP2023_deaths!$E:$E, NP2023_deaths!$A:$A, Keys!$E$6, NP2023_deaths!$B:$B, Keys!$B$6, NP2023_deaths!$C:$C, 2034), 0))+IF(Keys!$F$6="", 0, IFERROR(SUMIFS(NP2023_deaths!$E:$E, NP2023_deaths!$A:$A, Keys!$F$6, NP2023_deaths!$B:$B, Keys!$B$6, NP2023_deaths!$C:$C, 2034), 0))+IF(Keys!$G$6="", 0, IFERROR(SUMIFS(NP2023_deaths!$E:$E, NP2023_deaths!$A:$A, Keys!$G$6, NP2023_deaths!$B:$B, Keys!$B$6, NP2023_deaths!$C:$C, 2034), 0))+IF(Keys!$H$6="", 0, IFERROR(SUMIFS(NP2023_deaths!$E:$E, NP2023_deaths!$A:$A, Keys!$H$6, NP2023_deaths!$B:$B, Keys!$B$6, NP2023_deaths!$C:$C, 2034), 0))</f>
        <v>901</v>
      </c>
      <c r="M32" s="37">
        <f>IF(Keys!$C$6="", 0, IFERROR(SUMIFS(NP2023_deaths!$E:$E, NP2023_deaths!$A:$A, Keys!$C$6, NP2023_deaths!$B:$B, Keys!$B$6, NP2023_deaths!$C:$C, 2035), 0))+IF(Keys!$D$6="", 0, IFERROR(SUMIFS(NP2023_deaths!$E:$E, NP2023_deaths!$A:$A, Keys!$D$6, NP2023_deaths!$B:$B, Keys!$B$6, NP2023_deaths!$C:$C, 2035), 0))+IF(Keys!$E$6="", 0, IFERROR(SUMIFS(NP2023_deaths!$E:$E, NP2023_deaths!$A:$A, Keys!$E$6, NP2023_deaths!$B:$B, Keys!$B$6, NP2023_deaths!$C:$C, 2035), 0))+IF(Keys!$F$6="", 0, IFERROR(SUMIFS(NP2023_deaths!$E:$E, NP2023_deaths!$A:$A, Keys!$F$6, NP2023_deaths!$B:$B, Keys!$B$6, NP2023_deaths!$C:$C, 2035), 0))+IF(Keys!$G$6="", 0, IFERROR(SUMIFS(NP2023_deaths!$E:$E, NP2023_deaths!$A:$A, Keys!$G$6, NP2023_deaths!$B:$B, Keys!$B$6, NP2023_deaths!$C:$C, 2035), 0))+IF(Keys!$H$6="", 0, IFERROR(SUMIFS(NP2023_deaths!$E:$E, NP2023_deaths!$A:$A, Keys!$H$6, NP2023_deaths!$B:$B, Keys!$B$6, NP2023_deaths!$C:$C, 2035), 0))</f>
        <v>905</v>
      </c>
      <c r="N32" s="37">
        <f>IF(Keys!$C$6="", 0, IFERROR(SUMIFS(NP2023_deaths!$E:$E, NP2023_deaths!$A:$A, Keys!$C$6, NP2023_deaths!$B:$B, Keys!$B$6, NP2023_deaths!$C:$C, 2036), 0))+IF(Keys!$D$6="", 0, IFERROR(SUMIFS(NP2023_deaths!$E:$E, NP2023_deaths!$A:$A, Keys!$D$6, NP2023_deaths!$B:$B, Keys!$B$6, NP2023_deaths!$C:$C, 2036), 0))+IF(Keys!$E$6="", 0, IFERROR(SUMIFS(NP2023_deaths!$E:$E, NP2023_deaths!$A:$A, Keys!$E$6, NP2023_deaths!$B:$B, Keys!$B$6, NP2023_deaths!$C:$C, 2036), 0))+IF(Keys!$F$6="", 0, IFERROR(SUMIFS(NP2023_deaths!$E:$E, NP2023_deaths!$A:$A, Keys!$F$6, NP2023_deaths!$B:$B, Keys!$B$6, NP2023_deaths!$C:$C, 2036), 0))+IF(Keys!$G$6="", 0, IFERROR(SUMIFS(NP2023_deaths!$E:$E, NP2023_deaths!$A:$A, Keys!$G$6, NP2023_deaths!$B:$B, Keys!$B$6, NP2023_deaths!$C:$C, 2036), 0))+IF(Keys!$H$6="", 0, IFERROR(SUMIFS(NP2023_deaths!$E:$E, NP2023_deaths!$A:$A, Keys!$H$6, NP2023_deaths!$B:$B, Keys!$B$6, NP2023_deaths!$C:$C, 2036), 0))</f>
        <v>909</v>
      </c>
      <c r="O32" s="37">
        <f>IF(Keys!$C$6="", 0, IFERROR(SUMIFS(NP2023_deaths!$E:$E, NP2023_deaths!$A:$A, Keys!$C$6, NP2023_deaths!$B:$B, Keys!$B$6, NP2023_deaths!$C:$C, 2037), 0))+IF(Keys!$D$6="", 0, IFERROR(SUMIFS(NP2023_deaths!$E:$E, NP2023_deaths!$A:$A, Keys!$D$6, NP2023_deaths!$B:$B, Keys!$B$6, NP2023_deaths!$C:$C, 2037), 0))+IF(Keys!$E$6="", 0, IFERROR(SUMIFS(NP2023_deaths!$E:$E, NP2023_deaths!$A:$A, Keys!$E$6, NP2023_deaths!$B:$B, Keys!$B$6, NP2023_deaths!$C:$C, 2037), 0))+IF(Keys!$F$6="", 0, IFERROR(SUMIFS(NP2023_deaths!$E:$E, NP2023_deaths!$A:$A, Keys!$F$6, NP2023_deaths!$B:$B, Keys!$B$6, NP2023_deaths!$C:$C, 2037), 0))+IF(Keys!$G$6="", 0, IFERROR(SUMIFS(NP2023_deaths!$E:$E, NP2023_deaths!$A:$A, Keys!$G$6, NP2023_deaths!$B:$B, Keys!$B$6, NP2023_deaths!$C:$C, 2037), 0))+IF(Keys!$H$6="", 0, IFERROR(SUMIFS(NP2023_deaths!$E:$E, NP2023_deaths!$A:$A, Keys!$H$6, NP2023_deaths!$B:$B, Keys!$B$6, NP2023_deaths!$C:$C, 2037), 0))</f>
        <v>913</v>
      </c>
      <c r="P32" s="37">
        <f>IF(Keys!$C$6="", 0, IFERROR(SUMIFS(NP2023_deaths!$E:$E, NP2023_deaths!$A:$A, Keys!$C$6, NP2023_deaths!$B:$B, Keys!$B$6, NP2023_deaths!$C:$C, 2038), 0))+IF(Keys!$D$6="", 0, IFERROR(SUMIFS(NP2023_deaths!$E:$E, NP2023_deaths!$A:$A, Keys!$D$6, NP2023_deaths!$B:$B, Keys!$B$6, NP2023_deaths!$C:$C, 2038), 0))+IF(Keys!$E$6="", 0, IFERROR(SUMIFS(NP2023_deaths!$E:$E, NP2023_deaths!$A:$A, Keys!$E$6, NP2023_deaths!$B:$B, Keys!$B$6, NP2023_deaths!$C:$C, 2038), 0))+IF(Keys!$F$6="", 0, IFERROR(SUMIFS(NP2023_deaths!$E:$E, NP2023_deaths!$A:$A, Keys!$F$6, NP2023_deaths!$B:$B, Keys!$B$6, NP2023_deaths!$C:$C, 2038), 0))+IF(Keys!$G$6="", 0, IFERROR(SUMIFS(NP2023_deaths!$E:$E, NP2023_deaths!$A:$A, Keys!$G$6, NP2023_deaths!$B:$B, Keys!$B$6, NP2023_deaths!$C:$C, 2038), 0))+IF(Keys!$H$6="", 0, IFERROR(SUMIFS(NP2023_deaths!$E:$E, NP2023_deaths!$A:$A, Keys!$H$6, NP2023_deaths!$B:$B, Keys!$B$6, NP2023_deaths!$C:$C, 2038), 0))</f>
        <v>916</v>
      </c>
      <c r="Q32" s="37">
        <f>IF(Keys!$C$6="", 0, IFERROR(SUMIFS(NP2023_deaths!$E:$E, NP2023_deaths!$A:$A, Keys!$C$6, NP2023_deaths!$B:$B, Keys!$B$6, NP2023_deaths!$C:$C, 2039), 0))+IF(Keys!$D$6="", 0, IFERROR(SUMIFS(NP2023_deaths!$E:$E, NP2023_deaths!$A:$A, Keys!$D$6, NP2023_deaths!$B:$B, Keys!$B$6, NP2023_deaths!$C:$C, 2039), 0))+IF(Keys!$E$6="", 0, IFERROR(SUMIFS(NP2023_deaths!$E:$E, NP2023_deaths!$A:$A, Keys!$E$6, NP2023_deaths!$B:$B, Keys!$B$6, NP2023_deaths!$C:$C, 2039), 0))+IF(Keys!$F$6="", 0, IFERROR(SUMIFS(NP2023_deaths!$E:$E, NP2023_deaths!$A:$A, Keys!$F$6, NP2023_deaths!$B:$B, Keys!$B$6, NP2023_deaths!$C:$C, 2039), 0))+IF(Keys!$G$6="", 0, IFERROR(SUMIFS(NP2023_deaths!$E:$E, NP2023_deaths!$A:$A, Keys!$G$6, NP2023_deaths!$B:$B, Keys!$B$6, NP2023_deaths!$C:$C, 2039), 0))+IF(Keys!$H$6="", 0, IFERROR(SUMIFS(NP2023_deaths!$E:$E, NP2023_deaths!$A:$A, Keys!$H$6, NP2023_deaths!$B:$B, Keys!$B$6, NP2023_deaths!$C:$C, 2039), 0))</f>
        <v>920</v>
      </c>
      <c r="R32" s="37">
        <f>IF(Keys!$C$6="", 0, IFERROR(SUMIFS(NP2023_deaths!$E:$E, NP2023_deaths!$A:$A, Keys!$C$6, NP2023_deaths!$B:$B, Keys!$B$6, NP2023_deaths!$C:$C, 2040), 0))+IF(Keys!$D$6="", 0, IFERROR(SUMIFS(NP2023_deaths!$E:$E, NP2023_deaths!$A:$A, Keys!$D$6, NP2023_deaths!$B:$B, Keys!$B$6, NP2023_deaths!$C:$C, 2040), 0))+IF(Keys!$E$6="", 0, IFERROR(SUMIFS(NP2023_deaths!$E:$E, NP2023_deaths!$A:$A, Keys!$E$6, NP2023_deaths!$B:$B, Keys!$B$6, NP2023_deaths!$C:$C, 2040), 0))+IF(Keys!$F$6="", 0, IFERROR(SUMIFS(NP2023_deaths!$E:$E, NP2023_deaths!$A:$A, Keys!$F$6, NP2023_deaths!$B:$B, Keys!$B$6, NP2023_deaths!$C:$C, 2040), 0))+IF(Keys!$G$6="", 0, IFERROR(SUMIFS(NP2023_deaths!$E:$E, NP2023_deaths!$A:$A, Keys!$G$6, NP2023_deaths!$B:$B, Keys!$B$6, NP2023_deaths!$C:$C, 2040), 0))+IF(Keys!$H$6="", 0, IFERROR(SUMIFS(NP2023_deaths!$E:$E, NP2023_deaths!$A:$A, Keys!$H$6, NP2023_deaths!$B:$B, Keys!$B$6, NP2023_deaths!$C:$C, 2040), 0))</f>
        <v>922</v>
      </c>
      <c r="S32" s="37">
        <f>IF(Keys!$C$6="", 0, IFERROR(SUMIFS(NP2023_deaths!$E:$E, NP2023_deaths!$A:$A, Keys!$C$6, NP2023_deaths!$B:$B, Keys!$B$6, NP2023_deaths!$C:$C, 2041), 0))+IF(Keys!$D$6="", 0, IFERROR(SUMIFS(NP2023_deaths!$E:$E, NP2023_deaths!$A:$A, Keys!$D$6, NP2023_deaths!$B:$B, Keys!$B$6, NP2023_deaths!$C:$C, 2041), 0))+IF(Keys!$E$6="", 0, IFERROR(SUMIFS(NP2023_deaths!$E:$E, NP2023_deaths!$A:$A, Keys!$E$6, NP2023_deaths!$B:$B, Keys!$B$6, NP2023_deaths!$C:$C, 2041), 0))+IF(Keys!$F$6="", 0, IFERROR(SUMIFS(NP2023_deaths!$E:$E, NP2023_deaths!$A:$A, Keys!$F$6, NP2023_deaths!$B:$B, Keys!$B$6, NP2023_deaths!$C:$C, 2041), 0))+IF(Keys!$G$6="", 0, IFERROR(SUMIFS(NP2023_deaths!$E:$E, NP2023_deaths!$A:$A, Keys!$G$6, NP2023_deaths!$B:$B, Keys!$B$6, NP2023_deaths!$C:$C, 2041), 0))+IF(Keys!$H$6="", 0, IFERROR(SUMIFS(NP2023_deaths!$E:$E, NP2023_deaths!$A:$A, Keys!$H$6, NP2023_deaths!$B:$B, Keys!$B$6, NP2023_deaths!$C:$C, 2041), 0))</f>
        <v>925</v>
      </c>
      <c r="T32" s="37">
        <f>IF(Keys!$C$6="", 0, IFERROR(SUMIFS(NP2023_deaths!$E:$E, NP2023_deaths!$A:$A, Keys!$C$6, NP2023_deaths!$B:$B, Keys!$B$6, NP2023_deaths!$C:$C, 2042), 0))+IF(Keys!$D$6="", 0, IFERROR(SUMIFS(NP2023_deaths!$E:$E, NP2023_deaths!$A:$A, Keys!$D$6, NP2023_deaths!$B:$B, Keys!$B$6, NP2023_deaths!$C:$C, 2042), 0))+IF(Keys!$E$6="", 0, IFERROR(SUMIFS(NP2023_deaths!$E:$E, NP2023_deaths!$A:$A, Keys!$E$6, NP2023_deaths!$B:$B, Keys!$B$6, NP2023_deaths!$C:$C, 2042), 0))+IF(Keys!$F$6="", 0, IFERROR(SUMIFS(NP2023_deaths!$E:$E, NP2023_deaths!$A:$A, Keys!$F$6, NP2023_deaths!$B:$B, Keys!$B$6, NP2023_deaths!$C:$C, 2042), 0))+IF(Keys!$G$6="", 0, IFERROR(SUMIFS(NP2023_deaths!$E:$E, NP2023_deaths!$A:$A, Keys!$G$6, NP2023_deaths!$B:$B, Keys!$B$6, NP2023_deaths!$C:$C, 2042), 0))+IF(Keys!$H$6="", 0, IFERROR(SUMIFS(NP2023_deaths!$E:$E, NP2023_deaths!$A:$A, Keys!$H$6, NP2023_deaths!$B:$B, Keys!$B$6, NP2023_deaths!$C:$C, 2042), 0))</f>
        <v>929</v>
      </c>
      <c r="U32" s="37">
        <f>IF(Keys!$C$6="", 0, IFERROR(SUMIFS(NP2023_deaths!$E:$E, NP2023_deaths!$A:$A, Keys!$C$6, NP2023_deaths!$B:$B, Keys!$B$6, NP2023_deaths!$C:$C, 2043), 0))+IF(Keys!$D$6="", 0, IFERROR(SUMIFS(NP2023_deaths!$E:$E, NP2023_deaths!$A:$A, Keys!$D$6, NP2023_deaths!$B:$B, Keys!$B$6, NP2023_deaths!$C:$C, 2043), 0))+IF(Keys!$E$6="", 0, IFERROR(SUMIFS(NP2023_deaths!$E:$E, NP2023_deaths!$A:$A, Keys!$E$6, NP2023_deaths!$B:$B, Keys!$B$6, NP2023_deaths!$C:$C, 2043), 0))+IF(Keys!$F$6="", 0, IFERROR(SUMIFS(NP2023_deaths!$E:$E, NP2023_deaths!$A:$A, Keys!$F$6, NP2023_deaths!$B:$B, Keys!$B$6, NP2023_deaths!$C:$C, 2043), 0))+IF(Keys!$G$6="", 0, IFERROR(SUMIFS(NP2023_deaths!$E:$E, NP2023_deaths!$A:$A, Keys!$G$6, NP2023_deaths!$B:$B, Keys!$B$6, NP2023_deaths!$C:$C, 2043), 0))+IF(Keys!$H$6="", 0, IFERROR(SUMIFS(NP2023_deaths!$E:$E, NP2023_deaths!$A:$A, Keys!$H$6, NP2023_deaths!$B:$B, Keys!$B$6, NP2023_deaths!$C:$C, 2043), 0))</f>
        <v>931</v>
      </c>
      <c r="V32" s="37">
        <f>IF(Keys!$C$6="", 0, IFERROR(SUMIFS(NP2023_deaths!$E:$E, NP2023_deaths!$A:$A, Keys!$C$6, NP2023_deaths!$B:$B, Keys!$B$6, NP2023_deaths!$C:$C, 2044), 0))+IF(Keys!$D$6="", 0, IFERROR(SUMIFS(NP2023_deaths!$E:$E, NP2023_deaths!$A:$A, Keys!$D$6, NP2023_deaths!$B:$B, Keys!$B$6, NP2023_deaths!$C:$C, 2044), 0))+IF(Keys!$E$6="", 0, IFERROR(SUMIFS(NP2023_deaths!$E:$E, NP2023_deaths!$A:$A, Keys!$E$6, NP2023_deaths!$B:$B, Keys!$B$6, NP2023_deaths!$C:$C, 2044), 0))+IF(Keys!$F$6="", 0, IFERROR(SUMIFS(NP2023_deaths!$E:$E, NP2023_deaths!$A:$A, Keys!$F$6, NP2023_deaths!$B:$B, Keys!$B$6, NP2023_deaths!$C:$C, 2044), 0))+IF(Keys!$G$6="", 0, IFERROR(SUMIFS(NP2023_deaths!$E:$E, NP2023_deaths!$A:$A, Keys!$G$6, NP2023_deaths!$B:$B, Keys!$B$6, NP2023_deaths!$C:$C, 2044), 0))+IF(Keys!$H$6="", 0, IFERROR(SUMIFS(NP2023_deaths!$E:$E, NP2023_deaths!$A:$A, Keys!$H$6, NP2023_deaths!$B:$B, Keys!$B$6, NP2023_deaths!$C:$C, 2044), 0))</f>
        <v>934</v>
      </c>
      <c r="W32" s="37">
        <f>IF(Keys!$C$6="", 0, IFERROR(SUMIFS(NP2023_deaths!$E:$E, NP2023_deaths!$A:$A, Keys!$C$6, NP2023_deaths!$B:$B, Keys!$B$6, NP2023_deaths!$C:$C, 2045), 0))+IF(Keys!$D$6="", 0, IFERROR(SUMIFS(NP2023_deaths!$E:$E, NP2023_deaths!$A:$A, Keys!$D$6, NP2023_deaths!$B:$B, Keys!$B$6, NP2023_deaths!$C:$C, 2045), 0))+IF(Keys!$E$6="", 0, IFERROR(SUMIFS(NP2023_deaths!$E:$E, NP2023_deaths!$A:$A, Keys!$E$6, NP2023_deaths!$B:$B, Keys!$B$6, NP2023_deaths!$C:$C, 2045), 0))+IF(Keys!$F$6="", 0, IFERROR(SUMIFS(NP2023_deaths!$E:$E, NP2023_deaths!$A:$A, Keys!$F$6, NP2023_deaths!$B:$B, Keys!$B$6, NP2023_deaths!$C:$C, 2045), 0))+IF(Keys!$G$6="", 0, IFERROR(SUMIFS(NP2023_deaths!$E:$E, NP2023_deaths!$A:$A, Keys!$G$6, NP2023_deaths!$B:$B, Keys!$B$6, NP2023_deaths!$C:$C, 2045), 0))+IF(Keys!$H$6="", 0, IFERROR(SUMIFS(NP2023_deaths!$E:$E, NP2023_deaths!$A:$A, Keys!$H$6, NP2023_deaths!$B:$B, Keys!$B$6, NP2023_deaths!$C:$C, 2045), 0))</f>
        <v>937</v>
      </c>
      <c r="X32" s="37">
        <f>IF(Keys!$C$6="", 0, IFERROR(SUMIFS(NP2023_deaths!$E:$E, NP2023_deaths!$A:$A, Keys!$C$6, NP2023_deaths!$B:$B, Keys!$B$6, NP2023_deaths!$C:$C, 2046), 0))+IF(Keys!$D$6="", 0, IFERROR(SUMIFS(NP2023_deaths!$E:$E, NP2023_deaths!$A:$A, Keys!$D$6, NP2023_deaths!$B:$B, Keys!$B$6, NP2023_deaths!$C:$C, 2046), 0))+IF(Keys!$E$6="", 0, IFERROR(SUMIFS(NP2023_deaths!$E:$E, NP2023_deaths!$A:$A, Keys!$E$6, NP2023_deaths!$B:$B, Keys!$B$6, NP2023_deaths!$C:$C, 2046), 0))+IF(Keys!$F$6="", 0, IFERROR(SUMIFS(NP2023_deaths!$E:$E, NP2023_deaths!$A:$A, Keys!$F$6, NP2023_deaths!$B:$B, Keys!$B$6, NP2023_deaths!$C:$C, 2046), 0))+IF(Keys!$G$6="", 0, IFERROR(SUMIFS(NP2023_deaths!$E:$E, NP2023_deaths!$A:$A, Keys!$G$6, NP2023_deaths!$B:$B, Keys!$B$6, NP2023_deaths!$C:$C, 2046), 0))+IF(Keys!$H$6="", 0, IFERROR(SUMIFS(NP2023_deaths!$E:$E, NP2023_deaths!$A:$A, Keys!$H$6, NP2023_deaths!$B:$B, Keys!$B$6, NP2023_deaths!$C:$C, 2046), 0))</f>
        <v>939</v>
      </c>
      <c r="Y32" s="37">
        <f>IF(Keys!$C$6="", 0, IFERROR(SUMIFS(NP2023_deaths!$E:$E, NP2023_deaths!$A:$A, Keys!$C$6, NP2023_deaths!$B:$B, Keys!$B$6, NP2023_deaths!$C:$C, 2047), 0))+IF(Keys!$D$6="", 0, IFERROR(SUMIFS(NP2023_deaths!$E:$E, NP2023_deaths!$A:$A, Keys!$D$6, NP2023_deaths!$B:$B, Keys!$B$6, NP2023_deaths!$C:$C, 2047), 0))+IF(Keys!$E$6="", 0, IFERROR(SUMIFS(NP2023_deaths!$E:$E, NP2023_deaths!$A:$A, Keys!$E$6, NP2023_deaths!$B:$B, Keys!$B$6, NP2023_deaths!$C:$C, 2047), 0))+IF(Keys!$F$6="", 0, IFERROR(SUMIFS(NP2023_deaths!$E:$E, NP2023_deaths!$A:$A, Keys!$F$6, NP2023_deaths!$B:$B, Keys!$B$6, NP2023_deaths!$C:$C, 2047), 0))+IF(Keys!$G$6="", 0, IFERROR(SUMIFS(NP2023_deaths!$E:$E, NP2023_deaths!$A:$A, Keys!$G$6, NP2023_deaths!$B:$B, Keys!$B$6, NP2023_deaths!$C:$C, 2047), 0))+IF(Keys!$H$6="", 0, IFERROR(SUMIFS(NP2023_deaths!$E:$E, NP2023_deaths!$A:$A, Keys!$H$6, NP2023_deaths!$B:$B, Keys!$B$6, NP2023_deaths!$C:$C, 2047), 0))</f>
        <v>943</v>
      </c>
      <c r="Z32" s="37">
        <f>IF(Keys!$C$6="", 0, IFERROR(SUMIFS(NP2023_deaths!$E:$E, NP2023_deaths!$A:$A, Keys!$C$6, NP2023_deaths!$B:$B, Keys!$B$6, NP2023_deaths!$C:$C, 2048), 0))+IF(Keys!$D$6="", 0, IFERROR(SUMIFS(NP2023_deaths!$E:$E, NP2023_deaths!$A:$A, Keys!$D$6, NP2023_deaths!$B:$B, Keys!$B$6, NP2023_deaths!$C:$C, 2048), 0))+IF(Keys!$E$6="", 0, IFERROR(SUMIFS(NP2023_deaths!$E:$E, NP2023_deaths!$A:$A, Keys!$E$6, NP2023_deaths!$B:$B, Keys!$B$6, NP2023_deaths!$C:$C, 2048), 0))+IF(Keys!$F$6="", 0, IFERROR(SUMIFS(NP2023_deaths!$E:$E, NP2023_deaths!$A:$A, Keys!$F$6, NP2023_deaths!$B:$B, Keys!$B$6, NP2023_deaths!$C:$C, 2048), 0))+IF(Keys!$G$6="", 0, IFERROR(SUMIFS(NP2023_deaths!$E:$E, NP2023_deaths!$A:$A, Keys!$G$6, NP2023_deaths!$B:$B, Keys!$B$6, NP2023_deaths!$C:$C, 2048), 0))+IF(Keys!$H$6="", 0, IFERROR(SUMIFS(NP2023_deaths!$E:$E, NP2023_deaths!$A:$A, Keys!$H$6, NP2023_deaths!$B:$B, Keys!$B$6, NP2023_deaths!$C:$C, 2048), 0))</f>
        <v>945</v>
      </c>
      <c r="AA32" s="37">
        <f>IF(Keys!$C$6="", 0, IFERROR(SUMIFS(NP2023_deaths!$E:$E, NP2023_deaths!$A:$A, Keys!$C$6, NP2023_deaths!$B:$B, Keys!$B$6, NP2023_deaths!$C:$C, 2049), 0))+IF(Keys!$D$6="", 0, IFERROR(SUMIFS(NP2023_deaths!$E:$E, NP2023_deaths!$A:$A, Keys!$D$6, NP2023_deaths!$B:$B, Keys!$B$6, NP2023_deaths!$C:$C, 2049), 0))+IF(Keys!$E$6="", 0, IFERROR(SUMIFS(NP2023_deaths!$E:$E, NP2023_deaths!$A:$A, Keys!$E$6, NP2023_deaths!$B:$B, Keys!$B$6, NP2023_deaths!$C:$C, 2049), 0))+IF(Keys!$F$6="", 0, IFERROR(SUMIFS(NP2023_deaths!$E:$E, NP2023_deaths!$A:$A, Keys!$F$6, NP2023_deaths!$B:$B, Keys!$B$6, NP2023_deaths!$C:$C, 2049), 0))+IF(Keys!$G$6="", 0, IFERROR(SUMIFS(NP2023_deaths!$E:$E, NP2023_deaths!$A:$A, Keys!$G$6, NP2023_deaths!$B:$B, Keys!$B$6, NP2023_deaths!$C:$C, 2049), 0))+IF(Keys!$H$6="", 0, IFERROR(SUMIFS(NP2023_deaths!$E:$E, NP2023_deaths!$A:$A, Keys!$H$6, NP2023_deaths!$B:$B, Keys!$B$6, NP2023_deaths!$C:$C, 2049), 0))</f>
        <v>947</v>
      </c>
      <c r="AB32" s="37">
        <f>IF(Keys!$C$6="", 0, IFERROR(SUMIFS(NP2023_deaths!$E:$E, NP2023_deaths!$A:$A, Keys!$C$6, NP2023_deaths!$B:$B, Keys!$B$6, NP2023_deaths!$C:$C, 2050), 0))+IF(Keys!$D$6="", 0, IFERROR(SUMIFS(NP2023_deaths!$E:$E, NP2023_deaths!$A:$A, Keys!$D$6, NP2023_deaths!$B:$B, Keys!$B$6, NP2023_deaths!$C:$C, 2050), 0))+IF(Keys!$E$6="", 0, IFERROR(SUMIFS(NP2023_deaths!$E:$E, NP2023_deaths!$A:$A, Keys!$E$6, NP2023_deaths!$B:$B, Keys!$B$6, NP2023_deaths!$C:$C, 2050), 0))+IF(Keys!$F$6="", 0, IFERROR(SUMIFS(NP2023_deaths!$E:$E, NP2023_deaths!$A:$A, Keys!$F$6, NP2023_deaths!$B:$B, Keys!$B$6, NP2023_deaths!$C:$C, 2050), 0))+IF(Keys!$G$6="", 0, IFERROR(SUMIFS(NP2023_deaths!$E:$E, NP2023_deaths!$A:$A, Keys!$G$6, NP2023_deaths!$B:$B, Keys!$B$6, NP2023_deaths!$C:$C, 2050), 0))+IF(Keys!$H$6="", 0, IFERROR(SUMIFS(NP2023_deaths!$E:$E, NP2023_deaths!$A:$A, Keys!$H$6, NP2023_deaths!$B:$B, Keys!$B$6, NP2023_deaths!$C:$C, 2050), 0))</f>
        <v>949</v>
      </c>
    </row>
    <row r="33" spans="1:28" x14ac:dyDescent="0.25">
      <c r="A33" s="4" t="s">
        <v>220</v>
      </c>
      <c r="B33" s="37">
        <f>IF(Keys!$C$7="", 0, IFERROR(SUMIFS(NP2023_deaths!$E:$E, NP2023_deaths!$A:$A, Keys!$C$7, NP2023_deaths!$B:$B, Keys!$B$7, NP2023_deaths!$C:$C, 2024), 0))+IF(Keys!$D$7="", 0, IFERROR(SUMIFS(NP2023_deaths!$E:$E, NP2023_deaths!$A:$A, Keys!$D$7, NP2023_deaths!$B:$B, Keys!$B$7, NP2023_deaths!$C:$C, 2024), 0))+IF(Keys!$E$7="", 0, IFERROR(SUMIFS(NP2023_deaths!$E:$E, NP2023_deaths!$A:$A, Keys!$E$7, NP2023_deaths!$B:$B, Keys!$B$7, NP2023_deaths!$C:$C, 2024), 0))+IF(Keys!$F$7="", 0, IFERROR(SUMIFS(NP2023_deaths!$E:$E, NP2023_deaths!$A:$A, Keys!$F$7, NP2023_deaths!$B:$B, Keys!$B$7, NP2023_deaths!$C:$C, 2024), 0))+IF(Keys!$G$7="", 0, IFERROR(SUMIFS(NP2023_deaths!$E:$E, NP2023_deaths!$A:$A, Keys!$G$7, NP2023_deaths!$B:$B, Keys!$B$7, NP2023_deaths!$C:$C, 2024), 0))+IF(Keys!$H$7="", 0, IFERROR(SUMIFS(NP2023_deaths!$E:$E, NP2023_deaths!$A:$A, Keys!$H$7, NP2023_deaths!$B:$B, Keys!$B$7, NP2023_deaths!$C:$C, 2024), 0))</f>
        <v>1518</v>
      </c>
      <c r="C33" s="37">
        <f>IF(Keys!$C$7="", 0, IFERROR(SUMIFS(NP2023_deaths!$E:$E, NP2023_deaths!$A:$A, Keys!$C$7, NP2023_deaths!$B:$B, Keys!$B$7, NP2023_deaths!$C:$C, 2025), 0))+IF(Keys!$D$7="", 0, IFERROR(SUMIFS(NP2023_deaths!$E:$E, NP2023_deaths!$A:$A, Keys!$D$7, NP2023_deaths!$B:$B, Keys!$B$7, NP2023_deaths!$C:$C, 2025), 0))+IF(Keys!$E$7="", 0, IFERROR(SUMIFS(NP2023_deaths!$E:$E, NP2023_deaths!$A:$A, Keys!$E$7, NP2023_deaths!$B:$B, Keys!$B$7, NP2023_deaths!$C:$C, 2025), 0))+IF(Keys!$F$7="", 0, IFERROR(SUMIFS(NP2023_deaths!$E:$E, NP2023_deaths!$A:$A, Keys!$F$7, NP2023_deaths!$B:$B, Keys!$B$7, NP2023_deaths!$C:$C, 2025), 0))+IF(Keys!$G$7="", 0, IFERROR(SUMIFS(NP2023_deaths!$E:$E, NP2023_deaths!$A:$A, Keys!$G$7, NP2023_deaths!$B:$B, Keys!$B$7, NP2023_deaths!$C:$C, 2025), 0))+IF(Keys!$H$7="", 0, IFERROR(SUMIFS(NP2023_deaths!$E:$E, NP2023_deaths!$A:$A, Keys!$H$7, NP2023_deaths!$B:$B, Keys!$B$7, NP2023_deaths!$C:$C, 2025), 0))</f>
        <v>1531</v>
      </c>
      <c r="D33" s="37">
        <f>IF(Keys!$C$7="", 0, IFERROR(SUMIFS(NP2023_deaths!$E:$E, NP2023_deaths!$A:$A, Keys!$C$7, NP2023_deaths!$B:$B, Keys!$B$7, NP2023_deaths!$C:$C, 2026), 0))+IF(Keys!$D$7="", 0, IFERROR(SUMIFS(NP2023_deaths!$E:$E, NP2023_deaths!$A:$A, Keys!$D$7, NP2023_deaths!$B:$B, Keys!$B$7, NP2023_deaths!$C:$C, 2026), 0))+IF(Keys!$E$7="", 0, IFERROR(SUMIFS(NP2023_deaths!$E:$E, NP2023_deaths!$A:$A, Keys!$E$7, NP2023_deaths!$B:$B, Keys!$B$7, NP2023_deaths!$C:$C, 2026), 0))+IF(Keys!$F$7="", 0, IFERROR(SUMIFS(NP2023_deaths!$E:$E, NP2023_deaths!$A:$A, Keys!$F$7, NP2023_deaths!$B:$B, Keys!$B$7, NP2023_deaths!$C:$C, 2026), 0))+IF(Keys!$G$7="", 0, IFERROR(SUMIFS(NP2023_deaths!$E:$E, NP2023_deaths!$A:$A, Keys!$G$7, NP2023_deaths!$B:$B, Keys!$B$7, NP2023_deaths!$C:$C, 2026), 0))+IF(Keys!$H$7="", 0, IFERROR(SUMIFS(NP2023_deaths!$E:$E, NP2023_deaths!$A:$A, Keys!$H$7, NP2023_deaths!$B:$B, Keys!$B$7, NP2023_deaths!$C:$C, 2026), 0))</f>
        <v>1541</v>
      </c>
      <c r="E33" s="37">
        <f>IF(Keys!$C$7="", 0, IFERROR(SUMIFS(NP2023_deaths!$E:$E, NP2023_deaths!$A:$A, Keys!$C$7, NP2023_deaths!$B:$B, Keys!$B$7, NP2023_deaths!$C:$C, 2027), 0))+IF(Keys!$D$7="", 0, IFERROR(SUMIFS(NP2023_deaths!$E:$E, NP2023_deaths!$A:$A, Keys!$D$7, NP2023_deaths!$B:$B, Keys!$B$7, NP2023_deaths!$C:$C, 2027), 0))+IF(Keys!$E$7="", 0, IFERROR(SUMIFS(NP2023_deaths!$E:$E, NP2023_deaths!$A:$A, Keys!$E$7, NP2023_deaths!$B:$B, Keys!$B$7, NP2023_deaths!$C:$C, 2027), 0))+IF(Keys!$F$7="", 0, IFERROR(SUMIFS(NP2023_deaths!$E:$E, NP2023_deaths!$A:$A, Keys!$F$7, NP2023_deaths!$B:$B, Keys!$B$7, NP2023_deaths!$C:$C, 2027), 0))+IF(Keys!$G$7="", 0, IFERROR(SUMIFS(NP2023_deaths!$E:$E, NP2023_deaths!$A:$A, Keys!$G$7, NP2023_deaths!$B:$B, Keys!$B$7, NP2023_deaths!$C:$C, 2027), 0))+IF(Keys!$H$7="", 0, IFERROR(SUMIFS(NP2023_deaths!$E:$E, NP2023_deaths!$A:$A, Keys!$H$7, NP2023_deaths!$B:$B, Keys!$B$7, NP2023_deaths!$C:$C, 2027), 0))</f>
        <v>1553</v>
      </c>
      <c r="F33" s="37">
        <f>IF(Keys!$C$7="", 0, IFERROR(SUMIFS(NP2023_deaths!$E:$E, NP2023_deaths!$A:$A, Keys!$C$7, NP2023_deaths!$B:$B, Keys!$B$7, NP2023_deaths!$C:$C, 2028), 0))+IF(Keys!$D$7="", 0, IFERROR(SUMIFS(NP2023_deaths!$E:$E, NP2023_deaths!$A:$A, Keys!$D$7, NP2023_deaths!$B:$B, Keys!$B$7, NP2023_deaths!$C:$C, 2028), 0))+IF(Keys!$E$7="", 0, IFERROR(SUMIFS(NP2023_deaths!$E:$E, NP2023_deaths!$A:$A, Keys!$E$7, NP2023_deaths!$B:$B, Keys!$B$7, NP2023_deaths!$C:$C, 2028), 0))+IF(Keys!$F$7="", 0, IFERROR(SUMIFS(NP2023_deaths!$E:$E, NP2023_deaths!$A:$A, Keys!$F$7, NP2023_deaths!$B:$B, Keys!$B$7, NP2023_deaths!$C:$C, 2028), 0))+IF(Keys!$G$7="", 0, IFERROR(SUMIFS(NP2023_deaths!$E:$E, NP2023_deaths!$A:$A, Keys!$G$7, NP2023_deaths!$B:$B, Keys!$B$7, NP2023_deaths!$C:$C, 2028), 0))+IF(Keys!$H$7="", 0, IFERROR(SUMIFS(NP2023_deaths!$E:$E, NP2023_deaths!$A:$A, Keys!$H$7, NP2023_deaths!$B:$B, Keys!$B$7, NP2023_deaths!$C:$C, 2028), 0))</f>
        <v>1564</v>
      </c>
      <c r="G33" s="37">
        <f>IF(Keys!$C$7="", 0, IFERROR(SUMIFS(NP2023_deaths!$E:$E, NP2023_deaths!$A:$A, Keys!$C$7, NP2023_deaths!$B:$B, Keys!$B$7, NP2023_deaths!$C:$C, 2029), 0))+IF(Keys!$D$7="", 0, IFERROR(SUMIFS(NP2023_deaths!$E:$E, NP2023_deaths!$A:$A, Keys!$D$7, NP2023_deaths!$B:$B, Keys!$B$7, NP2023_deaths!$C:$C, 2029), 0))+IF(Keys!$E$7="", 0, IFERROR(SUMIFS(NP2023_deaths!$E:$E, NP2023_deaths!$A:$A, Keys!$E$7, NP2023_deaths!$B:$B, Keys!$B$7, NP2023_deaths!$C:$C, 2029), 0))+IF(Keys!$F$7="", 0, IFERROR(SUMIFS(NP2023_deaths!$E:$E, NP2023_deaths!$A:$A, Keys!$F$7, NP2023_deaths!$B:$B, Keys!$B$7, NP2023_deaths!$C:$C, 2029), 0))+IF(Keys!$G$7="", 0, IFERROR(SUMIFS(NP2023_deaths!$E:$E, NP2023_deaths!$A:$A, Keys!$G$7, NP2023_deaths!$B:$B, Keys!$B$7, NP2023_deaths!$C:$C, 2029), 0))+IF(Keys!$H$7="", 0, IFERROR(SUMIFS(NP2023_deaths!$E:$E, NP2023_deaths!$A:$A, Keys!$H$7, NP2023_deaths!$B:$B, Keys!$B$7, NP2023_deaths!$C:$C, 2029), 0))</f>
        <v>1573</v>
      </c>
      <c r="H33" s="37">
        <f>IF(Keys!$C$7="", 0, IFERROR(SUMIFS(NP2023_deaths!$E:$E, NP2023_deaths!$A:$A, Keys!$C$7, NP2023_deaths!$B:$B, Keys!$B$7, NP2023_deaths!$C:$C, 2030), 0))+IF(Keys!$D$7="", 0, IFERROR(SUMIFS(NP2023_deaths!$E:$E, NP2023_deaths!$A:$A, Keys!$D$7, NP2023_deaths!$B:$B, Keys!$B$7, NP2023_deaths!$C:$C, 2030), 0))+IF(Keys!$E$7="", 0, IFERROR(SUMIFS(NP2023_deaths!$E:$E, NP2023_deaths!$A:$A, Keys!$E$7, NP2023_deaths!$B:$B, Keys!$B$7, NP2023_deaths!$C:$C, 2030), 0))+IF(Keys!$F$7="", 0, IFERROR(SUMIFS(NP2023_deaths!$E:$E, NP2023_deaths!$A:$A, Keys!$F$7, NP2023_deaths!$B:$B, Keys!$B$7, NP2023_deaths!$C:$C, 2030), 0))+IF(Keys!$G$7="", 0, IFERROR(SUMIFS(NP2023_deaths!$E:$E, NP2023_deaths!$A:$A, Keys!$G$7, NP2023_deaths!$B:$B, Keys!$B$7, NP2023_deaths!$C:$C, 2030), 0))+IF(Keys!$H$7="", 0, IFERROR(SUMIFS(NP2023_deaths!$E:$E, NP2023_deaths!$A:$A, Keys!$H$7, NP2023_deaths!$B:$B, Keys!$B$7, NP2023_deaths!$C:$C, 2030), 0))</f>
        <v>1586</v>
      </c>
      <c r="I33" s="37">
        <f>IF(Keys!$C$7="", 0, IFERROR(SUMIFS(NP2023_deaths!$E:$E, NP2023_deaths!$A:$A, Keys!$C$7, NP2023_deaths!$B:$B, Keys!$B$7, NP2023_deaths!$C:$C, 2031), 0))+IF(Keys!$D$7="", 0, IFERROR(SUMIFS(NP2023_deaths!$E:$E, NP2023_deaths!$A:$A, Keys!$D$7, NP2023_deaths!$B:$B, Keys!$B$7, NP2023_deaths!$C:$C, 2031), 0))+IF(Keys!$E$7="", 0, IFERROR(SUMIFS(NP2023_deaths!$E:$E, NP2023_deaths!$A:$A, Keys!$E$7, NP2023_deaths!$B:$B, Keys!$B$7, NP2023_deaths!$C:$C, 2031), 0))+IF(Keys!$F$7="", 0, IFERROR(SUMIFS(NP2023_deaths!$E:$E, NP2023_deaths!$A:$A, Keys!$F$7, NP2023_deaths!$B:$B, Keys!$B$7, NP2023_deaths!$C:$C, 2031), 0))+IF(Keys!$G$7="", 0, IFERROR(SUMIFS(NP2023_deaths!$E:$E, NP2023_deaths!$A:$A, Keys!$G$7, NP2023_deaths!$B:$B, Keys!$B$7, NP2023_deaths!$C:$C, 2031), 0))+IF(Keys!$H$7="", 0, IFERROR(SUMIFS(NP2023_deaths!$E:$E, NP2023_deaths!$A:$A, Keys!$H$7, NP2023_deaths!$B:$B, Keys!$B$7, NP2023_deaths!$C:$C, 2031), 0))</f>
        <v>1595</v>
      </c>
      <c r="J33" s="37">
        <f>IF(Keys!$C$7="", 0, IFERROR(SUMIFS(NP2023_deaths!$E:$E, NP2023_deaths!$A:$A, Keys!$C$7, NP2023_deaths!$B:$B, Keys!$B$7, NP2023_deaths!$C:$C, 2032), 0))+IF(Keys!$D$7="", 0, IFERROR(SUMIFS(NP2023_deaths!$E:$E, NP2023_deaths!$A:$A, Keys!$D$7, NP2023_deaths!$B:$B, Keys!$B$7, NP2023_deaths!$C:$C, 2032), 0))+IF(Keys!$E$7="", 0, IFERROR(SUMIFS(NP2023_deaths!$E:$E, NP2023_deaths!$A:$A, Keys!$E$7, NP2023_deaths!$B:$B, Keys!$B$7, NP2023_deaths!$C:$C, 2032), 0))+IF(Keys!$F$7="", 0, IFERROR(SUMIFS(NP2023_deaths!$E:$E, NP2023_deaths!$A:$A, Keys!$F$7, NP2023_deaths!$B:$B, Keys!$B$7, NP2023_deaths!$C:$C, 2032), 0))+IF(Keys!$G$7="", 0, IFERROR(SUMIFS(NP2023_deaths!$E:$E, NP2023_deaths!$A:$A, Keys!$G$7, NP2023_deaths!$B:$B, Keys!$B$7, NP2023_deaths!$C:$C, 2032), 0))+IF(Keys!$H$7="", 0, IFERROR(SUMIFS(NP2023_deaths!$E:$E, NP2023_deaths!$A:$A, Keys!$H$7, NP2023_deaths!$B:$B, Keys!$B$7, NP2023_deaths!$C:$C, 2032), 0))</f>
        <v>1605</v>
      </c>
      <c r="K33" s="37">
        <f>IF(Keys!$C$7="", 0, IFERROR(SUMIFS(NP2023_deaths!$E:$E, NP2023_deaths!$A:$A, Keys!$C$7, NP2023_deaths!$B:$B, Keys!$B$7, NP2023_deaths!$C:$C, 2033), 0))+IF(Keys!$D$7="", 0, IFERROR(SUMIFS(NP2023_deaths!$E:$E, NP2023_deaths!$A:$A, Keys!$D$7, NP2023_deaths!$B:$B, Keys!$B$7, NP2023_deaths!$C:$C, 2033), 0))+IF(Keys!$E$7="", 0, IFERROR(SUMIFS(NP2023_deaths!$E:$E, NP2023_deaths!$A:$A, Keys!$E$7, NP2023_deaths!$B:$B, Keys!$B$7, NP2023_deaths!$C:$C, 2033), 0))+IF(Keys!$F$7="", 0, IFERROR(SUMIFS(NP2023_deaths!$E:$E, NP2023_deaths!$A:$A, Keys!$F$7, NP2023_deaths!$B:$B, Keys!$B$7, NP2023_deaths!$C:$C, 2033), 0))+IF(Keys!$G$7="", 0, IFERROR(SUMIFS(NP2023_deaths!$E:$E, NP2023_deaths!$A:$A, Keys!$G$7, NP2023_deaths!$B:$B, Keys!$B$7, NP2023_deaths!$C:$C, 2033), 0))+IF(Keys!$H$7="", 0, IFERROR(SUMIFS(NP2023_deaths!$E:$E, NP2023_deaths!$A:$A, Keys!$H$7, NP2023_deaths!$B:$B, Keys!$B$7, NP2023_deaths!$C:$C, 2033), 0))</f>
        <v>1612</v>
      </c>
      <c r="L33" s="37">
        <f>IF(Keys!$C$7="", 0, IFERROR(SUMIFS(NP2023_deaths!$E:$E, NP2023_deaths!$A:$A, Keys!$C$7, NP2023_deaths!$B:$B, Keys!$B$7, NP2023_deaths!$C:$C, 2034), 0))+IF(Keys!$D$7="", 0, IFERROR(SUMIFS(NP2023_deaths!$E:$E, NP2023_deaths!$A:$A, Keys!$D$7, NP2023_deaths!$B:$B, Keys!$B$7, NP2023_deaths!$C:$C, 2034), 0))+IF(Keys!$E$7="", 0, IFERROR(SUMIFS(NP2023_deaths!$E:$E, NP2023_deaths!$A:$A, Keys!$E$7, NP2023_deaths!$B:$B, Keys!$B$7, NP2023_deaths!$C:$C, 2034), 0))+IF(Keys!$F$7="", 0, IFERROR(SUMIFS(NP2023_deaths!$E:$E, NP2023_deaths!$A:$A, Keys!$F$7, NP2023_deaths!$B:$B, Keys!$B$7, NP2023_deaths!$C:$C, 2034), 0))+IF(Keys!$G$7="", 0, IFERROR(SUMIFS(NP2023_deaths!$E:$E, NP2023_deaths!$A:$A, Keys!$G$7, NP2023_deaths!$B:$B, Keys!$B$7, NP2023_deaths!$C:$C, 2034), 0))+IF(Keys!$H$7="", 0, IFERROR(SUMIFS(NP2023_deaths!$E:$E, NP2023_deaths!$A:$A, Keys!$H$7, NP2023_deaths!$B:$B, Keys!$B$7, NP2023_deaths!$C:$C, 2034), 0))</f>
        <v>1620</v>
      </c>
      <c r="M33" s="37">
        <f>IF(Keys!$C$7="", 0, IFERROR(SUMIFS(NP2023_deaths!$E:$E, NP2023_deaths!$A:$A, Keys!$C$7, NP2023_deaths!$B:$B, Keys!$B$7, NP2023_deaths!$C:$C, 2035), 0))+IF(Keys!$D$7="", 0, IFERROR(SUMIFS(NP2023_deaths!$E:$E, NP2023_deaths!$A:$A, Keys!$D$7, NP2023_deaths!$B:$B, Keys!$B$7, NP2023_deaths!$C:$C, 2035), 0))+IF(Keys!$E$7="", 0, IFERROR(SUMIFS(NP2023_deaths!$E:$E, NP2023_deaths!$A:$A, Keys!$E$7, NP2023_deaths!$B:$B, Keys!$B$7, NP2023_deaths!$C:$C, 2035), 0))+IF(Keys!$F$7="", 0, IFERROR(SUMIFS(NP2023_deaths!$E:$E, NP2023_deaths!$A:$A, Keys!$F$7, NP2023_deaths!$B:$B, Keys!$B$7, NP2023_deaths!$C:$C, 2035), 0))+IF(Keys!$G$7="", 0, IFERROR(SUMIFS(NP2023_deaths!$E:$E, NP2023_deaths!$A:$A, Keys!$G$7, NP2023_deaths!$B:$B, Keys!$B$7, NP2023_deaths!$C:$C, 2035), 0))+IF(Keys!$H$7="", 0, IFERROR(SUMIFS(NP2023_deaths!$E:$E, NP2023_deaths!$A:$A, Keys!$H$7, NP2023_deaths!$B:$B, Keys!$B$7, NP2023_deaths!$C:$C, 2035), 0))</f>
        <v>1625</v>
      </c>
      <c r="N33" s="37">
        <f>IF(Keys!$C$7="", 0, IFERROR(SUMIFS(NP2023_deaths!$E:$E, NP2023_deaths!$A:$A, Keys!$C$7, NP2023_deaths!$B:$B, Keys!$B$7, NP2023_deaths!$C:$C, 2036), 0))+IF(Keys!$D$7="", 0, IFERROR(SUMIFS(NP2023_deaths!$E:$E, NP2023_deaths!$A:$A, Keys!$D$7, NP2023_deaths!$B:$B, Keys!$B$7, NP2023_deaths!$C:$C, 2036), 0))+IF(Keys!$E$7="", 0, IFERROR(SUMIFS(NP2023_deaths!$E:$E, NP2023_deaths!$A:$A, Keys!$E$7, NP2023_deaths!$B:$B, Keys!$B$7, NP2023_deaths!$C:$C, 2036), 0))+IF(Keys!$F$7="", 0, IFERROR(SUMIFS(NP2023_deaths!$E:$E, NP2023_deaths!$A:$A, Keys!$F$7, NP2023_deaths!$B:$B, Keys!$B$7, NP2023_deaths!$C:$C, 2036), 0))+IF(Keys!$G$7="", 0, IFERROR(SUMIFS(NP2023_deaths!$E:$E, NP2023_deaths!$A:$A, Keys!$G$7, NP2023_deaths!$B:$B, Keys!$B$7, NP2023_deaths!$C:$C, 2036), 0))+IF(Keys!$H$7="", 0, IFERROR(SUMIFS(NP2023_deaths!$E:$E, NP2023_deaths!$A:$A, Keys!$H$7, NP2023_deaths!$B:$B, Keys!$B$7, NP2023_deaths!$C:$C, 2036), 0))</f>
        <v>1632</v>
      </c>
      <c r="O33" s="37">
        <f>IF(Keys!$C$7="", 0, IFERROR(SUMIFS(NP2023_deaths!$E:$E, NP2023_deaths!$A:$A, Keys!$C$7, NP2023_deaths!$B:$B, Keys!$B$7, NP2023_deaths!$C:$C, 2037), 0))+IF(Keys!$D$7="", 0, IFERROR(SUMIFS(NP2023_deaths!$E:$E, NP2023_deaths!$A:$A, Keys!$D$7, NP2023_deaths!$B:$B, Keys!$B$7, NP2023_deaths!$C:$C, 2037), 0))+IF(Keys!$E$7="", 0, IFERROR(SUMIFS(NP2023_deaths!$E:$E, NP2023_deaths!$A:$A, Keys!$E$7, NP2023_deaths!$B:$B, Keys!$B$7, NP2023_deaths!$C:$C, 2037), 0))+IF(Keys!$F$7="", 0, IFERROR(SUMIFS(NP2023_deaths!$E:$E, NP2023_deaths!$A:$A, Keys!$F$7, NP2023_deaths!$B:$B, Keys!$B$7, NP2023_deaths!$C:$C, 2037), 0))+IF(Keys!$G$7="", 0, IFERROR(SUMIFS(NP2023_deaths!$E:$E, NP2023_deaths!$A:$A, Keys!$G$7, NP2023_deaths!$B:$B, Keys!$B$7, NP2023_deaths!$C:$C, 2037), 0))+IF(Keys!$H$7="", 0, IFERROR(SUMIFS(NP2023_deaths!$E:$E, NP2023_deaths!$A:$A, Keys!$H$7, NP2023_deaths!$B:$B, Keys!$B$7, NP2023_deaths!$C:$C, 2037), 0))</f>
        <v>1637</v>
      </c>
      <c r="P33" s="37">
        <f>IF(Keys!$C$7="", 0, IFERROR(SUMIFS(NP2023_deaths!$E:$E, NP2023_deaths!$A:$A, Keys!$C$7, NP2023_deaths!$B:$B, Keys!$B$7, NP2023_deaths!$C:$C, 2038), 0))+IF(Keys!$D$7="", 0, IFERROR(SUMIFS(NP2023_deaths!$E:$E, NP2023_deaths!$A:$A, Keys!$D$7, NP2023_deaths!$B:$B, Keys!$B$7, NP2023_deaths!$C:$C, 2038), 0))+IF(Keys!$E$7="", 0, IFERROR(SUMIFS(NP2023_deaths!$E:$E, NP2023_deaths!$A:$A, Keys!$E$7, NP2023_deaths!$B:$B, Keys!$B$7, NP2023_deaths!$C:$C, 2038), 0))+IF(Keys!$F$7="", 0, IFERROR(SUMIFS(NP2023_deaths!$E:$E, NP2023_deaths!$A:$A, Keys!$F$7, NP2023_deaths!$B:$B, Keys!$B$7, NP2023_deaths!$C:$C, 2038), 0))+IF(Keys!$G$7="", 0, IFERROR(SUMIFS(NP2023_deaths!$E:$E, NP2023_deaths!$A:$A, Keys!$G$7, NP2023_deaths!$B:$B, Keys!$B$7, NP2023_deaths!$C:$C, 2038), 0))+IF(Keys!$H$7="", 0, IFERROR(SUMIFS(NP2023_deaths!$E:$E, NP2023_deaths!$A:$A, Keys!$H$7, NP2023_deaths!$B:$B, Keys!$B$7, NP2023_deaths!$C:$C, 2038), 0))</f>
        <v>1640</v>
      </c>
      <c r="Q33" s="37">
        <f>IF(Keys!$C$7="", 0, IFERROR(SUMIFS(NP2023_deaths!$E:$E, NP2023_deaths!$A:$A, Keys!$C$7, NP2023_deaths!$B:$B, Keys!$B$7, NP2023_deaths!$C:$C, 2039), 0))+IF(Keys!$D$7="", 0, IFERROR(SUMIFS(NP2023_deaths!$E:$E, NP2023_deaths!$A:$A, Keys!$D$7, NP2023_deaths!$B:$B, Keys!$B$7, NP2023_deaths!$C:$C, 2039), 0))+IF(Keys!$E$7="", 0, IFERROR(SUMIFS(NP2023_deaths!$E:$E, NP2023_deaths!$A:$A, Keys!$E$7, NP2023_deaths!$B:$B, Keys!$B$7, NP2023_deaths!$C:$C, 2039), 0))+IF(Keys!$F$7="", 0, IFERROR(SUMIFS(NP2023_deaths!$E:$E, NP2023_deaths!$A:$A, Keys!$F$7, NP2023_deaths!$B:$B, Keys!$B$7, NP2023_deaths!$C:$C, 2039), 0))+IF(Keys!$G$7="", 0, IFERROR(SUMIFS(NP2023_deaths!$E:$E, NP2023_deaths!$A:$A, Keys!$G$7, NP2023_deaths!$B:$B, Keys!$B$7, NP2023_deaths!$C:$C, 2039), 0))+IF(Keys!$H$7="", 0, IFERROR(SUMIFS(NP2023_deaths!$E:$E, NP2023_deaths!$A:$A, Keys!$H$7, NP2023_deaths!$B:$B, Keys!$B$7, NP2023_deaths!$C:$C, 2039), 0))</f>
        <v>1641</v>
      </c>
      <c r="R33" s="37">
        <f>IF(Keys!$C$7="", 0, IFERROR(SUMIFS(NP2023_deaths!$E:$E, NP2023_deaths!$A:$A, Keys!$C$7, NP2023_deaths!$B:$B, Keys!$B$7, NP2023_deaths!$C:$C, 2040), 0))+IF(Keys!$D$7="", 0, IFERROR(SUMIFS(NP2023_deaths!$E:$E, NP2023_deaths!$A:$A, Keys!$D$7, NP2023_deaths!$B:$B, Keys!$B$7, NP2023_deaths!$C:$C, 2040), 0))+IF(Keys!$E$7="", 0, IFERROR(SUMIFS(NP2023_deaths!$E:$E, NP2023_deaths!$A:$A, Keys!$E$7, NP2023_deaths!$B:$B, Keys!$B$7, NP2023_deaths!$C:$C, 2040), 0))+IF(Keys!$F$7="", 0, IFERROR(SUMIFS(NP2023_deaths!$E:$E, NP2023_deaths!$A:$A, Keys!$F$7, NP2023_deaths!$B:$B, Keys!$B$7, NP2023_deaths!$C:$C, 2040), 0))+IF(Keys!$G$7="", 0, IFERROR(SUMIFS(NP2023_deaths!$E:$E, NP2023_deaths!$A:$A, Keys!$G$7, NP2023_deaths!$B:$B, Keys!$B$7, NP2023_deaths!$C:$C, 2040), 0))+IF(Keys!$H$7="", 0, IFERROR(SUMIFS(NP2023_deaths!$E:$E, NP2023_deaths!$A:$A, Keys!$H$7, NP2023_deaths!$B:$B, Keys!$B$7, NP2023_deaths!$C:$C, 2040), 0))</f>
        <v>1642</v>
      </c>
      <c r="S33" s="37">
        <f>IF(Keys!$C$7="", 0, IFERROR(SUMIFS(NP2023_deaths!$E:$E, NP2023_deaths!$A:$A, Keys!$C$7, NP2023_deaths!$B:$B, Keys!$B$7, NP2023_deaths!$C:$C, 2041), 0))+IF(Keys!$D$7="", 0, IFERROR(SUMIFS(NP2023_deaths!$E:$E, NP2023_deaths!$A:$A, Keys!$D$7, NP2023_deaths!$B:$B, Keys!$B$7, NP2023_deaths!$C:$C, 2041), 0))+IF(Keys!$E$7="", 0, IFERROR(SUMIFS(NP2023_deaths!$E:$E, NP2023_deaths!$A:$A, Keys!$E$7, NP2023_deaths!$B:$B, Keys!$B$7, NP2023_deaths!$C:$C, 2041), 0))+IF(Keys!$F$7="", 0, IFERROR(SUMIFS(NP2023_deaths!$E:$E, NP2023_deaths!$A:$A, Keys!$F$7, NP2023_deaths!$B:$B, Keys!$B$7, NP2023_deaths!$C:$C, 2041), 0))+IF(Keys!$G$7="", 0, IFERROR(SUMIFS(NP2023_deaths!$E:$E, NP2023_deaths!$A:$A, Keys!$G$7, NP2023_deaths!$B:$B, Keys!$B$7, NP2023_deaths!$C:$C, 2041), 0))+IF(Keys!$H$7="", 0, IFERROR(SUMIFS(NP2023_deaths!$E:$E, NP2023_deaths!$A:$A, Keys!$H$7, NP2023_deaths!$B:$B, Keys!$B$7, NP2023_deaths!$C:$C, 2041), 0))</f>
        <v>1642</v>
      </c>
      <c r="T33" s="37">
        <f>IF(Keys!$C$7="", 0, IFERROR(SUMIFS(NP2023_deaths!$E:$E, NP2023_deaths!$A:$A, Keys!$C$7, NP2023_deaths!$B:$B, Keys!$B$7, NP2023_deaths!$C:$C, 2042), 0))+IF(Keys!$D$7="", 0, IFERROR(SUMIFS(NP2023_deaths!$E:$E, NP2023_deaths!$A:$A, Keys!$D$7, NP2023_deaths!$B:$B, Keys!$B$7, NP2023_deaths!$C:$C, 2042), 0))+IF(Keys!$E$7="", 0, IFERROR(SUMIFS(NP2023_deaths!$E:$E, NP2023_deaths!$A:$A, Keys!$E$7, NP2023_deaths!$B:$B, Keys!$B$7, NP2023_deaths!$C:$C, 2042), 0))+IF(Keys!$F$7="", 0, IFERROR(SUMIFS(NP2023_deaths!$E:$E, NP2023_deaths!$A:$A, Keys!$F$7, NP2023_deaths!$B:$B, Keys!$B$7, NP2023_deaths!$C:$C, 2042), 0))+IF(Keys!$G$7="", 0, IFERROR(SUMIFS(NP2023_deaths!$E:$E, NP2023_deaths!$A:$A, Keys!$G$7, NP2023_deaths!$B:$B, Keys!$B$7, NP2023_deaths!$C:$C, 2042), 0))+IF(Keys!$H$7="", 0, IFERROR(SUMIFS(NP2023_deaths!$E:$E, NP2023_deaths!$A:$A, Keys!$H$7, NP2023_deaths!$B:$B, Keys!$B$7, NP2023_deaths!$C:$C, 2042), 0))</f>
        <v>1638</v>
      </c>
      <c r="U33" s="37">
        <f>IF(Keys!$C$7="", 0, IFERROR(SUMIFS(NP2023_deaths!$E:$E, NP2023_deaths!$A:$A, Keys!$C$7, NP2023_deaths!$B:$B, Keys!$B$7, NP2023_deaths!$C:$C, 2043), 0))+IF(Keys!$D$7="", 0, IFERROR(SUMIFS(NP2023_deaths!$E:$E, NP2023_deaths!$A:$A, Keys!$D$7, NP2023_deaths!$B:$B, Keys!$B$7, NP2023_deaths!$C:$C, 2043), 0))+IF(Keys!$E$7="", 0, IFERROR(SUMIFS(NP2023_deaths!$E:$E, NP2023_deaths!$A:$A, Keys!$E$7, NP2023_deaths!$B:$B, Keys!$B$7, NP2023_deaths!$C:$C, 2043), 0))+IF(Keys!$F$7="", 0, IFERROR(SUMIFS(NP2023_deaths!$E:$E, NP2023_deaths!$A:$A, Keys!$F$7, NP2023_deaths!$B:$B, Keys!$B$7, NP2023_deaths!$C:$C, 2043), 0))+IF(Keys!$G$7="", 0, IFERROR(SUMIFS(NP2023_deaths!$E:$E, NP2023_deaths!$A:$A, Keys!$G$7, NP2023_deaths!$B:$B, Keys!$B$7, NP2023_deaths!$C:$C, 2043), 0))+IF(Keys!$H$7="", 0, IFERROR(SUMIFS(NP2023_deaths!$E:$E, NP2023_deaths!$A:$A, Keys!$H$7, NP2023_deaths!$B:$B, Keys!$B$7, NP2023_deaths!$C:$C, 2043), 0))</f>
        <v>1636</v>
      </c>
      <c r="V33" s="37">
        <f>IF(Keys!$C$7="", 0, IFERROR(SUMIFS(NP2023_deaths!$E:$E, NP2023_deaths!$A:$A, Keys!$C$7, NP2023_deaths!$B:$B, Keys!$B$7, NP2023_deaths!$C:$C, 2044), 0))+IF(Keys!$D$7="", 0, IFERROR(SUMIFS(NP2023_deaths!$E:$E, NP2023_deaths!$A:$A, Keys!$D$7, NP2023_deaths!$B:$B, Keys!$B$7, NP2023_deaths!$C:$C, 2044), 0))+IF(Keys!$E$7="", 0, IFERROR(SUMIFS(NP2023_deaths!$E:$E, NP2023_deaths!$A:$A, Keys!$E$7, NP2023_deaths!$B:$B, Keys!$B$7, NP2023_deaths!$C:$C, 2044), 0))+IF(Keys!$F$7="", 0, IFERROR(SUMIFS(NP2023_deaths!$E:$E, NP2023_deaths!$A:$A, Keys!$F$7, NP2023_deaths!$B:$B, Keys!$B$7, NP2023_deaths!$C:$C, 2044), 0))+IF(Keys!$G$7="", 0, IFERROR(SUMIFS(NP2023_deaths!$E:$E, NP2023_deaths!$A:$A, Keys!$G$7, NP2023_deaths!$B:$B, Keys!$B$7, NP2023_deaths!$C:$C, 2044), 0))+IF(Keys!$H$7="", 0, IFERROR(SUMIFS(NP2023_deaths!$E:$E, NP2023_deaths!$A:$A, Keys!$H$7, NP2023_deaths!$B:$B, Keys!$B$7, NP2023_deaths!$C:$C, 2044), 0))</f>
        <v>1632</v>
      </c>
      <c r="W33" s="37">
        <f>IF(Keys!$C$7="", 0, IFERROR(SUMIFS(NP2023_deaths!$E:$E, NP2023_deaths!$A:$A, Keys!$C$7, NP2023_deaths!$B:$B, Keys!$B$7, NP2023_deaths!$C:$C, 2045), 0))+IF(Keys!$D$7="", 0, IFERROR(SUMIFS(NP2023_deaths!$E:$E, NP2023_deaths!$A:$A, Keys!$D$7, NP2023_deaths!$B:$B, Keys!$B$7, NP2023_deaths!$C:$C, 2045), 0))+IF(Keys!$E$7="", 0, IFERROR(SUMIFS(NP2023_deaths!$E:$E, NP2023_deaths!$A:$A, Keys!$E$7, NP2023_deaths!$B:$B, Keys!$B$7, NP2023_deaths!$C:$C, 2045), 0))+IF(Keys!$F$7="", 0, IFERROR(SUMIFS(NP2023_deaths!$E:$E, NP2023_deaths!$A:$A, Keys!$F$7, NP2023_deaths!$B:$B, Keys!$B$7, NP2023_deaths!$C:$C, 2045), 0))+IF(Keys!$G$7="", 0, IFERROR(SUMIFS(NP2023_deaths!$E:$E, NP2023_deaths!$A:$A, Keys!$G$7, NP2023_deaths!$B:$B, Keys!$B$7, NP2023_deaths!$C:$C, 2045), 0))+IF(Keys!$H$7="", 0, IFERROR(SUMIFS(NP2023_deaths!$E:$E, NP2023_deaths!$A:$A, Keys!$H$7, NP2023_deaths!$B:$B, Keys!$B$7, NP2023_deaths!$C:$C, 2045), 0))</f>
        <v>1628</v>
      </c>
      <c r="X33" s="37">
        <f>IF(Keys!$C$7="", 0, IFERROR(SUMIFS(NP2023_deaths!$E:$E, NP2023_deaths!$A:$A, Keys!$C$7, NP2023_deaths!$B:$B, Keys!$B$7, NP2023_deaths!$C:$C, 2046), 0))+IF(Keys!$D$7="", 0, IFERROR(SUMIFS(NP2023_deaths!$E:$E, NP2023_deaths!$A:$A, Keys!$D$7, NP2023_deaths!$B:$B, Keys!$B$7, NP2023_deaths!$C:$C, 2046), 0))+IF(Keys!$E$7="", 0, IFERROR(SUMIFS(NP2023_deaths!$E:$E, NP2023_deaths!$A:$A, Keys!$E$7, NP2023_deaths!$B:$B, Keys!$B$7, NP2023_deaths!$C:$C, 2046), 0))+IF(Keys!$F$7="", 0, IFERROR(SUMIFS(NP2023_deaths!$E:$E, NP2023_deaths!$A:$A, Keys!$F$7, NP2023_deaths!$B:$B, Keys!$B$7, NP2023_deaths!$C:$C, 2046), 0))+IF(Keys!$G$7="", 0, IFERROR(SUMIFS(NP2023_deaths!$E:$E, NP2023_deaths!$A:$A, Keys!$G$7, NP2023_deaths!$B:$B, Keys!$B$7, NP2023_deaths!$C:$C, 2046), 0))+IF(Keys!$H$7="", 0, IFERROR(SUMIFS(NP2023_deaths!$E:$E, NP2023_deaths!$A:$A, Keys!$H$7, NP2023_deaths!$B:$B, Keys!$B$7, NP2023_deaths!$C:$C, 2046), 0))</f>
        <v>1626</v>
      </c>
      <c r="Y33" s="37">
        <f>IF(Keys!$C$7="", 0, IFERROR(SUMIFS(NP2023_deaths!$E:$E, NP2023_deaths!$A:$A, Keys!$C$7, NP2023_deaths!$B:$B, Keys!$B$7, NP2023_deaths!$C:$C, 2047), 0))+IF(Keys!$D$7="", 0, IFERROR(SUMIFS(NP2023_deaths!$E:$E, NP2023_deaths!$A:$A, Keys!$D$7, NP2023_deaths!$B:$B, Keys!$B$7, NP2023_deaths!$C:$C, 2047), 0))+IF(Keys!$E$7="", 0, IFERROR(SUMIFS(NP2023_deaths!$E:$E, NP2023_deaths!$A:$A, Keys!$E$7, NP2023_deaths!$B:$B, Keys!$B$7, NP2023_deaths!$C:$C, 2047), 0))+IF(Keys!$F$7="", 0, IFERROR(SUMIFS(NP2023_deaths!$E:$E, NP2023_deaths!$A:$A, Keys!$F$7, NP2023_deaths!$B:$B, Keys!$B$7, NP2023_deaths!$C:$C, 2047), 0))+IF(Keys!$G$7="", 0, IFERROR(SUMIFS(NP2023_deaths!$E:$E, NP2023_deaths!$A:$A, Keys!$G$7, NP2023_deaths!$B:$B, Keys!$B$7, NP2023_deaths!$C:$C, 2047), 0))+IF(Keys!$H$7="", 0, IFERROR(SUMIFS(NP2023_deaths!$E:$E, NP2023_deaths!$A:$A, Keys!$H$7, NP2023_deaths!$B:$B, Keys!$B$7, NP2023_deaths!$C:$C, 2047), 0))</f>
        <v>1621</v>
      </c>
      <c r="Z33" s="37">
        <f>IF(Keys!$C$7="", 0, IFERROR(SUMIFS(NP2023_deaths!$E:$E, NP2023_deaths!$A:$A, Keys!$C$7, NP2023_deaths!$B:$B, Keys!$B$7, NP2023_deaths!$C:$C, 2048), 0))+IF(Keys!$D$7="", 0, IFERROR(SUMIFS(NP2023_deaths!$E:$E, NP2023_deaths!$A:$A, Keys!$D$7, NP2023_deaths!$B:$B, Keys!$B$7, NP2023_deaths!$C:$C, 2048), 0))+IF(Keys!$E$7="", 0, IFERROR(SUMIFS(NP2023_deaths!$E:$E, NP2023_deaths!$A:$A, Keys!$E$7, NP2023_deaths!$B:$B, Keys!$B$7, NP2023_deaths!$C:$C, 2048), 0))+IF(Keys!$F$7="", 0, IFERROR(SUMIFS(NP2023_deaths!$E:$E, NP2023_deaths!$A:$A, Keys!$F$7, NP2023_deaths!$B:$B, Keys!$B$7, NP2023_deaths!$C:$C, 2048), 0))+IF(Keys!$G$7="", 0, IFERROR(SUMIFS(NP2023_deaths!$E:$E, NP2023_deaths!$A:$A, Keys!$G$7, NP2023_deaths!$B:$B, Keys!$B$7, NP2023_deaths!$C:$C, 2048), 0))+IF(Keys!$H$7="", 0, IFERROR(SUMIFS(NP2023_deaths!$E:$E, NP2023_deaths!$A:$A, Keys!$H$7, NP2023_deaths!$B:$B, Keys!$B$7, NP2023_deaths!$C:$C, 2048), 0))</f>
        <v>1619</v>
      </c>
      <c r="AA33" s="37">
        <f>IF(Keys!$C$7="", 0, IFERROR(SUMIFS(NP2023_deaths!$E:$E, NP2023_deaths!$A:$A, Keys!$C$7, NP2023_deaths!$B:$B, Keys!$B$7, NP2023_deaths!$C:$C, 2049), 0))+IF(Keys!$D$7="", 0, IFERROR(SUMIFS(NP2023_deaths!$E:$E, NP2023_deaths!$A:$A, Keys!$D$7, NP2023_deaths!$B:$B, Keys!$B$7, NP2023_deaths!$C:$C, 2049), 0))+IF(Keys!$E$7="", 0, IFERROR(SUMIFS(NP2023_deaths!$E:$E, NP2023_deaths!$A:$A, Keys!$E$7, NP2023_deaths!$B:$B, Keys!$B$7, NP2023_deaths!$C:$C, 2049), 0))+IF(Keys!$F$7="", 0, IFERROR(SUMIFS(NP2023_deaths!$E:$E, NP2023_deaths!$A:$A, Keys!$F$7, NP2023_deaths!$B:$B, Keys!$B$7, NP2023_deaths!$C:$C, 2049), 0))+IF(Keys!$G$7="", 0, IFERROR(SUMIFS(NP2023_deaths!$E:$E, NP2023_deaths!$A:$A, Keys!$G$7, NP2023_deaths!$B:$B, Keys!$B$7, NP2023_deaths!$C:$C, 2049), 0))+IF(Keys!$H$7="", 0, IFERROR(SUMIFS(NP2023_deaths!$E:$E, NP2023_deaths!$A:$A, Keys!$H$7, NP2023_deaths!$B:$B, Keys!$B$7, NP2023_deaths!$C:$C, 2049), 0))</f>
        <v>1614</v>
      </c>
      <c r="AB33" s="37">
        <f>IF(Keys!$C$7="", 0, IFERROR(SUMIFS(NP2023_deaths!$E:$E, NP2023_deaths!$A:$A, Keys!$C$7, NP2023_deaths!$B:$B, Keys!$B$7, NP2023_deaths!$C:$C, 2050), 0))+IF(Keys!$D$7="", 0, IFERROR(SUMIFS(NP2023_deaths!$E:$E, NP2023_deaths!$A:$A, Keys!$D$7, NP2023_deaths!$B:$B, Keys!$B$7, NP2023_deaths!$C:$C, 2050), 0))+IF(Keys!$E$7="", 0, IFERROR(SUMIFS(NP2023_deaths!$E:$E, NP2023_deaths!$A:$A, Keys!$E$7, NP2023_deaths!$B:$B, Keys!$B$7, NP2023_deaths!$C:$C, 2050), 0))+IF(Keys!$F$7="", 0, IFERROR(SUMIFS(NP2023_deaths!$E:$E, NP2023_deaths!$A:$A, Keys!$F$7, NP2023_deaths!$B:$B, Keys!$B$7, NP2023_deaths!$C:$C, 2050), 0))+IF(Keys!$G$7="", 0, IFERROR(SUMIFS(NP2023_deaths!$E:$E, NP2023_deaths!$A:$A, Keys!$G$7, NP2023_deaths!$B:$B, Keys!$B$7, NP2023_deaths!$C:$C, 2050), 0))+IF(Keys!$H$7="", 0, IFERROR(SUMIFS(NP2023_deaths!$E:$E, NP2023_deaths!$A:$A, Keys!$H$7, NP2023_deaths!$B:$B, Keys!$B$7, NP2023_deaths!$C:$C, 2050), 0))</f>
        <v>1612</v>
      </c>
    </row>
    <row r="34" spans="1:28" x14ac:dyDescent="0.25">
      <c r="A34" s="4" t="s">
        <v>221</v>
      </c>
      <c r="B34" s="37">
        <f>IF(Keys!$C$8="", 0, IFERROR(SUMIFS(NP2023_deaths!$E:$E, NP2023_deaths!$A:$A, Keys!$C$8, NP2023_deaths!$B:$B, Keys!$B$8, NP2023_deaths!$C:$C, 2024), 0))+IF(Keys!$D$8="", 0, IFERROR(SUMIFS(NP2023_deaths!$E:$E, NP2023_deaths!$A:$A, Keys!$D$8, NP2023_deaths!$B:$B, Keys!$B$8, NP2023_deaths!$C:$C, 2024), 0))+IF(Keys!$E$8="", 0, IFERROR(SUMIFS(NP2023_deaths!$E:$E, NP2023_deaths!$A:$A, Keys!$E$8, NP2023_deaths!$B:$B, Keys!$B$8, NP2023_deaths!$C:$C, 2024), 0))+IF(Keys!$F$8="", 0, IFERROR(SUMIFS(NP2023_deaths!$E:$E, NP2023_deaths!$A:$A, Keys!$F$8, NP2023_deaths!$B:$B, Keys!$B$8, NP2023_deaths!$C:$C, 2024), 0))+IF(Keys!$G$8="", 0, IFERROR(SUMIFS(NP2023_deaths!$E:$E, NP2023_deaths!$A:$A, Keys!$G$8, NP2023_deaths!$B:$B, Keys!$B$8, NP2023_deaths!$C:$C, 2024), 0))+IF(Keys!$H$8="", 0, IFERROR(SUMIFS(NP2023_deaths!$E:$E, NP2023_deaths!$A:$A, Keys!$H$8, NP2023_deaths!$B:$B, Keys!$B$8, NP2023_deaths!$C:$C, 2024), 0))</f>
        <v>3841</v>
      </c>
      <c r="C34" s="37">
        <f>IF(Keys!$C$8="", 0, IFERROR(SUMIFS(NP2023_deaths!$E:$E, NP2023_deaths!$A:$A, Keys!$C$8, NP2023_deaths!$B:$B, Keys!$B$8, NP2023_deaths!$C:$C, 2025), 0))+IF(Keys!$D$8="", 0, IFERROR(SUMIFS(NP2023_deaths!$E:$E, NP2023_deaths!$A:$A, Keys!$D$8, NP2023_deaths!$B:$B, Keys!$B$8, NP2023_deaths!$C:$C, 2025), 0))+IF(Keys!$E$8="", 0, IFERROR(SUMIFS(NP2023_deaths!$E:$E, NP2023_deaths!$A:$A, Keys!$E$8, NP2023_deaths!$B:$B, Keys!$B$8, NP2023_deaths!$C:$C, 2025), 0))+IF(Keys!$F$8="", 0, IFERROR(SUMIFS(NP2023_deaths!$E:$E, NP2023_deaths!$A:$A, Keys!$F$8, NP2023_deaths!$B:$B, Keys!$B$8, NP2023_deaths!$C:$C, 2025), 0))+IF(Keys!$G$8="", 0, IFERROR(SUMIFS(NP2023_deaths!$E:$E, NP2023_deaths!$A:$A, Keys!$G$8, NP2023_deaths!$B:$B, Keys!$B$8, NP2023_deaths!$C:$C, 2025), 0))+IF(Keys!$H$8="", 0, IFERROR(SUMIFS(NP2023_deaths!$E:$E, NP2023_deaths!$A:$A, Keys!$H$8, NP2023_deaths!$B:$B, Keys!$B$8, NP2023_deaths!$C:$C, 2025), 0))</f>
        <v>3857</v>
      </c>
      <c r="D34" s="37">
        <f>IF(Keys!$C$8="", 0, IFERROR(SUMIFS(NP2023_deaths!$E:$E, NP2023_deaths!$A:$A, Keys!$C$8, NP2023_deaths!$B:$B, Keys!$B$8, NP2023_deaths!$C:$C, 2026), 0))+IF(Keys!$D$8="", 0, IFERROR(SUMIFS(NP2023_deaths!$E:$E, NP2023_deaths!$A:$A, Keys!$D$8, NP2023_deaths!$B:$B, Keys!$B$8, NP2023_deaths!$C:$C, 2026), 0))+IF(Keys!$E$8="", 0, IFERROR(SUMIFS(NP2023_deaths!$E:$E, NP2023_deaths!$A:$A, Keys!$E$8, NP2023_deaths!$B:$B, Keys!$B$8, NP2023_deaths!$C:$C, 2026), 0))+IF(Keys!$F$8="", 0, IFERROR(SUMIFS(NP2023_deaths!$E:$E, NP2023_deaths!$A:$A, Keys!$F$8, NP2023_deaths!$B:$B, Keys!$B$8, NP2023_deaths!$C:$C, 2026), 0))+IF(Keys!$G$8="", 0, IFERROR(SUMIFS(NP2023_deaths!$E:$E, NP2023_deaths!$A:$A, Keys!$G$8, NP2023_deaths!$B:$B, Keys!$B$8, NP2023_deaths!$C:$C, 2026), 0))+IF(Keys!$H$8="", 0, IFERROR(SUMIFS(NP2023_deaths!$E:$E, NP2023_deaths!$A:$A, Keys!$H$8, NP2023_deaths!$B:$B, Keys!$B$8, NP2023_deaths!$C:$C, 2026), 0))</f>
        <v>3875</v>
      </c>
      <c r="E34" s="37">
        <f>IF(Keys!$C$8="", 0, IFERROR(SUMIFS(NP2023_deaths!$E:$E, NP2023_deaths!$A:$A, Keys!$C$8, NP2023_deaths!$B:$B, Keys!$B$8, NP2023_deaths!$C:$C, 2027), 0))+IF(Keys!$D$8="", 0, IFERROR(SUMIFS(NP2023_deaths!$E:$E, NP2023_deaths!$A:$A, Keys!$D$8, NP2023_deaths!$B:$B, Keys!$B$8, NP2023_deaths!$C:$C, 2027), 0))+IF(Keys!$E$8="", 0, IFERROR(SUMIFS(NP2023_deaths!$E:$E, NP2023_deaths!$A:$A, Keys!$E$8, NP2023_deaths!$B:$B, Keys!$B$8, NP2023_deaths!$C:$C, 2027), 0))+IF(Keys!$F$8="", 0, IFERROR(SUMIFS(NP2023_deaths!$E:$E, NP2023_deaths!$A:$A, Keys!$F$8, NP2023_deaths!$B:$B, Keys!$B$8, NP2023_deaths!$C:$C, 2027), 0))+IF(Keys!$G$8="", 0, IFERROR(SUMIFS(NP2023_deaths!$E:$E, NP2023_deaths!$A:$A, Keys!$G$8, NP2023_deaths!$B:$B, Keys!$B$8, NP2023_deaths!$C:$C, 2027), 0))+IF(Keys!$H$8="", 0, IFERROR(SUMIFS(NP2023_deaths!$E:$E, NP2023_deaths!$A:$A, Keys!$H$8, NP2023_deaths!$B:$B, Keys!$B$8, NP2023_deaths!$C:$C, 2027), 0))</f>
        <v>3894</v>
      </c>
      <c r="F34" s="37">
        <f>IF(Keys!$C$8="", 0, IFERROR(SUMIFS(NP2023_deaths!$E:$E, NP2023_deaths!$A:$A, Keys!$C$8, NP2023_deaths!$B:$B, Keys!$B$8, NP2023_deaths!$C:$C, 2028), 0))+IF(Keys!$D$8="", 0, IFERROR(SUMIFS(NP2023_deaths!$E:$E, NP2023_deaths!$A:$A, Keys!$D$8, NP2023_deaths!$B:$B, Keys!$B$8, NP2023_deaths!$C:$C, 2028), 0))+IF(Keys!$E$8="", 0, IFERROR(SUMIFS(NP2023_deaths!$E:$E, NP2023_deaths!$A:$A, Keys!$E$8, NP2023_deaths!$B:$B, Keys!$B$8, NP2023_deaths!$C:$C, 2028), 0))+IF(Keys!$F$8="", 0, IFERROR(SUMIFS(NP2023_deaths!$E:$E, NP2023_deaths!$A:$A, Keys!$F$8, NP2023_deaths!$B:$B, Keys!$B$8, NP2023_deaths!$C:$C, 2028), 0))+IF(Keys!$G$8="", 0, IFERROR(SUMIFS(NP2023_deaths!$E:$E, NP2023_deaths!$A:$A, Keys!$G$8, NP2023_deaths!$B:$B, Keys!$B$8, NP2023_deaths!$C:$C, 2028), 0))+IF(Keys!$H$8="", 0, IFERROR(SUMIFS(NP2023_deaths!$E:$E, NP2023_deaths!$A:$A, Keys!$H$8, NP2023_deaths!$B:$B, Keys!$B$8, NP2023_deaths!$C:$C, 2028), 0))</f>
        <v>3916</v>
      </c>
      <c r="G34" s="37">
        <f>IF(Keys!$C$8="", 0, IFERROR(SUMIFS(NP2023_deaths!$E:$E, NP2023_deaths!$A:$A, Keys!$C$8, NP2023_deaths!$B:$B, Keys!$B$8, NP2023_deaths!$C:$C, 2029), 0))+IF(Keys!$D$8="", 0, IFERROR(SUMIFS(NP2023_deaths!$E:$E, NP2023_deaths!$A:$A, Keys!$D$8, NP2023_deaths!$B:$B, Keys!$B$8, NP2023_deaths!$C:$C, 2029), 0))+IF(Keys!$E$8="", 0, IFERROR(SUMIFS(NP2023_deaths!$E:$E, NP2023_deaths!$A:$A, Keys!$E$8, NP2023_deaths!$B:$B, Keys!$B$8, NP2023_deaths!$C:$C, 2029), 0))+IF(Keys!$F$8="", 0, IFERROR(SUMIFS(NP2023_deaths!$E:$E, NP2023_deaths!$A:$A, Keys!$F$8, NP2023_deaths!$B:$B, Keys!$B$8, NP2023_deaths!$C:$C, 2029), 0))+IF(Keys!$G$8="", 0, IFERROR(SUMIFS(NP2023_deaths!$E:$E, NP2023_deaths!$A:$A, Keys!$G$8, NP2023_deaths!$B:$B, Keys!$B$8, NP2023_deaths!$C:$C, 2029), 0))+IF(Keys!$H$8="", 0, IFERROR(SUMIFS(NP2023_deaths!$E:$E, NP2023_deaths!$A:$A, Keys!$H$8, NP2023_deaths!$B:$B, Keys!$B$8, NP2023_deaths!$C:$C, 2029), 0))</f>
        <v>3934</v>
      </c>
      <c r="H34" s="37">
        <f>IF(Keys!$C$8="", 0, IFERROR(SUMIFS(NP2023_deaths!$E:$E, NP2023_deaths!$A:$A, Keys!$C$8, NP2023_deaths!$B:$B, Keys!$B$8, NP2023_deaths!$C:$C, 2030), 0))+IF(Keys!$D$8="", 0, IFERROR(SUMIFS(NP2023_deaths!$E:$E, NP2023_deaths!$A:$A, Keys!$D$8, NP2023_deaths!$B:$B, Keys!$B$8, NP2023_deaths!$C:$C, 2030), 0))+IF(Keys!$E$8="", 0, IFERROR(SUMIFS(NP2023_deaths!$E:$E, NP2023_deaths!$A:$A, Keys!$E$8, NP2023_deaths!$B:$B, Keys!$B$8, NP2023_deaths!$C:$C, 2030), 0))+IF(Keys!$F$8="", 0, IFERROR(SUMIFS(NP2023_deaths!$E:$E, NP2023_deaths!$A:$A, Keys!$F$8, NP2023_deaths!$B:$B, Keys!$B$8, NP2023_deaths!$C:$C, 2030), 0))+IF(Keys!$G$8="", 0, IFERROR(SUMIFS(NP2023_deaths!$E:$E, NP2023_deaths!$A:$A, Keys!$G$8, NP2023_deaths!$B:$B, Keys!$B$8, NP2023_deaths!$C:$C, 2030), 0))+IF(Keys!$H$8="", 0, IFERROR(SUMIFS(NP2023_deaths!$E:$E, NP2023_deaths!$A:$A, Keys!$H$8, NP2023_deaths!$B:$B, Keys!$B$8, NP2023_deaths!$C:$C, 2030), 0))</f>
        <v>3951</v>
      </c>
      <c r="I34" s="37">
        <f>IF(Keys!$C$8="", 0, IFERROR(SUMIFS(NP2023_deaths!$E:$E, NP2023_deaths!$A:$A, Keys!$C$8, NP2023_deaths!$B:$B, Keys!$B$8, NP2023_deaths!$C:$C, 2031), 0))+IF(Keys!$D$8="", 0, IFERROR(SUMIFS(NP2023_deaths!$E:$E, NP2023_deaths!$A:$A, Keys!$D$8, NP2023_deaths!$B:$B, Keys!$B$8, NP2023_deaths!$C:$C, 2031), 0))+IF(Keys!$E$8="", 0, IFERROR(SUMIFS(NP2023_deaths!$E:$E, NP2023_deaths!$A:$A, Keys!$E$8, NP2023_deaths!$B:$B, Keys!$B$8, NP2023_deaths!$C:$C, 2031), 0))+IF(Keys!$F$8="", 0, IFERROR(SUMIFS(NP2023_deaths!$E:$E, NP2023_deaths!$A:$A, Keys!$F$8, NP2023_deaths!$B:$B, Keys!$B$8, NP2023_deaths!$C:$C, 2031), 0))+IF(Keys!$G$8="", 0, IFERROR(SUMIFS(NP2023_deaths!$E:$E, NP2023_deaths!$A:$A, Keys!$G$8, NP2023_deaths!$B:$B, Keys!$B$8, NP2023_deaths!$C:$C, 2031), 0))+IF(Keys!$H$8="", 0, IFERROR(SUMIFS(NP2023_deaths!$E:$E, NP2023_deaths!$A:$A, Keys!$H$8, NP2023_deaths!$B:$B, Keys!$B$8, NP2023_deaths!$C:$C, 2031), 0))</f>
        <v>3967</v>
      </c>
      <c r="J34" s="37">
        <f>IF(Keys!$C$8="", 0, IFERROR(SUMIFS(NP2023_deaths!$E:$E, NP2023_deaths!$A:$A, Keys!$C$8, NP2023_deaths!$B:$B, Keys!$B$8, NP2023_deaths!$C:$C, 2032), 0))+IF(Keys!$D$8="", 0, IFERROR(SUMIFS(NP2023_deaths!$E:$E, NP2023_deaths!$A:$A, Keys!$D$8, NP2023_deaths!$B:$B, Keys!$B$8, NP2023_deaths!$C:$C, 2032), 0))+IF(Keys!$E$8="", 0, IFERROR(SUMIFS(NP2023_deaths!$E:$E, NP2023_deaths!$A:$A, Keys!$E$8, NP2023_deaths!$B:$B, Keys!$B$8, NP2023_deaths!$C:$C, 2032), 0))+IF(Keys!$F$8="", 0, IFERROR(SUMIFS(NP2023_deaths!$E:$E, NP2023_deaths!$A:$A, Keys!$F$8, NP2023_deaths!$B:$B, Keys!$B$8, NP2023_deaths!$C:$C, 2032), 0))+IF(Keys!$G$8="", 0, IFERROR(SUMIFS(NP2023_deaths!$E:$E, NP2023_deaths!$A:$A, Keys!$G$8, NP2023_deaths!$B:$B, Keys!$B$8, NP2023_deaths!$C:$C, 2032), 0))+IF(Keys!$H$8="", 0, IFERROR(SUMIFS(NP2023_deaths!$E:$E, NP2023_deaths!$A:$A, Keys!$H$8, NP2023_deaths!$B:$B, Keys!$B$8, NP2023_deaths!$C:$C, 2032), 0))</f>
        <v>3981</v>
      </c>
      <c r="K34" s="37">
        <f>IF(Keys!$C$8="", 0, IFERROR(SUMIFS(NP2023_deaths!$E:$E, NP2023_deaths!$A:$A, Keys!$C$8, NP2023_deaths!$B:$B, Keys!$B$8, NP2023_deaths!$C:$C, 2033), 0))+IF(Keys!$D$8="", 0, IFERROR(SUMIFS(NP2023_deaths!$E:$E, NP2023_deaths!$A:$A, Keys!$D$8, NP2023_deaths!$B:$B, Keys!$B$8, NP2023_deaths!$C:$C, 2033), 0))+IF(Keys!$E$8="", 0, IFERROR(SUMIFS(NP2023_deaths!$E:$E, NP2023_deaths!$A:$A, Keys!$E$8, NP2023_deaths!$B:$B, Keys!$B$8, NP2023_deaths!$C:$C, 2033), 0))+IF(Keys!$F$8="", 0, IFERROR(SUMIFS(NP2023_deaths!$E:$E, NP2023_deaths!$A:$A, Keys!$F$8, NP2023_deaths!$B:$B, Keys!$B$8, NP2023_deaths!$C:$C, 2033), 0))+IF(Keys!$G$8="", 0, IFERROR(SUMIFS(NP2023_deaths!$E:$E, NP2023_deaths!$A:$A, Keys!$G$8, NP2023_deaths!$B:$B, Keys!$B$8, NP2023_deaths!$C:$C, 2033), 0))+IF(Keys!$H$8="", 0, IFERROR(SUMIFS(NP2023_deaths!$E:$E, NP2023_deaths!$A:$A, Keys!$H$8, NP2023_deaths!$B:$B, Keys!$B$8, NP2023_deaths!$C:$C, 2033), 0))</f>
        <v>3993</v>
      </c>
      <c r="L34" s="37">
        <f>IF(Keys!$C$8="", 0, IFERROR(SUMIFS(NP2023_deaths!$E:$E, NP2023_deaths!$A:$A, Keys!$C$8, NP2023_deaths!$B:$B, Keys!$B$8, NP2023_deaths!$C:$C, 2034), 0))+IF(Keys!$D$8="", 0, IFERROR(SUMIFS(NP2023_deaths!$E:$E, NP2023_deaths!$A:$A, Keys!$D$8, NP2023_deaths!$B:$B, Keys!$B$8, NP2023_deaths!$C:$C, 2034), 0))+IF(Keys!$E$8="", 0, IFERROR(SUMIFS(NP2023_deaths!$E:$E, NP2023_deaths!$A:$A, Keys!$E$8, NP2023_deaths!$B:$B, Keys!$B$8, NP2023_deaths!$C:$C, 2034), 0))+IF(Keys!$F$8="", 0, IFERROR(SUMIFS(NP2023_deaths!$E:$E, NP2023_deaths!$A:$A, Keys!$F$8, NP2023_deaths!$B:$B, Keys!$B$8, NP2023_deaths!$C:$C, 2034), 0))+IF(Keys!$G$8="", 0, IFERROR(SUMIFS(NP2023_deaths!$E:$E, NP2023_deaths!$A:$A, Keys!$G$8, NP2023_deaths!$B:$B, Keys!$B$8, NP2023_deaths!$C:$C, 2034), 0))+IF(Keys!$H$8="", 0, IFERROR(SUMIFS(NP2023_deaths!$E:$E, NP2023_deaths!$A:$A, Keys!$H$8, NP2023_deaths!$B:$B, Keys!$B$8, NP2023_deaths!$C:$C, 2034), 0))</f>
        <v>4002</v>
      </c>
      <c r="M34" s="37">
        <f>IF(Keys!$C$8="", 0, IFERROR(SUMIFS(NP2023_deaths!$E:$E, NP2023_deaths!$A:$A, Keys!$C$8, NP2023_deaths!$B:$B, Keys!$B$8, NP2023_deaths!$C:$C, 2035), 0))+IF(Keys!$D$8="", 0, IFERROR(SUMIFS(NP2023_deaths!$E:$E, NP2023_deaths!$A:$A, Keys!$D$8, NP2023_deaths!$B:$B, Keys!$B$8, NP2023_deaths!$C:$C, 2035), 0))+IF(Keys!$E$8="", 0, IFERROR(SUMIFS(NP2023_deaths!$E:$E, NP2023_deaths!$A:$A, Keys!$E$8, NP2023_deaths!$B:$B, Keys!$B$8, NP2023_deaths!$C:$C, 2035), 0))+IF(Keys!$F$8="", 0, IFERROR(SUMIFS(NP2023_deaths!$E:$E, NP2023_deaths!$A:$A, Keys!$F$8, NP2023_deaths!$B:$B, Keys!$B$8, NP2023_deaths!$C:$C, 2035), 0))+IF(Keys!$G$8="", 0, IFERROR(SUMIFS(NP2023_deaths!$E:$E, NP2023_deaths!$A:$A, Keys!$G$8, NP2023_deaths!$B:$B, Keys!$B$8, NP2023_deaths!$C:$C, 2035), 0))+IF(Keys!$H$8="", 0, IFERROR(SUMIFS(NP2023_deaths!$E:$E, NP2023_deaths!$A:$A, Keys!$H$8, NP2023_deaths!$B:$B, Keys!$B$8, NP2023_deaths!$C:$C, 2035), 0))</f>
        <v>4008</v>
      </c>
      <c r="N34" s="37">
        <f>IF(Keys!$C$8="", 0, IFERROR(SUMIFS(NP2023_deaths!$E:$E, NP2023_deaths!$A:$A, Keys!$C$8, NP2023_deaths!$B:$B, Keys!$B$8, NP2023_deaths!$C:$C, 2036), 0))+IF(Keys!$D$8="", 0, IFERROR(SUMIFS(NP2023_deaths!$E:$E, NP2023_deaths!$A:$A, Keys!$D$8, NP2023_deaths!$B:$B, Keys!$B$8, NP2023_deaths!$C:$C, 2036), 0))+IF(Keys!$E$8="", 0, IFERROR(SUMIFS(NP2023_deaths!$E:$E, NP2023_deaths!$A:$A, Keys!$E$8, NP2023_deaths!$B:$B, Keys!$B$8, NP2023_deaths!$C:$C, 2036), 0))+IF(Keys!$F$8="", 0, IFERROR(SUMIFS(NP2023_deaths!$E:$E, NP2023_deaths!$A:$A, Keys!$F$8, NP2023_deaths!$B:$B, Keys!$B$8, NP2023_deaths!$C:$C, 2036), 0))+IF(Keys!$G$8="", 0, IFERROR(SUMIFS(NP2023_deaths!$E:$E, NP2023_deaths!$A:$A, Keys!$G$8, NP2023_deaths!$B:$B, Keys!$B$8, NP2023_deaths!$C:$C, 2036), 0))+IF(Keys!$H$8="", 0, IFERROR(SUMIFS(NP2023_deaths!$E:$E, NP2023_deaths!$A:$A, Keys!$H$8, NP2023_deaths!$B:$B, Keys!$B$8, NP2023_deaths!$C:$C, 2036), 0))</f>
        <v>4011</v>
      </c>
      <c r="O34" s="37">
        <f>IF(Keys!$C$8="", 0, IFERROR(SUMIFS(NP2023_deaths!$E:$E, NP2023_deaths!$A:$A, Keys!$C$8, NP2023_deaths!$B:$B, Keys!$B$8, NP2023_deaths!$C:$C, 2037), 0))+IF(Keys!$D$8="", 0, IFERROR(SUMIFS(NP2023_deaths!$E:$E, NP2023_deaths!$A:$A, Keys!$D$8, NP2023_deaths!$B:$B, Keys!$B$8, NP2023_deaths!$C:$C, 2037), 0))+IF(Keys!$E$8="", 0, IFERROR(SUMIFS(NP2023_deaths!$E:$E, NP2023_deaths!$A:$A, Keys!$E$8, NP2023_deaths!$B:$B, Keys!$B$8, NP2023_deaths!$C:$C, 2037), 0))+IF(Keys!$F$8="", 0, IFERROR(SUMIFS(NP2023_deaths!$E:$E, NP2023_deaths!$A:$A, Keys!$F$8, NP2023_deaths!$B:$B, Keys!$B$8, NP2023_deaths!$C:$C, 2037), 0))+IF(Keys!$G$8="", 0, IFERROR(SUMIFS(NP2023_deaths!$E:$E, NP2023_deaths!$A:$A, Keys!$G$8, NP2023_deaths!$B:$B, Keys!$B$8, NP2023_deaths!$C:$C, 2037), 0))+IF(Keys!$H$8="", 0, IFERROR(SUMIFS(NP2023_deaths!$E:$E, NP2023_deaths!$A:$A, Keys!$H$8, NP2023_deaths!$B:$B, Keys!$B$8, NP2023_deaths!$C:$C, 2037), 0))</f>
        <v>4011</v>
      </c>
      <c r="P34" s="37">
        <f>IF(Keys!$C$8="", 0, IFERROR(SUMIFS(NP2023_deaths!$E:$E, NP2023_deaths!$A:$A, Keys!$C$8, NP2023_deaths!$B:$B, Keys!$B$8, NP2023_deaths!$C:$C, 2038), 0))+IF(Keys!$D$8="", 0, IFERROR(SUMIFS(NP2023_deaths!$E:$E, NP2023_deaths!$A:$A, Keys!$D$8, NP2023_deaths!$B:$B, Keys!$B$8, NP2023_deaths!$C:$C, 2038), 0))+IF(Keys!$E$8="", 0, IFERROR(SUMIFS(NP2023_deaths!$E:$E, NP2023_deaths!$A:$A, Keys!$E$8, NP2023_deaths!$B:$B, Keys!$B$8, NP2023_deaths!$C:$C, 2038), 0))+IF(Keys!$F$8="", 0, IFERROR(SUMIFS(NP2023_deaths!$E:$E, NP2023_deaths!$A:$A, Keys!$F$8, NP2023_deaths!$B:$B, Keys!$B$8, NP2023_deaths!$C:$C, 2038), 0))+IF(Keys!$G$8="", 0, IFERROR(SUMIFS(NP2023_deaths!$E:$E, NP2023_deaths!$A:$A, Keys!$G$8, NP2023_deaths!$B:$B, Keys!$B$8, NP2023_deaths!$C:$C, 2038), 0))+IF(Keys!$H$8="", 0, IFERROR(SUMIFS(NP2023_deaths!$E:$E, NP2023_deaths!$A:$A, Keys!$H$8, NP2023_deaths!$B:$B, Keys!$B$8, NP2023_deaths!$C:$C, 2038), 0))</f>
        <v>4005</v>
      </c>
      <c r="Q34" s="37">
        <f>IF(Keys!$C$8="", 0, IFERROR(SUMIFS(NP2023_deaths!$E:$E, NP2023_deaths!$A:$A, Keys!$C$8, NP2023_deaths!$B:$B, Keys!$B$8, NP2023_deaths!$C:$C, 2039), 0))+IF(Keys!$D$8="", 0, IFERROR(SUMIFS(NP2023_deaths!$E:$E, NP2023_deaths!$A:$A, Keys!$D$8, NP2023_deaths!$B:$B, Keys!$B$8, NP2023_deaths!$C:$C, 2039), 0))+IF(Keys!$E$8="", 0, IFERROR(SUMIFS(NP2023_deaths!$E:$E, NP2023_deaths!$A:$A, Keys!$E$8, NP2023_deaths!$B:$B, Keys!$B$8, NP2023_deaths!$C:$C, 2039), 0))+IF(Keys!$F$8="", 0, IFERROR(SUMIFS(NP2023_deaths!$E:$E, NP2023_deaths!$A:$A, Keys!$F$8, NP2023_deaths!$B:$B, Keys!$B$8, NP2023_deaths!$C:$C, 2039), 0))+IF(Keys!$G$8="", 0, IFERROR(SUMIFS(NP2023_deaths!$E:$E, NP2023_deaths!$A:$A, Keys!$G$8, NP2023_deaths!$B:$B, Keys!$B$8, NP2023_deaths!$C:$C, 2039), 0))+IF(Keys!$H$8="", 0, IFERROR(SUMIFS(NP2023_deaths!$E:$E, NP2023_deaths!$A:$A, Keys!$H$8, NP2023_deaths!$B:$B, Keys!$B$8, NP2023_deaths!$C:$C, 2039), 0))</f>
        <v>3996</v>
      </c>
      <c r="R34" s="37">
        <f>IF(Keys!$C$8="", 0, IFERROR(SUMIFS(NP2023_deaths!$E:$E, NP2023_deaths!$A:$A, Keys!$C$8, NP2023_deaths!$B:$B, Keys!$B$8, NP2023_deaths!$C:$C, 2040), 0))+IF(Keys!$D$8="", 0, IFERROR(SUMIFS(NP2023_deaths!$E:$E, NP2023_deaths!$A:$A, Keys!$D$8, NP2023_deaths!$B:$B, Keys!$B$8, NP2023_deaths!$C:$C, 2040), 0))+IF(Keys!$E$8="", 0, IFERROR(SUMIFS(NP2023_deaths!$E:$E, NP2023_deaths!$A:$A, Keys!$E$8, NP2023_deaths!$B:$B, Keys!$B$8, NP2023_deaths!$C:$C, 2040), 0))+IF(Keys!$F$8="", 0, IFERROR(SUMIFS(NP2023_deaths!$E:$E, NP2023_deaths!$A:$A, Keys!$F$8, NP2023_deaths!$B:$B, Keys!$B$8, NP2023_deaths!$C:$C, 2040), 0))+IF(Keys!$G$8="", 0, IFERROR(SUMIFS(NP2023_deaths!$E:$E, NP2023_deaths!$A:$A, Keys!$G$8, NP2023_deaths!$B:$B, Keys!$B$8, NP2023_deaths!$C:$C, 2040), 0))+IF(Keys!$H$8="", 0, IFERROR(SUMIFS(NP2023_deaths!$E:$E, NP2023_deaths!$A:$A, Keys!$H$8, NP2023_deaths!$B:$B, Keys!$B$8, NP2023_deaths!$C:$C, 2040), 0))</f>
        <v>3981</v>
      </c>
      <c r="S34" s="37">
        <f>IF(Keys!$C$8="", 0, IFERROR(SUMIFS(NP2023_deaths!$E:$E, NP2023_deaths!$A:$A, Keys!$C$8, NP2023_deaths!$B:$B, Keys!$B$8, NP2023_deaths!$C:$C, 2041), 0))+IF(Keys!$D$8="", 0, IFERROR(SUMIFS(NP2023_deaths!$E:$E, NP2023_deaths!$A:$A, Keys!$D$8, NP2023_deaths!$B:$B, Keys!$B$8, NP2023_deaths!$C:$C, 2041), 0))+IF(Keys!$E$8="", 0, IFERROR(SUMIFS(NP2023_deaths!$E:$E, NP2023_deaths!$A:$A, Keys!$E$8, NP2023_deaths!$B:$B, Keys!$B$8, NP2023_deaths!$C:$C, 2041), 0))+IF(Keys!$F$8="", 0, IFERROR(SUMIFS(NP2023_deaths!$E:$E, NP2023_deaths!$A:$A, Keys!$F$8, NP2023_deaths!$B:$B, Keys!$B$8, NP2023_deaths!$C:$C, 2041), 0))+IF(Keys!$G$8="", 0, IFERROR(SUMIFS(NP2023_deaths!$E:$E, NP2023_deaths!$A:$A, Keys!$G$8, NP2023_deaths!$B:$B, Keys!$B$8, NP2023_deaths!$C:$C, 2041), 0))+IF(Keys!$H$8="", 0, IFERROR(SUMIFS(NP2023_deaths!$E:$E, NP2023_deaths!$A:$A, Keys!$H$8, NP2023_deaths!$B:$B, Keys!$B$8, NP2023_deaths!$C:$C, 2041), 0))</f>
        <v>3966</v>
      </c>
      <c r="T34" s="37">
        <f>IF(Keys!$C$8="", 0, IFERROR(SUMIFS(NP2023_deaths!$E:$E, NP2023_deaths!$A:$A, Keys!$C$8, NP2023_deaths!$B:$B, Keys!$B$8, NP2023_deaths!$C:$C, 2042), 0))+IF(Keys!$D$8="", 0, IFERROR(SUMIFS(NP2023_deaths!$E:$E, NP2023_deaths!$A:$A, Keys!$D$8, NP2023_deaths!$B:$B, Keys!$B$8, NP2023_deaths!$C:$C, 2042), 0))+IF(Keys!$E$8="", 0, IFERROR(SUMIFS(NP2023_deaths!$E:$E, NP2023_deaths!$A:$A, Keys!$E$8, NP2023_deaths!$B:$B, Keys!$B$8, NP2023_deaths!$C:$C, 2042), 0))+IF(Keys!$F$8="", 0, IFERROR(SUMIFS(NP2023_deaths!$E:$E, NP2023_deaths!$A:$A, Keys!$F$8, NP2023_deaths!$B:$B, Keys!$B$8, NP2023_deaths!$C:$C, 2042), 0))+IF(Keys!$G$8="", 0, IFERROR(SUMIFS(NP2023_deaths!$E:$E, NP2023_deaths!$A:$A, Keys!$G$8, NP2023_deaths!$B:$B, Keys!$B$8, NP2023_deaths!$C:$C, 2042), 0))+IF(Keys!$H$8="", 0, IFERROR(SUMIFS(NP2023_deaths!$E:$E, NP2023_deaths!$A:$A, Keys!$H$8, NP2023_deaths!$B:$B, Keys!$B$8, NP2023_deaths!$C:$C, 2042), 0))</f>
        <v>3947</v>
      </c>
      <c r="U34" s="37">
        <f>IF(Keys!$C$8="", 0, IFERROR(SUMIFS(NP2023_deaths!$E:$E, NP2023_deaths!$A:$A, Keys!$C$8, NP2023_deaths!$B:$B, Keys!$B$8, NP2023_deaths!$C:$C, 2043), 0))+IF(Keys!$D$8="", 0, IFERROR(SUMIFS(NP2023_deaths!$E:$E, NP2023_deaths!$A:$A, Keys!$D$8, NP2023_deaths!$B:$B, Keys!$B$8, NP2023_deaths!$C:$C, 2043), 0))+IF(Keys!$E$8="", 0, IFERROR(SUMIFS(NP2023_deaths!$E:$E, NP2023_deaths!$A:$A, Keys!$E$8, NP2023_deaths!$B:$B, Keys!$B$8, NP2023_deaths!$C:$C, 2043), 0))+IF(Keys!$F$8="", 0, IFERROR(SUMIFS(NP2023_deaths!$E:$E, NP2023_deaths!$A:$A, Keys!$F$8, NP2023_deaths!$B:$B, Keys!$B$8, NP2023_deaths!$C:$C, 2043), 0))+IF(Keys!$G$8="", 0, IFERROR(SUMIFS(NP2023_deaths!$E:$E, NP2023_deaths!$A:$A, Keys!$G$8, NP2023_deaths!$B:$B, Keys!$B$8, NP2023_deaths!$C:$C, 2043), 0))+IF(Keys!$H$8="", 0, IFERROR(SUMIFS(NP2023_deaths!$E:$E, NP2023_deaths!$A:$A, Keys!$H$8, NP2023_deaths!$B:$B, Keys!$B$8, NP2023_deaths!$C:$C, 2043), 0))</f>
        <v>3924</v>
      </c>
      <c r="V34" s="37">
        <f>IF(Keys!$C$8="", 0, IFERROR(SUMIFS(NP2023_deaths!$E:$E, NP2023_deaths!$A:$A, Keys!$C$8, NP2023_deaths!$B:$B, Keys!$B$8, NP2023_deaths!$C:$C, 2044), 0))+IF(Keys!$D$8="", 0, IFERROR(SUMIFS(NP2023_deaths!$E:$E, NP2023_deaths!$A:$A, Keys!$D$8, NP2023_deaths!$B:$B, Keys!$B$8, NP2023_deaths!$C:$C, 2044), 0))+IF(Keys!$E$8="", 0, IFERROR(SUMIFS(NP2023_deaths!$E:$E, NP2023_deaths!$A:$A, Keys!$E$8, NP2023_deaths!$B:$B, Keys!$B$8, NP2023_deaths!$C:$C, 2044), 0))+IF(Keys!$F$8="", 0, IFERROR(SUMIFS(NP2023_deaths!$E:$E, NP2023_deaths!$A:$A, Keys!$F$8, NP2023_deaths!$B:$B, Keys!$B$8, NP2023_deaths!$C:$C, 2044), 0))+IF(Keys!$G$8="", 0, IFERROR(SUMIFS(NP2023_deaths!$E:$E, NP2023_deaths!$A:$A, Keys!$G$8, NP2023_deaths!$B:$B, Keys!$B$8, NP2023_deaths!$C:$C, 2044), 0))+IF(Keys!$H$8="", 0, IFERROR(SUMIFS(NP2023_deaths!$E:$E, NP2023_deaths!$A:$A, Keys!$H$8, NP2023_deaths!$B:$B, Keys!$B$8, NP2023_deaths!$C:$C, 2044), 0))</f>
        <v>3901</v>
      </c>
      <c r="W34" s="37">
        <f>IF(Keys!$C$8="", 0, IFERROR(SUMIFS(NP2023_deaths!$E:$E, NP2023_deaths!$A:$A, Keys!$C$8, NP2023_deaths!$B:$B, Keys!$B$8, NP2023_deaths!$C:$C, 2045), 0))+IF(Keys!$D$8="", 0, IFERROR(SUMIFS(NP2023_deaths!$E:$E, NP2023_deaths!$A:$A, Keys!$D$8, NP2023_deaths!$B:$B, Keys!$B$8, NP2023_deaths!$C:$C, 2045), 0))+IF(Keys!$E$8="", 0, IFERROR(SUMIFS(NP2023_deaths!$E:$E, NP2023_deaths!$A:$A, Keys!$E$8, NP2023_deaths!$B:$B, Keys!$B$8, NP2023_deaths!$C:$C, 2045), 0))+IF(Keys!$F$8="", 0, IFERROR(SUMIFS(NP2023_deaths!$E:$E, NP2023_deaths!$A:$A, Keys!$F$8, NP2023_deaths!$B:$B, Keys!$B$8, NP2023_deaths!$C:$C, 2045), 0))+IF(Keys!$G$8="", 0, IFERROR(SUMIFS(NP2023_deaths!$E:$E, NP2023_deaths!$A:$A, Keys!$G$8, NP2023_deaths!$B:$B, Keys!$B$8, NP2023_deaths!$C:$C, 2045), 0))+IF(Keys!$H$8="", 0, IFERROR(SUMIFS(NP2023_deaths!$E:$E, NP2023_deaths!$A:$A, Keys!$H$8, NP2023_deaths!$B:$B, Keys!$B$8, NP2023_deaths!$C:$C, 2045), 0))</f>
        <v>3873</v>
      </c>
      <c r="X34" s="37">
        <f>IF(Keys!$C$8="", 0, IFERROR(SUMIFS(NP2023_deaths!$E:$E, NP2023_deaths!$A:$A, Keys!$C$8, NP2023_deaths!$B:$B, Keys!$B$8, NP2023_deaths!$C:$C, 2046), 0))+IF(Keys!$D$8="", 0, IFERROR(SUMIFS(NP2023_deaths!$E:$E, NP2023_deaths!$A:$A, Keys!$D$8, NP2023_deaths!$B:$B, Keys!$B$8, NP2023_deaths!$C:$C, 2046), 0))+IF(Keys!$E$8="", 0, IFERROR(SUMIFS(NP2023_deaths!$E:$E, NP2023_deaths!$A:$A, Keys!$E$8, NP2023_deaths!$B:$B, Keys!$B$8, NP2023_deaths!$C:$C, 2046), 0))+IF(Keys!$F$8="", 0, IFERROR(SUMIFS(NP2023_deaths!$E:$E, NP2023_deaths!$A:$A, Keys!$F$8, NP2023_deaths!$B:$B, Keys!$B$8, NP2023_deaths!$C:$C, 2046), 0))+IF(Keys!$G$8="", 0, IFERROR(SUMIFS(NP2023_deaths!$E:$E, NP2023_deaths!$A:$A, Keys!$G$8, NP2023_deaths!$B:$B, Keys!$B$8, NP2023_deaths!$C:$C, 2046), 0))+IF(Keys!$H$8="", 0, IFERROR(SUMIFS(NP2023_deaths!$E:$E, NP2023_deaths!$A:$A, Keys!$H$8, NP2023_deaths!$B:$B, Keys!$B$8, NP2023_deaths!$C:$C, 2046), 0))</f>
        <v>3850</v>
      </c>
      <c r="Y34" s="37">
        <f>IF(Keys!$C$8="", 0, IFERROR(SUMIFS(NP2023_deaths!$E:$E, NP2023_deaths!$A:$A, Keys!$C$8, NP2023_deaths!$B:$B, Keys!$B$8, NP2023_deaths!$C:$C, 2047), 0))+IF(Keys!$D$8="", 0, IFERROR(SUMIFS(NP2023_deaths!$E:$E, NP2023_deaths!$A:$A, Keys!$D$8, NP2023_deaths!$B:$B, Keys!$B$8, NP2023_deaths!$C:$C, 2047), 0))+IF(Keys!$E$8="", 0, IFERROR(SUMIFS(NP2023_deaths!$E:$E, NP2023_deaths!$A:$A, Keys!$E$8, NP2023_deaths!$B:$B, Keys!$B$8, NP2023_deaths!$C:$C, 2047), 0))+IF(Keys!$F$8="", 0, IFERROR(SUMIFS(NP2023_deaths!$E:$E, NP2023_deaths!$A:$A, Keys!$F$8, NP2023_deaths!$B:$B, Keys!$B$8, NP2023_deaths!$C:$C, 2047), 0))+IF(Keys!$G$8="", 0, IFERROR(SUMIFS(NP2023_deaths!$E:$E, NP2023_deaths!$A:$A, Keys!$G$8, NP2023_deaths!$B:$B, Keys!$B$8, NP2023_deaths!$C:$C, 2047), 0))+IF(Keys!$H$8="", 0, IFERROR(SUMIFS(NP2023_deaths!$E:$E, NP2023_deaths!$A:$A, Keys!$H$8, NP2023_deaths!$B:$B, Keys!$B$8, NP2023_deaths!$C:$C, 2047), 0))</f>
        <v>3826</v>
      </c>
      <c r="Z34" s="37">
        <f>IF(Keys!$C$8="", 0, IFERROR(SUMIFS(NP2023_deaths!$E:$E, NP2023_deaths!$A:$A, Keys!$C$8, NP2023_deaths!$B:$B, Keys!$B$8, NP2023_deaths!$C:$C, 2048), 0))+IF(Keys!$D$8="", 0, IFERROR(SUMIFS(NP2023_deaths!$E:$E, NP2023_deaths!$A:$A, Keys!$D$8, NP2023_deaths!$B:$B, Keys!$B$8, NP2023_deaths!$C:$C, 2048), 0))+IF(Keys!$E$8="", 0, IFERROR(SUMIFS(NP2023_deaths!$E:$E, NP2023_deaths!$A:$A, Keys!$E$8, NP2023_deaths!$B:$B, Keys!$B$8, NP2023_deaths!$C:$C, 2048), 0))+IF(Keys!$F$8="", 0, IFERROR(SUMIFS(NP2023_deaths!$E:$E, NP2023_deaths!$A:$A, Keys!$F$8, NP2023_deaths!$B:$B, Keys!$B$8, NP2023_deaths!$C:$C, 2048), 0))+IF(Keys!$G$8="", 0, IFERROR(SUMIFS(NP2023_deaths!$E:$E, NP2023_deaths!$A:$A, Keys!$G$8, NP2023_deaths!$B:$B, Keys!$B$8, NP2023_deaths!$C:$C, 2048), 0))+IF(Keys!$H$8="", 0, IFERROR(SUMIFS(NP2023_deaths!$E:$E, NP2023_deaths!$A:$A, Keys!$H$8, NP2023_deaths!$B:$B, Keys!$B$8, NP2023_deaths!$C:$C, 2048), 0))</f>
        <v>3802</v>
      </c>
      <c r="AA34" s="37">
        <f>IF(Keys!$C$8="", 0, IFERROR(SUMIFS(NP2023_deaths!$E:$E, NP2023_deaths!$A:$A, Keys!$C$8, NP2023_deaths!$B:$B, Keys!$B$8, NP2023_deaths!$C:$C, 2049), 0))+IF(Keys!$D$8="", 0, IFERROR(SUMIFS(NP2023_deaths!$E:$E, NP2023_deaths!$A:$A, Keys!$D$8, NP2023_deaths!$B:$B, Keys!$B$8, NP2023_deaths!$C:$C, 2049), 0))+IF(Keys!$E$8="", 0, IFERROR(SUMIFS(NP2023_deaths!$E:$E, NP2023_deaths!$A:$A, Keys!$E$8, NP2023_deaths!$B:$B, Keys!$B$8, NP2023_deaths!$C:$C, 2049), 0))+IF(Keys!$F$8="", 0, IFERROR(SUMIFS(NP2023_deaths!$E:$E, NP2023_deaths!$A:$A, Keys!$F$8, NP2023_deaths!$B:$B, Keys!$B$8, NP2023_deaths!$C:$C, 2049), 0))+IF(Keys!$G$8="", 0, IFERROR(SUMIFS(NP2023_deaths!$E:$E, NP2023_deaths!$A:$A, Keys!$G$8, NP2023_deaths!$B:$B, Keys!$B$8, NP2023_deaths!$C:$C, 2049), 0))+IF(Keys!$H$8="", 0, IFERROR(SUMIFS(NP2023_deaths!$E:$E, NP2023_deaths!$A:$A, Keys!$H$8, NP2023_deaths!$B:$B, Keys!$B$8, NP2023_deaths!$C:$C, 2049), 0))</f>
        <v>3779</v>
      </c>
      <c r="AB34" s="37">
        <f>IF(Keys!$C$8="", 0, IFERROR(SUMIFS(NP2023_deaths!$E:$E, NP2023_deaths!$A:$A, Keys!$C$8, NP2023_deaths!$B:$B, Keys!$B$8, NP2023_deaths!$C:$C, 2050), 0))+IF(Keys!$D$8="", 0, IFERROR(SUMIFS(NP2023_deaths!$E:$E, NP2023_deaths!$A:$A, Keys!$D$8, NP2023_deaths!$B:$B, Keys!$B$8, NP2023_deaths!$C:$C, 2050), 0))+IF(Keys!$E$8="", 0, IFERROR(SUMIFS(NP2023_deaths!$E:$E, NP2023_deaths!$A:$A, Keys!$E$8, NP2023_deaths!$B:$B, Keys!$B$8, NP2023_deaths!$C:$C, 2050), 0))+IF(Keys!$F$8="", 0, IFERROR(SUMIFS(NP2023_deaths!$E:$E, NP2023_deaths!$A:$A, Keys!$F$8, NP2023_deaths!$B:$B, Keys!$B$8, NP2023_deaths!$C:$C, 2050), 0))+IF(Keys!$G$8="", 0, IFERROR(SUMIFS(NP2023_deaths!$E:$E, NP2023_deaths!$A:$A, Keys!$G$8, NP2023_deaths!$B:$B, Keys!$B$8, NP2023_deaths!$C:$C, 2050), 0))+IF(Keys!$H$8="", 0, IFERROR(SUMIFS(NP2023_deaths!$E:$E, NP2023_deaths!$A:$A, Keys!$H$8, NP2023_deaths!$B:$B, Keys!$B$8, NP2023_deaths!$C:$C, 2050), 0))</f>
        <v>3758</v>
      </c>
    </row>
    <row r="35" spans="1:28" x14ac:dyDescent="0.25">
      <c r="A35" s="4" t="s">
        <v>222</v>
      </c>
      <c r="B35" s="37">
        <f>IF(Keys!$C$9="", 0, IFERROR(SUMIFS(NP2023_deaths!$E:$E, NP2023_deaths!$A:$A, Keys!$C$9, NP2023_deaths!$B:$B, Keys!$B$9, NP2023_deaths!$C:$C, 2024), 0))+IF(Keys!$D$9="", 0, IFERROR(SUMIFS(NP2023_deaths!$E:$E, NP2023_deaths!$A:$A, Keys!$D$9, NP2023_deaths!$B:$B, Keys!$B$9, NP2023_deaths!$C:$C, 2024), 0))+IF(Keys!$E$9="", 0, IFERROR(SUMIFS(NP2023_deaths!$E:$E, NP2023_deaths!$A:$A, Keys!$E$9, NP2023_deaths!$B:$B, Keys!$B$9, NP2023_deaths!$C:$C, 2024), 0))+IF(Keys!$F$9="", 0, IFERROR(SUMIFS(NP2023_deaths!$E:$E, NP2023_deaths!$A:$A, Keys!$F$9, NP2023_deaths!$B:$B, Keys!$B$9, NP2023_deaths!$C:$C, 2024), 0))+IF(Keys!$G$9="", 0, IFERROR(SUMIFS(NP2023_deaths!$E:$E, NP2023_deaths!$A:$A, Keys!$G$9, NP2023_deaths!$B:$B, Keys!$B$9, NP2023_deaths!$C:$C, 2024), 0))+IF(Keys!$H$9="", 0, IFERROR(SUMIFS(NP2023_deaths!$E:$E, NP2023_deaths!$A:$A, Keys!$H$9, NP2023_deaths!$B:$B, Keys!$B$9, NP2023_deaths!$C:$C, 2024), 0))</f>
        <v>13074</v>
      </c>
      <c r="C35" s="37">
        <f>IF(Keys!$C$9="", 0, IFERROR(SUMIFS(NP2023_deaths!$E:$E, NP2023_deaths!$A:$A, Keys!$C$9, NP2023_deaths!$B:$B, Keys!$B$9, NP2023_deaths!$C:$C, 2025), 0))+IF(Keys!$D$9="", 0, IFERROR(SUMIFS(NP2023_deaths!$E:$E, NP2023_deaths!$A:$A, Keys!$D$9, NP2023_deaths!$B:$B, Keys!$B$9, NP2023_deaths!$C:$C, 2025), 0))+IF(Keys!$E$9="", 0, IFERROR(SUMIFS(NP2023_deaths!$E:$E, NP2023_deaths!$A:$A, Keys!$E$9, NP2023_deaths!$B:$B, Keys!$B$9, NP2023_deaths!$C:$C, 2025), 0))+IF(Keys!$F$9="", 0, IFERROR(SUMIFS(NP2023_deaths!$E:$E, NP2023_deaths!$A:$A, Keys!$F$9, NP2023_deaths!$B:$B, Keys!$B$9, NP2023_deaths!$C:$C, 2025), 0))+IF(Keys!$G$9="", 0, IFERROR(SUMIFS(NP2023_deaths!$E:$E, NP2023_deaths!$A:$A, Keys!$G$9, NP2023_deaths!$B:$B, Keys!$B$9, NP2023_deaths!$C:$C, 2025), 0))+IF(Keys!$H$9="", 0, IFERROR(SUMIFS(NP2023_deaths!$E:$E, NP2023_deaths!$A:$A, Keys!$H$9, NP2023_deaths!$B:$B, Keys!$B$9, NP2023_deaths!$C:$C, 2025), 0))</f>
        <v>12946</v>
      </c>
      <c r="D35" s="37">
        <f>IF(Keys!$C$9="", 0, IFERROR(SUMIFS(NP2023_deaths!$E:$E, NP2023_deaths!$A:$A, Keys!$C$9, NP2023_deaths!$B:$B, Keys!$B$9, NP2023_deaths!$C:$C, 2026), 0))+IF(Keys!$D$9="", 0, IFERROR(SUMIFS(NP2023_deaths!$E:$E, NP2023_deaths!$A:$A, Keys!$D$9, NP2023_deaths!$B:$B, Keys!$B$9, NP2023_deaths!$C:$C, 2026), 0))+IF(Keys!$E$9="", 0, IFERROR(SUMIFS(NP2023_deaths!$E:$E, NP2023_deaths!$A:$A, Keys!$E$9, NP2023_deaths!$B:$B, Keys!$B$9, NP2023_deaths!$C:$C, 2026), 0))+IF(Keys!$F$9="", 0, IFERROR(SUMIFS(NP2023_deaths!$E:$E, NP2023_deaths!$A:$A, Keys!$F$9, NP2023_deaths!$B:$B, Keys!$B$9, NP2023_deaths!$C:$C, 2026), 0))+IF(Keys!$G$9="", 0, IFERROR(SUMIFS(NP2023_deaths!$E:$E, NP2023_deaths!$A:$A, Keys!$G$9, NP2023_deaths!$B:$B, Keys!$B$9, NP2023_deaths!$C:$C, 2026), 0))+IF(Keys!$H$9="", 0, IFERROR(SUMIFS(NP2023_deaths!$E:$E, NP2023_deaths!$A:$A, Keys!$H$9, NP2023_deaths!$B:$B, Keys!$B$9, NP2023_deaths!$C:$C, 2026), 0))</f>
        <v>12815</v>
      </c>
      <c r="E35" s="37">
        <f>IF(Keys!$C$9="", 0, IFERROR(SUMIFS(NP2023_deaths!$E:$E, NP2023_deaths!$A:$A, Keys!$C$9, NP2023_deaths!$B:$B, Keys!$B$9, NP2023_deaths!$C:$C, 2027), 0))+IF(Keys!$D$9="", 0, IFERROR(SUMIFS(NP2023_deaths!$E:$E, NP2023_deaths!$A:$A, Keys!$D$9, NP2023_deaths!$B:$B, Keys!$B$9, NP2023_deaths!$C:$C, 2027), 0))+IF(Keys!$E$9="", 0, IFERROR(SUMIFS(NP2023_deaths!$E:$E, NP2023_deaths!$A:$A, Keys!$E$9, NP2023_deaths!$B:$B, Keys!$B$9, NP2023_deaths!$C:$C, 2027), 0))+IF(Keys!$F$9="", 0, IFERROR(SUMIFS(NP2023_deaths!$E:$E, NP2023_deaths!$A:$A, Keys!$F$9, NP2023_deaths!$B:$B, Keys!$B$9, NP2023_deaths!$C:$C, 2027), 0))+IF(Keys!$G$9="", 0, IFERROR(SUMIFS(NP2023_deaths!$E:$E, NP2023_deaths!$A:$A, Keys!$G$9, NP2023_deaths!$B:$B, Keys!$B$9, NP2023_deaths!$C:$C, 2027), 0))+IF(Keys!$H$9="", 0, IFERROR(SUMIFS(NP2023_deaths!$E:$E, NP2023_deaths!$A:$A, Keys!$H$9, NP2023_deaths!$B:$B, Keys!$B$9, NP2023_deaths!$C:$C, 2027), 0))</f>
        <v>12682</v>
      </c>
      <c r="F35" s="37">
        <f>IF(Keys!$C$9="", 0, IFERROR(SUMIFS(NP2023_deaths!$E:$E, NP2023_deaths!$A:$A, Keys!$C$9, NP2023_deaths!$B:$B, Keys!$B$9, NP2023_deaths!$C:$C, 2028), 0))+IF(Keys!$D$9="", 0, IFERROR(SUMIFS(NP2023_deaths!$E:$E, NP2023_deaths!$A:$A, Keys!$D$9, NP2023_deaths!$B:$B, Keys!$B$9, NP2023_deaths!$C:$C, 2028), 0))+IF(Keys!$E$9="", 0, IFERROR(SUMIFS(NP2023_deaths!$E:$E, NP2023_deaths!$A:$A, Keys!$E$9, NP2023_deaths!$B:$B, Keys!$B$9, NP2023_deaths!$C:$C, 2028), 0))+IF(Keys!$F$9="", 0, IFERROR(SUMIFS(NP2023_deaths!$E:$E, NP2023_deaths!$A:$A, Keys!$F$9, NP2023_deaths!$B:$B, Keys!$B$9, NP2023_deaths!$C:$C, 2028), 0))+IF(Keys!$G$9="", 0, IFERROR(SUMIFS(NP2023_deaths!$E:$E, NP2023_deaths!$A:$A, Keys!$G$9, NP2023_deaths!$B:$B, Keys!$B$9, NP2023_deaths!$C:$C, 2028), 0))+IF(Keys!$H$9="", 0, IFERROR(SUMIFS(NP2023_deaths!$E:$E, NP2023_deaths!$A:$A, Keys!$H$9, NP2023_deaths!$B:$B, Keys!$B$9, NP2023_deaths!$C:$C, 2028), 0))</f>
        <v>12542</v>
      </c>
      <c r="G35" s="37">
        <f>IF(Keys!$C$9="", 0, IFERROR(SUMIFS(NP2023_deaths!$E:$E, NP2023_deaths!$A:$A, Keys!$C$9, NP2023_deaths!$B:$B, Keys!$B$9, NP2023_deaths!$C:$C, 2029), 0))+IF(Keys!$D$9="", 0, IFERROR(SUMIFS(NP2023_deaths!$E:$E, NP2023_deaths!$A:$A, Keys!$D$9, NP2023_deaths!$B:$B, Keys!$B$9, NP2023_deaths!$C:$C, 2029), 0))+IF(Keys!$E$9="", 0, IFERROR(SUMIFS(NP2023_deaths!$E:$E, NP2023_deaths!$A:$A, Keys!$E$9, NP2023_deaths!$B:$B, Keys!$B$9, NP2023_deaths!$C:$C, 2029), 0))+IF(Keys!$F$9="", 0, IFERROR(SUMIFS(NP2023_deaths!$E:$E, NP2023_deaths!$A:$A, Keys!$F$9, NP2023_deaths!$B:$B, Keys!$B$9, NP2023_deaths!$C:$C, 2029), 0))+IF(Keys!$G$9="", 0, IFERROR(SUMIFS(NP2023_deaths!$E:$E, NP2023_deaths!$A:$A, Keys!$G$9, NP2023_deaths!$B:$B, Keys!$B$9, NP2023_deaths!$C:$C, 2029), 0))+IF(Keys!$H$9="", 0, IFERROR(SUMIFS(NP2023_deaths!$E:$E, NP2023_deaths!$A:$A, Keys!$H$9, NP2023_deaths!$B:$B, Keys!$B$9, NP2023_deaths!$C:$C, 2029), 0))</f>
        <v>12404</v>
      </c>
      <c r="H35" s="37">
        <f>IF(Keys!$C$9="", 0, IFERROR(SUMIFS(NP2023_deaths!$E:$E, NP2023_deaths!$A:$A, Keys!$C$9, NP2023_deaths!$B:$B, Keys!$B$9, NP2023_deaths!$C:$C, 2030), 0))+IF(Keys!$D$9="", 0, IFERROR(SUMIFS(NP2023_deaths!$E:$E, NP2023_deaths!$A:$A, Keys!$D$9, NP2023_deaths!$B:$B, Keys!$B$9, NP2023_deaths!$C:$C, 2030), 0))+IF(Keys!$E$9="", 0, IFERROR(SUMIFS(NP2023_deaths!$E:$E, NP2023_deaths!$A:$A, Keys!$E$9, NP2023_deaths!$B:$B, Keys!$B$9, NP2023_deaths!$C:$C, 2030), 0))+IF(Keys!$F$9="", 0, IFERROR(SUMIFS(NP2023_deaths!$E:$E, NP2023_deaths!$A:$A, Keys!$F$9, NP2023_deaths!$B:$B, Keys!$B$9, NP2023_deaths!$C:$C, 2030), 0))+IF(Keys!$G$9="", 0, IFERROR(SUMIFS(NP2023_deaths!$E:$E, NP2023_deaths!$A:$A, Keys!$G$9, NP2023_deaths!$B:$B, Keys!$B$9, NP2023_deaths!$C:$C, 2030), 0))+IF(Keys!$H$9="", 0, IFERROR(SUMIFS(NP2023_deaths!$E:$E, NP2023_deaths!$A:$A, Keys!$H$9, NP2023_deaths!$B:$B, Keys!$B$9, NP2023_deaths!$C:$C, 2030), 0))</f>
        <v>12264</v>
      </c>
      <c r="I35" s="37">
        <f>IF(Keys!$C$9="", 0, IFERROR(SUMIFS(NP2023_deaths!$E:$E, NP2023_deaths!$A:$A, Keys!$C$9, NP2023_deaths!$B:$B, Keys!$B$9, NP2023_deaths!$C:$C, 2031), 0))+IF(Keys!$D$9="", 0, IFERROR(SUMIFS(NP2023_deaths!$E:$E, NP2023_deaths!$A:$A, Keys!$D$9, NP2023_deaths!$B:$B, Keys!$B$9, NP2023_deaths!$C:$C, 2031), 0))+IF(Keys!$E$9="", 0, IFERROR(SUMIFS(NP2023_deaths!$E:$E, NP2023_deaths!$A:$A, Keys!$E$9, NP2023_deaths!$B:$B, Keys!$B$9, NP2023_deaths!$C:$C, 2031), 0))+IF(Keys!$F$9="", 0, IFERROR(SUMIFS(NP2023_deaths!$E:$E, NP2023_deaths!$A:$A, Keys!$F$9, NP2023_deaths!$B:$B, Keys!$B$9, NP2023_deaths!$C:$C, 2031), 0))+IF(Keys!$G$9="", 0, IFERROR(SUMIFS(NP2023_deaths!$E:$E, NP2023_deaths!$A:$A, Keys!$G$9, NP2023_deaths!$B:$B, Keys!$B$9, NP2023_deaths!$C:$C, 2031), 0))+IF(Keys!$H$9="", 0, IFERROR(SUMIFS(NP2023_deaths!$E:$E, NP2023_deaths!$A:$A, Keys!$H$9, NP2023_deaths!$B:$B, Keys!$B$9, NP2023_deaths!$C:$C, 2031), 0))</f>
        <v>12123</v>
      </c>
      <c r="J35" s="37">
        <f>IF(Keys!$C$9="", 0, IFERROR(SUMIFS(NP2023_deaths!$E:$E, NP2023_deaths!$A:$A, Keys!$C$9, NP2023_deaths!$B:$B, Keys!$B$9, NP2023_deaths!$C:$C, 2032), 0))+IF(Keys!$D$9="", 0, IFERROR(SUMIFS(NP2023_deaths!$E:$E, NP2023_deaths!$A:$A, Keys!$D$9, NP2023_deaths!$B:$B, Keys!$B$9, NP2023_deaths!$C:$C, 2032), 0))+IF(Keys!$E$9="", 0, IFERROR(SUMIFS(NP2023_deaths!$E:$E, NP2023_deaths!$A:$A, Keys!$E$9, NP2023_deaths!$B:$B, Keys!$B$9, NP2023_deaths!$C:$C, 2032), 0))+IF(Keys!$F$9="", 0, IFERROR(SUMIFS(NP2023_deaths!$E:$E, NP2023_deaths!$A:$A, Keys!$F$9, NP2023_deaths!$B:$B, Keys!$B$9, NP2023_deaths!$C:$C, 2032), 0))+IF(Keys!$G$9="", 0, IFERROR(SUMIFS(NP2023_deaths!$E:$E, NP2023_deaths!$A:$A, Keys!$G$9, NP2023_deaths!$B:$B, Keys!$B$9, NP2023_deaths!$C:$C, 2032), 0))+IF(Keys!$H$9="", 0, IFERROR(SUMIFS(NP2023_deaths!$E:$E, NP2023_deaths!$A:$A, Keys!$H$9, NP2023_deaths!$B:$B, Keys!$B$9, NP2023_deaths!$C:$C, 2032), 0))</f>
        <v>11980</v>
      </c>
      <c r="K35" s="37">
        <f>IF(Keys!$C$9="", 0, IFERROR(SUMIFS(NP2023_deaths!$E:$E, NP2023_deaths!$A:$A, Keys!$C$9, NP2023_deaths!$B:$B, Keys!$B$9, NP2023_deaths!$C:$C, 2033), 0))+IF(Keys!$D$9="", 0, IFERROR(SUMIFS(NP2023_deaths!$E:$E, NP2023_deaths!$A:$A, Keys!$D$9, NP2023_deaths!$B:$B, Keys!$B$9, NP2023_deaths!$C:$C, 2033), 0))+IF(Keys!$E$9="", 0, IFERROR(SUMIFS(NP2023_deaths!$E:$E, NP2023_deaths!$A:$A, Keys!$E$9, NP2023_deaths!$B:$B, Keys!$B$9, NP2023_deaths!$C:$C, 2033), 0))+IF(Keys!$F$9="", 0, IFERROR(SUMIFS(NP2023_deaths!$E:$E, NP2023_deaths!$A:$A, Keys!$F$9, NP2023_deaths!$B:$B, Keys!$B$9, NP2023_deaths!$C:$C, 2033), 0))+IF(Keys!$G$9="", 0, IFERROR(SUMIFS(NP2023_deaths!$E:$E, NP2023_deaths!$A:$A, Keys!$G$9, NP2023_deaths!$B:$B, Keys!$B$9, NP2023_deaths!$C:$C, 2033), 0))+IF(Keys!$H$9="", 0, IFERROR(SUMIFS(NP2023_deaths!$E:$E, NP2023_deaths!$A:$A, Keys!$H$9, NP2023_deaths!$B:$B, Keys!$B$9, NP2023_deaths!$C:$C, 2033), 0))</f>
        <v>11834</v>
      </c>
      <c r="L35" s="37">
        <f>IF(Keys!$C$9="", 0, IFERROR(SUMIFS(NP2023_deaths!$E:$E, NP2023_deaths!$A:$A, Keys!$C$9, NP2023_deaths!$B:$B, Keys!$B$9, NP2023_deaths!$C:$C, 2034), 0))+IF(Keys!$D$9="", 0, IFERROR(SUMIFS(NP2023_deaths!$E:$E, NP2023_deaths!$A:$A, Keys!$D$9, NP2023_deaths!$B:$B, Keys!$B$9, NP2023_deaths!$C:$C, 2034), 0))+IF(Keys!$E$9="", 0, IFERROR(SUMIFS(NP2023_deaths!$E:$E, NP2023_deaths!$A:$A, Keys!$E$9, NP2023_deaths!$B:$B, Keys!$B$9, NP2023_deaths!$C:$C, 2034), 0))+IF(Keys!$F$9="", 0, IFERROR(SUMIFS(NP2023_deaths!$E:$E, NP2023_deaths!$A:$A, Keys!$F$9, NP2023_deaths!$B:$B, Keys!$B$9, NP2023_deaths!$C:$C, 2034), 0))+IF(Keys!$G$9="", 0, IFERROR(SUMIFS(NP2023_deaths!$E:$E, NP2023_deaths!$A:$A, Keys!$G$9, NP2023_deaths!$B:$B, Keys!$B$9, NP2023_deaths!$C:$C, 2034), 0))+IF(Keys!$H$9="", 0, IFERROR(SUMIFS(NP2023_deaths!$E:$E, NP2023_deaths!$A:$A, Keys!$H$9, NP2023_deaths!$B:$B, Keys!$B$9, NP2023_deaths!$C:$C, 2034), 0))</f>
        <v>11687</v>
      </c>
      <c r="M35" s="37">
        <f>IF(Keys!$C$9="", 0, IFERROR(SUMIFS(NP2023_deaths!$E:$E, NP2023_deaths!$A:$A, Keys!$C$9, NP2023_deaths!$B:$B, Keys!$B$9, NP2023_deaths!$C:$C, 2035), 0))+IF(Keys!$D$9="", 0, IFERROR(SUMIFS(NP2023_deaths!$E:$E, NP2023_deaths!$A:$A, Keys!$D$9, NP2023_deaths!$B:$B, Keys!$B$9, NP2023_deaths!$C:$C, 2035), 0))+IF(Keys!$E$9="", 0, IFERROR(SUMIFS(NP2023_deaths!$E:$E, NP2023_deaths!$A:$A, Keys!$E$9, NP2023_deaths!$B:$B, Keys!$B$9, NP2023_deaths!$C:$C, 2035), 0))+IF(Keys!$F$9="", 0, IFERROR(SUMIFS(NP2023_deaths!$E:$E, NP2023_deaths!$A:$A, Keys!$F$9, NP2023_deaths!$B:$B, Keys!$B$9, NP2023_deaths!$C:$C, 2035), 0))+IF(Keys!$G$9="", 0, IFERROR(SUMIFS(NP2023_deaths!$E:$E, NP2023_deaths!$A:$A, Keys!$G$9, NP2023_deaths!$B:$B, Keys!$B$9, NP2023_deaths!$C:$C, 2035), 0))+IF(Keys!$H$9="", 0, IFERROR(SUMIFS(NP2023_deaths!$E:$E, NP2023_deaths!$A:$A, Keys!$H$9, NP2023_deaths!$B:$B, Keys!$B$9, NP2023_deaths!$C:$C, 2035), 0))</f>
        <v>11538</v>
      </c>
      <c r="N35" s="37">
        <f>IF(Keys!$C$9="", 0, IFERROR(SUMIFS(NP2023_deaths!$E:$E, NP2023_deaths!$A:$A, Keys!$C$9, NP2023_deaths!$B:$B, Keys!$B$9, NP2023_deaths!$C:$C, 2036), 0))+IF(Keys!$D$9="", 0, IFERROR(SUMIFS(NP2023_deaths!$E:$E, NP2023_deaths!$A:$A, Keys!$D$9, NP2023_deaths!$B:$B, Keys!$B$9, NP2023_deaths!$C:$C, 2036), 0))+IF(Keys!$E$9="", 0, IFERROR(SUMIFS(NP2023_deaths!$E:$E, NP2023_deaths!$A:$A, Keys!$E$9, NP2023_deaths!$B:$B, Keys!$B$9, NP2023_deaths!$C:$C, 2036), 0))+IF(Keys!$F$9="", 0, IFERROR(SUMIFS(NP2023_deaths!$E:$E, NP2023_deaths!$A:$A, Keys!$F$9, NP2023_deaths!$B:$B, Keys!$B$9, NP2023_deaths!$C:$C, 2036), 0))+IF(Keys!$G$9="", 0, IFERROR(SUMIFS(NP2023_deaths!$E:$E, NP2023_deaths!$A:$A, Keys!$G$9, NP2023_deaths!$B:$B, Keys!$B$9, NP2023_deaths!$C:$C, 2036), 0))+IF(Keys!$H$9="", 0, IFERROR(SUMIFS(NP2023_deaths!$E:$E, NP2023_deaths!$A:$A, Keys!$H$9, NP2023_deaths!$B:$B, Keys!$B$9, NP2023_deaths!$C:$C, 2036), 0))</f>
        <v>11389</v>
      </c>
      <c r="O35" s="37">
        <f>IF(Keys!$C$9="", 0, IFERROR(SUMIFS(NP2023_deaths!$E:$E, NP2023_deaths!$A:$A, Keys!$C$9, NP2023_deaths!$B:$B, Keys!$B$9, NP2023_deaths!$C:$C, 2037), 0))+IF(Keys!$D$9="", 0, IFERROR(SUMIFS(NP2023_deaths!$E:$E, NP2023_deaths!$A:$A, Keys!$D$9, NP2023_deaths!$B:$B, Keys!$B$9, NP2023_deaths!$C:$C, 2037), 0))+IF(Keys!$E$9="", 0, IFERROR(SUMIFS(NP2023_deaths!$E:$E, NP2023_deaths!$A:$A, Keys!$E$9, NP2023_deaths!$B:$B, Keys!$B$9, NP2023_deaths!$C:$C, 2037), 0))+IF(Keys!$F$9="", 0, IFERROR(SUMIFS(NP2023_deaths!$E:$E, NP2023_deaths!$A:$A, Keys!$F$9, NP2023_deaths!$B:$B, Keys!$B$9, NP2023_deaths!$C:$C, 2037), 0))+IF(Keys!$G$9="", 0, IFERROR(SUMIFS(NP2023_deaths!$E:$E, NP2023_deaths!$A:$A, Keys!$G$9, NP2023_deaths!$B:$B, Keys!$B$9, NP2023_deaths!$C:$C, 2037), 0))+IF(Keys!$H$9="", 0, IFERROR(SUMIFS(NP2023_deaths!$E:$E, NP2023_deaths!$A:$A, Keys!$H$9, NP2023_deaths!$B:$B, Keys!$B$9, NP2023_deaths!$C:$C, 2037), 0))</f>
        <v>11236</v>
      </c>
      <c r="P35" s="37">
        <f>IF(Keys!$C$9="", 0, IFERROR(SUMIFS(NP2023_deaths!$E:$E, NP2023_deaths!$A:$A, Keys!$C$9, NP2023_deaths!$B:$B, Keys!$B$9, NP2023_deaths!$C:$C, 2038), 0))+IF(Keys!$D$9="", 0, IFERROR(SUMIFS(NP2023_deaths!$E:$E, NP2023_deaths!$A:$A, Keys!$D$9, NP2023_deaths!$B:$B, Keys!$B$9, NP2023_deaths!$C:$C, 2038), 0))+IF(Keys!$E$9="", 0, IFERROR(SUMIFS(NP2023_deaths!$E:$E, NP2023_deaths!$A:$A, Keys!$E$9, NP2023_deaths!$B:$B, Keys!$B$9, NP2023_deaths!$C:$C, 2038), 0))+IF(Keys!$F$9="", 0, IFERROR(SUMIFS(NP2023_deaths!$E:$E, NP2023_deaths!$A:$A, Keys!$F$9, NP2023_deaths!$B:$B, Keys!$B$9, NP2023_deaths!$C:$C, 2038), 0))+IF(Keys!$G$9="", 0, IFERROR(SUMIFS(NP2023_deaths!$E:$E, NP2023_deaths!$A:$A, Keys!$G$9, NP2023_deaths!$B:$B, Keys!$B$9, NP2023_deaths!$C:$C, 2038), 0))+IF(Keys!$H$9="", 0, IFERROR(SUMIFS(NP2023_deaths!$E:$E, NP2023_deaths!$A:$A, Keys!$H$9, NP2023_deaths!$B:$B, Keys!$B$9, NP2023_deaths!$C:$C, 2038), 0))</f>
        <v>11082</v>
      </c>
      <c r="Q35" s="37">
        <f>IF(Keys!$C$9="", 0, IFERROR(SUMIFS(NP2023_deaths!$E:$E, NP2023_deaths!$A:$A, Keys!$C$9, NP2023_deaths!$B:$B, Keys!$B$9, NP2023_deaths!$C:$C, 2039), 0))+IF(Keys!$D$9="", 0, IFERROR(SUMIFS(NP2023_deaths!$E:$E, NP2023_deaths!$A:$A, Keys!$D$9, NP2023_deaths!$B:$B, Keys!$B$9, NP2023_deaths!$C:$C, 2039), 0))+IF(Keys!$E$9="", 0, IFERROR(SUMIFS(NP2023_deaths!$E:$E, NP2023_deaths!$A:$A, Keys!$E$9, NP2023_deaths!$B:$B, Keys!$B$9, NP2023_deaths!$C:$C, 2039), 0))+IF(Keys!$F$9="", 0, IFERROR(SUMIFS(NP2023_deaths!$E:$E, NP2023_deaths!$A:$A, Keys!$F$9, NP2023_deaths!$B:$B, Keys!$B$9, NP2023_deaths!$C:$C, 2039), 0))+IF(Keys!$G$9="", 0, IFERROR(SUMIFS(NP2023_deaths!$E:$E, NP2023_deaths!$A:$A, Keys!$G$9, NP2023_deaths!$B:$B, Keys!$B$9, NP2023_deaths!$C:$C, 2039), 0))+IF(Keys!$H$9="", 0, IFERROR(SUMIFS(NP2023_deaths!$E:$E, NP2023_deaths!$A:$A, Keys!$H$9, NP2023_deaths!$B:$B, Keys!$B$9, NP2023_deaths!$C:$C, 2039), 0))</f>
        <v>10927</v>
      </c>
      <c r="R35" s="37">
        <f>IF(Keys!$C$9="", 0, IFERROR(SUMIFS(NP2023_deaths!$E:$E, NP2023_deaths!$A:$A, Keys!$C$9, NP2023_deaths!$B:$B, Keys!$B$9, NP2023_deaths!$C:$C, 2040), 0))+IF(Keys!$D$9="", 0, IFERROR(SUMIFS(NP2023_deaths!$E:$E, NP2023_deaths!$A:$A, Keys!$D$9, NP2023_deaths!$B:$B, Keys!$B$9, NP2023_deaths!$C:$C, 2040), 0))+IF(Keys!$E$9="", 0, IFERROR(SUMIFS(NP2023_deaths!$E:$E, NP2023_deaths!$A:$A, Keys!$E$9, NP2023_deaths!$B:$B, Keys!$B$9, NP2023_deaths!$C:$C, 2040), 0))+IF(Keys!$F$9="", 0, IFERROR(SUMIFS(NP2023_deaths!$E:$E, NP2023_deaths!$A:$A, Keys!$F$9, NP2023_deaths!$B:$B, Keys!$B$9, NP2023_deaths!$C:$C, 2040), 0))+IF(Keys!$G$9="", 0, IFERROR(SUMIFS(NP2023_deaths!$E:$E, NP2023_deaths!$A:$A, Keys!$G$9, NP2023_deaths!$B:$B, Keys!$B$9, NP2023_deaths!$C:$C, 2040), 0))+IF(Keys!$H$9="", 0, IFERROR(SUMIFS(NP2023_deaths!$E:$E, NP2023_deaths!$A:$A, Keys!$H$9, NP2023_deaths!$B:$B, Keys!$B$9, NP2023_deaths!$C:$C, 2040), 0))</f>
        <v>10772</v>
      </c>
      <c r="S35" s="37">
        <f>IF(Keys!$C$9="", 0, IFERROR(SUMIFS(NP2023_deaths!$E:$E, NP2023_deaths!$A:$A, Keys!$C$9, NP2023_deaths!$B:$B, Keys!$B$9, NP2023_deaths!$C:$C, 2041), 0))+IF(Keys!$D$9="", 0, IFERROR(SUMIFS(NP2023_deaths!$E:$E, NP2023_deaths!$A:$A, Keys!$D$9, NP2023_deaths!$B:$B, Keys!$B$9, NP2023_deaths!$C:$C, 2041), 0))+IF(Keys!$E$9="", 0, IFERROR(SUMIFS(NP2023_deaths!$E:$E, NP2023_deaths!$A:$A, Keys!$E$9, NP2023_deaths!$B:$B, Keys!$B$9, NP2023_deaths!$C:$C, 2041), 0))+IF(Keys!$F$9="", 0, IFERROR(SUMIFS(NP2023_deaths!$E:$E, NP2023_deaths!$A:$A, Keys!$F$9, NP2023_deaths!$B:$B, Keys!$B$9, NP2023_deaths!$C:$C, 2041), 0))+IF(Keys!$G$9="", 0, IFERROR(SUMIFS(NP2023_deaths!$E:$E, NP2023_deaths!$A:$A, Keys!$G$9, NP2023_deaths!$B:$B, Keys!$B$9, NP2023_deaths!$C:$C, 2041), 0))+IF(Keys!$H$9="", 0, IFERROR(SUMIFS(NP2023_deaths!$E:$E, NP2023_deaths!$A:$A, Keys!$H$9, NP2023_deaths!$B:$B, Keys!$B$9, NP2023_deaths!$C:$C, 2041), 0))</f>
        <v>10614</v>
      </c>
      <c r="T35" s="37">
        <f>IF(Keys!$C$9="", 0, IFERROR(SUMIFS(NP2023_deaths!$E:$E, NP2023_deaths!$A:$A, Keys!$C$9, NP2023_deaths!$B:$B, Keys!$B$9, NP2023_deaths!$C:$C, 2042), 0))+IF(Keys!$D$9="", 0, IFERROR(SUMIFS(NP2023_deaths!$E:$E, NP2023_deaths!$A:$A, Keys!$D$9, NP2023_deaths!$B:$B, Keys!$B$9, NP2023_deaths!$C:$C, 2042), 0))+IF(Keys!$E$9="", 0, IFERROR(SUMIFS(NP2023_deaths!$E:$E, NP2023_deaths!$A:$A, Keys!$E$9, NP2023_deaths!$B:$B, Keys!$B$9, NP2023_deaths!$C:$C, 2042), 0))+IF(Keys!$F$9="", 0, IFERROR(SUMIFS(NP2023_deaths!$E:$E, NP2023_deaths!$A:$A, Keys!$F$9, NP2023_deaths!$B:$B, Keys!$B$9, NP2023_deaths!$C:$C, 2042), 0))+IF(Keys!$G$9="", 0, IFERROR(SUMIFS(NP2023_deaths!$E:$E, NP2023_deaths!$A:$A, Keys!$G$9, NP2023_deaths!$B:$B, Keys!$B$9, NP2023_deaths!$C:$C, 2042), 0))+IF(Keys!$H$9="", 0, IFERROR(SUMIFS(NP2023_deaths!$E:$E, NP2023_deaths!$A:$A, Keys!$H$9, NP2023_deaths!$B:$B, Keys!$B$9, NP2023_deaths!$C:$C, 2042), 0))</f>
        <v>10458</v>
      </c>
      <c r="U35" s="37">
        <f>IF(Keys!$C$9="", 0, IFERROR(SUMIFS(NP2023_deaths!$E:$E, NP2023_deaths!$A:$A, Keys!$C$9, NP2023_deaths!$B:$B, Keys!$B$9, NP2023_deaths!$C:$C, 2043), 0))+IF(Keys!$D$9="", 0, IFERROR(SUMIFS(NP2023_deaths!$E:$E, NP2023_deaths!$A:$A, Keys!$D$9, NP2023_deaths!$B:$B, Keys!$B$9, NP2023_deaths!$C:$C, 2043), 0))+IF(Keys!$E$9="", 0, IFERROR(SUMIFS(NP2023_deaths!$E:$E, NP2023_deaths!$A:$A, Keys!$E$9, NP2023_deaths!$B:$B, Keys!$B$9, NP2023_deaths!$C:$C, 2043), 0))+IF(Keys!$F$9="", 0, IFERROR(SUMIFS(NP2023_deaths!$E:$E, NP2023_deaths!$A:$A, Keys!$F$9, NP2023_deaths!$B:$B, Keys!$B$9, NP2023_deaths!$C:$C, 2043), 0))+IF(Keys!$G$9="", 0, IFERROR(SUMIFS(NP2023_deaths!$E:$E, NP2023_deaths!$A:$A, Keys!$G$9, NP2023_deaths!$B:$B, Keys!$B$9, NP2023_deaths!$C:$C, 2043), 0))+IF(Keys!$H$9="", 0, IFERROR(SUMIFS(NP2023_deaths!$E:$E, NP2023_deaths!$A:$A, Keys!$H$9, NP2023_deaths!$B:$B, Keys!$B$9, NP2023_deaths!$C:$C, 2043), 0))</f>
        <v>10306</v>
      </c>
      <c r="V35" s="37">
        <f>IF(Keys!$C$9="", 0, IFERROR(SUMIFS(NP2023_deaths!$E:$E, NP2023_deaths!$A:$A, Keys!$C$9, NP2023_deaths!$B:$B, Keys!$B$9, NP2023_deaths!$C:$C, 2044), 0))+IF(Keys!$D$9="", 0, IFERROR(SUMIFS(NP2023_deaths!$E:$E, NP2023_deaths!$A:$A, Keys!$D$9, NP2023_deaths!$B:$B, Keys!$B$9, NP2023_deaths!$C:$C, 2044), 0))+IF(Keys!$E$9="", 0, IFERROR(SUMIFS(NP2023_deaths!$E:$E, NP2023_deaths!$A:$A, Keys!$E$9, NP2023_deaths!$B:$B, Keys!$B$9, NP2023_deaths!$C:$C, 2044), 0))+IF(Keys!$F$9="", 0, IFERROR(SUMIFS(NP2023_deaths!$E:$E, NP2023_deaths!$A:$A, Keys!$F$9, NP2023_deaths!$B:$B, Keys!$B$9, NP2023_deaths!$C:$C, 2044), 0))+IF(Keys!$G$9="", 0, IFERROR(SUMIFS(NP2023_deaths!$E:$E, NP2023_deaths!$A:$A, Keys!$G$9, NP2023_deaths!$B:$B, Keys!$B$9, NP2023_deaths!$C:$C, 2044), 0))+IF(Keys!$H$9="", 0, IFERROR(SUMIFS(NP2023_deaths!$E:$E, NP2023_deaths!$A:$A, Keys!$H$9, NP2023_deaths!$B:$B, Keys!$B$9, NP2023_deaths!$C:$C, 2044), 0))</f>
        <v>10156</v>
      </c>
      <c r="W35" s="37">
        <f>IF(Keys!$C$9="", 0, IFERROR(SUMIFS(NP2023_deaths!$E:$E, NP2023_deaths!$A:$A, Keys!$C$9, NP2023_deaths!$B:$B, Keys!$B$9, NP2023_deaths!$C:$C, 2045), 0))+IF(Keys!$D$9="", 0, IFERROR(SUMIFS(NP2023_deaths!$E:$E, NP2023_deaths!$A:$A, Keys!$D$9, NP2023_deaths!$B:$B, Keys!$B$9, NP2023_deaths!$C:$C, 2045), 0))+IF(Keys!$E$9="", 0, IFERROR(SUMIFS(NP2023_deaths!$E:$E, NP2023_deaths!$A:$A, Keys!$E$9, NP2023_deaths!$B:$B, Keys!$B$9, NP2023_deaths!$C:$C, 2045), 0))+IF(Keys!$F$9="", 0, IFERROR(SUMIFS(NP2023_deaths!$E:$E, NP2023_deaths!$A:$A, Keys!$F$9, NP2023_deaths!$B:$B, Keys!$B$9, NP2023_deaths!$C:$C, 2045), 0))+IF(Keys!$G$9="", 0, IFERROR(SUMIFS(NP2023_deaths!$E:$E, NP2023_deaths!$A:$A, Keys!$G$9, NP2023_deaths!$B:$B, Keys!$B$9, NP2023_deaths!$C:$C, 2045), 0))+IF(Keys!$H$9="", 0, IFERROR(SUMIFS(NP2023_deaths!$E:$E, NP2023_deaths!$A:$A, Keys!$H$9, NP2023_deaths!$B:$B, Keys!$B$9, NP2023_deaths!$C:$C, 2045), 0))</f>
        <v>10013</v>
      </c>
      <c r="X35" s="37">
        <f>IF(Keys!$C$9="", 0, IFERROR(SUMIFS(NP2023_deaths!$E:$E, NP2023_deaths!$A:$A, Keys!$C$9, NP2023_deaths!$B:$B, Keys!$B$9, NP2023_deaths!$C:$C, 2046), 0))+IF(Keys!$D$9="", 0, IFERROR(SUMIFS(NP2023_deaths!$E:$E, NP2023_deaths!$A:$A, Keys!$D$9, NP2023_deaths!$B:$B, Keys!$B$9, NP2023_deaths!$C:$C, 2046), 0))+IF(Keys!$E$9="", 0, IFERROR(SUMIFS(NP2023_deaths!$E:$E, NP2023_deaths!$A:$A, Keys!$E$9, NP2023_deaths!$B:$B, Keys!$B$9, NP2023_deaths!$C:$C, 2046), 0))+IF(Keys!$F$9="", 0, IFERROR(SUMIFS(NP2023_deaths!$E:$E, NP2023_deaths!$A:$A, Keys!$F$9, NP2023_deaths!$B:$B, Keys!$B$9, NP2023_deaths!$C:$C, 2046), 0))+IF(Keys!$G$9="", 0, IFERROR(SUMIFS(NP2023_deaths!$E:$E, NP2023_deaths!$A:$A, Keys!$G$9, NP2023_deaths!$B:$B, Keys!$B$9, NP2023_deaths!$C:$C, 2046), 0))+IF(Keys!$H$9="", 0, IFERROR(SUMIFS(NP2023_deaths!$E:$E, NP2023_deaths!$A:$A, Keys!$H$9, NP2023_deaths!$B:$B, Keys!$B$9, NP2023_deaths!$C:$C, 2046), 0))</f>
        <v>9872</v>
      </c>
      <c r="Y35" s="37">
        <f>IF(Keys!$C$9="", 0, IFERROR(SUMIFS(NP2023_deaths!$E:$E, NP2023_deaths!$A:$A, Keys!$C$9, NP2023_deaths!$B:$B, Keys!$B$9, NP2023_deaths!$C:$C, 2047), 0))+IF(Keys!$D$9="", 0, IFERROR(SUMIFS(NP2023_deaths!$E:$E, NP2023_deaths!$A:$A, Keys!$D$9, NP2023_deaths!$B:$B, Keys!$B$9, NP2023_deaths!$C:$C, 2047), 0))+IF(Keys!$E$9="", 0, IFERROR(SUMIFS(NP2023_deaths!$E:$E, NP2023_deaths!$A:$A, Keys!$E$9, NP2023_deaths!$B:$B, Keys!$B$9, NP2023_deaths!$C:$C, 2047), 0))+IF(Keys!$F$9="", 0, IFERROR(SUMIFS(NP2023_deaths!$E:$E, NP2023_deaths!$A:$A, Keys!$F$9, NP2023_deaths!$B:$B, Keys!$B$9, NP2023_deaths!$C:$C, 2047), 0))+IF(Keys!$G$9="", 0, IFERROR(SUMIFS(NP2023_deaths!$E:$E, NP2023_deaths!$A:$A, Keys!$G$9, NP2023_deaths!$B:$B, Keys!$B$9, NP2023_deaths!$C:$C, 2047), 0))+IF(Keys!$H$9="", 0, IFERROR(SUMIFS(NP2023_deaths!$E:$E, NP2023_deaths!$A:$A, Keys!$H$9, NP2023_deaths!$B:$B, Keys!$B$9, NP2023_deaths!$C:$C, 2047), 0))</f>
        <v>9736</v>
      </c>
      <c r="Z35" s="37">
        <f>IF(Keys!$C$9="", 0, IFERROR(SUMIFS(NP2023_deaths!$E:$E, NP2023_deaths!$A:$A, Keys!$C$9, NP2023_deaths!$B:$B, Keys!$B$9, NP2023_deaths!$C:$C, 2048), 0))+IF(Keys!$D$9="", 0, IFERROR(SUMIFS(NP2023_deaths!$E:$E, NP2023_deaths!$A:$A, Keys!$D$9, NP2023_deaths!$B:$B, Keys!$B$9, NP2023_deaths!$C:$C, 2048), 0))+IF(Keys!$E$9="", 0, IFERROR(SUMIFS(NP2023_deaths!$E:$E, NP2023_deaths!$A:$A, Keys!$E$9, NP2023_deaths!$B:$B, Keys!$B$9, NP2023_deaths!$C:$C, 2048), 0))+IF(Keys!$F$9="", 0, IFERROR(SUMIFS(NP2023_deaths!$E:$E, NP2023_deaths!$A:$A, Keys!$F$9, NP2023_deaths!$B:$B, Keys!$B$9, NP2023_deaths!$C:$C, 2048), 0))+IF(Keys!$G$9="", 0, IFERROR(SUMIFS(NP2023_deaths!$E:$E, NP2023_deaths!$A:$A, Keys!$G$9, NP2023_deaths!$B:$B, Keys!$B$9, NP2023_deaths!$C:$C, 2048), 0))+IF(Keys!$H$9="", 0, IFERROR(SUMIFS(NP2023_deaths!$E:$E, NP2023_deaths!$A:$A, Keys!$H$9, NP2023_deaths!$B:$B, Keys!$B$9, NP2023_deaths!$C:$C, 2048), 0))</f>
        <v>9604</v>
      </c>
      <c r="AA35" s="37">
        <f>IF(Keys!$C$9="", 0, IFERROR(SUMIFS(NP2023_deaths!$E:$E, NP2023_deaths!$A:$A, Keys!$C$9, NP2023_deaths!$B:$B, Keys!$B$9, NP2023_deaths!$C:$C, 2049), 0))+IF(Keys!$D$9="", 0, IFERROR(SUMIFS(NP2023_deaths!$E:$E, NP2023_deaths!$A:$A, Keys!$D$9, NP2023_deaths!$B:$B, Keys!$B$9, NP2023_deaths!$C:$C, 2049), 0))+IF(Keys!$E$9="", 0, IFERROR(SUMIFS(NP2023_deaths!$E:$E, NP2023_deaths!$A:$A, Keys!$E$9, NP2023_deaths!$B:$B, Keys!$B$9, NP2023_deaths!$C:$C, 2049), 0))+IF(Keys!$F$9="", 0, IFERROR(SUMIFS(NP2023_deaths!$E:$E, NP2023_deaths!$A:$A, Keys!$F$9, NP2023_deaths!$B:$B, Keys!$B$9, NP2023_deaths!$C:$C, 2049), 0))+IF(Keys!$G$9="", 0, IFERROR(SUMIFS(NP2023_deaths!$E:$E, NP2023_deaths!$A:$A, Keys!$G$9, NP2023_deaths!$B:$B, Keys!$B$9, NP2023_deaths!$C:$C, 2049), 0))+IF(Keys!$H$9="", 0, IFERROR(SUMIFS(NP2023_deaths!$E:$E, NP2023_deaths!$A:$A, Keys!$H$9, NP2023_deaths!$B:$B, Keys!$B$9, NP2023_deaths!$C:$C, 2049), 0))</f>
        <v>9475</v>
      </c>
      <c r="AB35" s="37">
        <f>IF(Keys!$C$9="", 0, IFERROR(SUMIFS(NP2023_deaths!$E:$E, NP2023_deaths!$A:$A, Keys!$C$9, NP2023_deaths!$B:$B, Keys!$B$9, NP2023_deaths!$C:$C, 2050), 0))+IF(Keys!$D$9="", 0, IFERROR(SUMIFS(NP2023_deaths!$E:$E, NP2023_deaths!$A:$A, Keys!$D$9, NP2023_deaths!$B:$B, Keys!$B$9, NP2023_deaths!$C:$C, 2050), 0))+IF(Keys!$E$9="", 0, IFERROR(SUMIFS(NP2023_deaths!$E:$E, NP2023_deaths!$A:$A, Keys!$E$9, NP2023_deaths!$B:$B, Keys!$B$9, NP2023_deaths!$C:$C, 2050), 0))+IF(Keys!$F$9="", 0, IFERROR(SUMIFS(NP2023_deaths!$E:$E, NP2023_deaths!$A:$A, Keys!$F$9, NP2023_deaths!$B:$B, Keys!$B$9, NP2023_deaths!$C:$C, 2050), 0))+IF(Keys!$G$9="", 0, IFERROR(SUMIFS(NP2023_deaths!$E:$E, NP2023_deaths!$A:$A, Keys!$G$9, NP2023_deaths!$B:$B, Keys!$B$9, NP2023_deaths!$C:$C, 2050), 0))+IF(Keys!$H$9="", 0, IFERROR(SUMIFS(NP2023_deaths!$E:$E, NP2023_deaths!$A:$A, Keys!$H$9, NP2023_deaths!$B:$B, Keys!$B$9, NP2023_deaths!$C:$C, 2050), 0))</f>
        <v>9350</v>
      </c>
    </row>
    <row r="37" spans="1:28" x14ac:dyDescent="0.25">
      <c r="A37" s="4" t="s">
        <v>325</v>
      </c>
    </row>
    <row r="38" spans="1:28" x14ac:dyDescent="0.25">
      <c r="A38" s="4" t="s">
        <v>215</v>
      </c>
      <c r="B38" s="37">
        <f t="shared" ref="B38:AB38" si="2">B18-B28</f>
        <v>1492338</v>
      </c>
      <c r="C38" s="37">
        <f t="shared" si="2"/>
        <v>1519521</v>
      </c>
      <c r="D38" s="37">
        <f t="shared" si="2"/>
        <v>1546479</v>
      </c>
      <c r="E38" s="37">
        <f t="shared" si="2"/>
        <v>1573327</v>
      </c>
      <c r="F38" s="37">
        <f t="shared" si="2"/>
        <v>1600176</v>
      </c>
      <c r="G38" s="37">
        <f t="shared" si="2"/>
        <v>1627057</v>
      </c>
      <c r="H38" s="37">
        <f t="shared" si="2"/>
        <v>1653833</v>
      </c>
      <c r="I38" s="37">
        <f t="shared" si="2"/>
        <v>1680378</v>
      </c>
      <c r="J38" s="37">
        <f t="shared" si="2"/>
        <v>1706422</v>
      </c>
      <c r="K38" s="37">
        <f t="shared" si="2"/>
        <v>1731979</v>
      </c>
      <c r="L38" s="37">
        <f t="shared" si="2"/>
        <v>1756886</v>
      </c>
      <c r="M38" s="37">
        <f t="shared" si="2"/>
        <v>1781098</v>
      </c>
      <c r="N38" s="37">
        <f t="shared" si="2"/>
        <v>1804419</v>
      </c>
      <c r="O38" s="37">
        <f t="shared" si="2"/>
        <v>1826767</v>
      </c>
      <c r="P38" s="37">
        <f t="shared" si="2"/>
        <v>1847896</v>
      </c>
      <c r="Q38" s="37">
        <f t="shared" si="2"/>
        <v>1867761</v>
      </c>
      <c r="R38" s="37">
        <f t="shared" si="2"/>
        <v>1886074</v>
      </c>
      <c r="S38" s="37">
        <f t="shared" si="2"/>
        <v>1902850</v>
      </c>
      <c r="T38" s="37">
        <f t="shared" si="2"/>
        <v>1917991</v>
      </c>
      <c r="U38" s="37">
        <f t="shared" si="2"/>
        <v>1931605</v>
      </c>
      <c r="V38" s="37">
        <f t="shared" si="2"/>
        <v>1943240</v>
      </c>
      <c r="W38" s="37">
        <f t="shared" si="2"/>
        <v>1953026</v>
      </c>
      <c r="X38" s="37">
        <f t="shared" si="2"/>
        <v>1960873</v>
      </c>
      <c r="Y38" s="37">
        <f t="shared" si="2"/>
        <v>1967599</v>
      </c>
      <c r="Z38" s="37">
        <f t="shared" si="2"/>
        <v>1972504</v>
      </c>
      <c r="AA38" s="37">
        <f t="shared" si="2"/>
        <v>1975728</v>
      </c>
      <c r="AB38" s="37">
        <f t="shared" si="2"/>
        <v>1977469</v>
      </c>
    </row>
    <row r="39" spans="1:28" x14ac:dyDescent="0.25">
      <c r="A39" s="4" t="s">
        <v>216</v>
      </c>
      <c r="B39" s="37">
        <f t="shared" ref="B39:AB39" si="3">B19-B29</f>
        <v>1402318</v>
      </c>
      <c r="C39" s="37">
        <f t="shared" si="3"/>
        <v>1424163</v>
      </c>
      <c r="D39" s="37">
        <f t="shared" si="3"/>
        <v>1445900</v>
      </c>
      <c r="E39" s="37">
        <f t="shared" si="3"/>
        <v>1468277</v>
      </c>
      <c r="F39" s="37">
        <f t="shared" si="3"/>
        <v>1491690</v>
      </c>
      <c r="G39" s="37">
        <f t="shared" si="3"/>
        <v>1516206</v>
      </c>
      <c r="H39" s="37">
        <f t="shared" si="3"/>
        <v>1541944</v>
      </c>
      <c r="I39" s="37">
        <f t="shared" si="3"/>
        <v>1568734</v>
      </c>
      <c r="J39" s="37">
        <f t="shared" si="3"/>
        <v>1596472</v>
      </c>
      <c r="K39" s="37">
        <f t="shared" si="3"/>
        <v>1624793</v>
      </c>
      <c r="L39" s="37">
        <f t="shared" si="3"/>
        <v>1653649</v>
      </c>
      <c r="M39" s="37">
        <f t="shared" si="3"/>
        <v>1682925</v>
      </c>
      <c r="N39" s="37">
        <f t="shared" si="3"/>
        <v>1712248</v>
      </c>
      <c r="O39" s="37">
        <f t="shared" si="3"/>
        <v>1741261</v>
      </c>
      <c r="P39" s="37">
        <f t="shared" si="3"/>
        <v>1769875</v>
      </c>
      <c r="Q39" s="37">
        <f t="shared" si="3"/>
        <v>1797593</v>
      </c>
      <c r="R39" s="37">
        <f t="shared" si="3"/>
        <v>1824271</v>
      </c>
      <c r="S39" s="37">
        <f t="shared" si="3"/>
        <v>1849573</v>
      </c>
      <c r="T39" s="37">
        <f t="shared" si="3"/>
        <v>1873366</v>
      </c>
      <c r="U39" s="37">
        <f t="shared" si="3"/>
        <v>1895480</v>
      </c>
      <c r="V39" s="37">
        <f t="shared" si="3"/>
        <v>1915496</v>
      </c>
      <c r="W39" s="37">
        <f t="shared" si="3"/>
        <v>1933042</v>
      </c>
      <c r="X39" s="37">
        <f t="shared" si="3"/>
        <v>1948236</v>
      </c>
      <c r="Y39" s="37">
        <f t="shared" si="3"/>
        <v>1961993</v>
      </c>
      <c r="Z39" s="37">
        <f t="shared" si="3"/>
        <v>1973486</v>
      </c>
      <c r="AA39" s="37">
        <f t="shared" si="3"/>
        <v>1982428</v>
      </c>
      <c r="AB39" s="37">
        <f t="shared" si="3"/>
        <v>1988870</v>
      </c>
    </row>
    <row r="40" spans="1:28" x14ac:dyDescent="0.25">
      <c r="A40" s="4" t="s">
        <v>217</v>
      </c>
      <c r="B40" s="37">
        <f t="shared" ref="B40:AB40" si="4">B20-B30</f>
        <v>2344206</v>
      </c>
      <c r="C40" s="37">
        <f t="shared" si="4"/>
        <v>2383429</v>
      </c>
      <c r="D40" s="37">
        <f t="shared" si="4"/>
        <v>2422186</v>
      </c>
      <c r="E40" s="37">
        <f t="shared" si="4"/>
        <v>2461142</v>
      </c>
      <c r="F40" s="37">
        <f t="shared" si="4"/>
        <v>2500767</v>
      </c>
      <c r="G40" s="37">
        <f t="shared" si="4"/>
        <v>2541050</v>
      </c>
      <c r="H40" s="37">
        <f t="shared" si="4"/>
        <v>2582048</v>
      </c>
      <c r="I40" s="37">
        <f t="shared" si="4"/>
        <v>2623469</v>
      </c>
      <c r="J40" s="37">
        <f t="shared" si="4"/>
        <v>2665046</v>
      </c>
      <c r="K40" s="37">
        <f t="shared" si="4"/>
        <v>2706379</v>
      </c>
      <c r="L40" s="37">
        <f t="shared" si="4"/>
        <v>2747301</v>
      </c>
      <c r="M40" s="37">
        <f t="shared" si="4"/>
        <v>2787683</v>
      </c>
      <c r="N40" s="37">
        <f t="shared" si="4"/>
        <v>2826999</v>
      </c>
      <c r="O40" s="37">
        <f t="shared" si="4"/>
        <v>2864947</v>
      </c>
      <c r="P40" s="37">
        <f t="shared" si="4"/>
        <v>2901140</v>
      </c>
      <c r="Q40" s="37">
        <f t="shared" si="4"/>
        <v>2935176</v>
      </c>
      <c r="R40" s="37">
        <f t="shared" si="4"/>
        <v>2966672</v>
      </c>
      <c r="S40" s="37">
        <f t="shared" si="4"/>
        <v>2995369</v>
      </c>
      <c r="T40" s="37">
        <f t="shared" si="4"/>
        <v>3021097</v>
      </c>
      <c r="U40" s="37">
        <f t="shared" si="4"/>
        <v>3043856</v>
      </c>
      <c r="V40" s="37">
        <f t="shared" si="4"/>
        <v>3062851</v>
      </c>
      <c r="W40" s="37">
        <f t="shared" si="4"/>
        <v>3077873</v>
      </c>
      <c r="X40" s="37">
        <f t="shared" si="4"/>
        <v>3089012</v>
      </c>
      <c r="Y40" s="37">
        <f t="shared" si="4"/>
        <v>3097857</v>
      </c>
      <c r="Z40" s="37">
        <f t="shared" si="4"/>
        <v>3103049</v>
      </c>
      <c r="AA40" s="37">
        <f t="shared" si="4"/>
        <v>3104424</v>
      </c>
      <c r="AB40" s="37">
        <f t="shared" si="4"/>
        <v>3102275</v>
      </c>
    </row>
    <row r="41" spans="1:28" x14ac:dyDescent="0.25">
      <c r="A41" s="4" t="s">
        <v>218</v>
      </c>
      <c r="B41" s="37">
        <f t="shared" ref="B41:AB41" si="5">B21-B31</f>
        <v>361664</v>
      </c>
      <c r="C41" s="37">
        <f t="shared" si="5"/>
        <v>367120</v>
      </c>
      <c r="D41" s="37">
        <f t="shared" si="5"/>
        <v>372564</v>
      </c>
      <c r="E41" s="37">
        <f t="shared" si="5"/>
        <v>378023</v>
      </c>
      <c r="F41" s="37">
        <f t="shared" si="5"/>
        <v>383616</v>
      </c>
      <c r="G41" s="37">
        <f t="shared" si="5"/>
        <v>389351</v>
      </c>
      <c r="H41" s="37">
        <f t="shared" si="5"/>
        <v>395214</v>
      </c>
      <c r="I41" s="37">
        <f t="shared" si="5"/>
        <v>401217</v>
      </c>
      <c r="J41" s="37">
        <f t="shared" si="5"/>
        <v>407329</v>
      </c>
      <c r="K41" s="37">
        <f t="shared" si="5"/>
        <v>413536</v>
      </c>
      <c r="L41" s="37">
        <f t="shared" si="5"/>
        <v>419836</v>
      </c>
      <c r="M41" s="37">
        <f t="shared" si="5"/>
        <v>426205</v>
      </c>
      <c r="N41" s="37">
        <f t="shared" si="5"/>
        <v>432661</v>
      </c>
      <c r="O41" s="37">
        <f t="shared" si="5"/>
        <v>439092</v>
      </c>
      <c r="P41" s="37">
        <f t="shared" si="5"/>
        <v>445544</v>
      </c>
      <c r="Q41" s="37">
        <f t="shared" si="5"/>
        <v>451925</v>
      </c>
      <c r="R41" s="37">
        <f t="shared" si="5"/>
        <v>458223</v>
      </c>
      <c r="S41" s="37">
        <f t="shared" si="5"/>
        <v>464439</v>
      </c>
      <c r="T41" s="37">
        <f t="shared" si="5"/>
        <v>470483</v>
      </c>
      <c r="U41" s="37">
        <f t="shared" si="5"/>
        <v>476363</v>
      </c>
      <c r="V41" s="37">
        <f t="shared" si="5"/>
        <v>482026</v>
      </c>
      <c r="W41" s="37">
        <f t="shared" si="5"/>
        <v>487386</v>
      </c>
      <c r="X41" s="37">
        <f t="shared" si="5"/>
        <v>492414</v>
      </c>
      <c r="Y41" s="37">
        <f t="shared" si="5"/>
        <v>497236</v>
      </c>
      <c r="Z41" s="37">
        <f t="shared" si="5"/>
        <v>501719</v>
      </c>
      <c r="AA41" s="37">
        <f t="shared" si="5"/>
        <v>505863</v>
      </c>
      <c r="AB41" s="37">
        <f t="shared" si="5"/>
        <v>509620</v>
      </c>
    </row>
    <row r="42" spans="1:28" x14ac:dyDescent="0.25">
      <c r="A42" s="4" t="s">
        <v>219</v>
      </c>
      <c r="B42" s="37">
        <f t="shared" ref="B42:AB42" si="6">B22-B32</f>
        <v>121853</v>
      </c>
      <c r="C42" s="37">
        <f t="shared" si="6"/>
        <v>124722</v>
      </c>
      <c r="D42" s="37">
        <f t="shared" si="6"/>
        <v>127678</v>
      </c>
      <c r="E42" s="37">
        <f t="shared" si="6"/>
        <v>130821</v>
      </c>
      <c r="F42" s="37">
        <f t="shared" si="6"/>
        <v>134188</v>
      </c>
      <c r="G42" s="37">
        <f t="shared" si="6"/>
        <v>137776</v>
      </c>
      <c r="H42" s="37">
        <f t="shared" si="6"/>
        <v>141593</v>
      </c>
      <c r="I42" s="37">
        <f t="shared" si="6"/>
        <v>145639</v>
      </c>
      <c r="J42" s="37">
        <f t="shared" si="6"/>
        <v>149836</v>
      </c>
      <c r="K42" s="37">
        <f t="shared" si="6"/>
        <v>154158</v>
      </c>
      <c r="L42" s="37">
        <f t="shared" si="6"/>
        <v>158643</v>
      </c>
      <c r="M42" s="37">
        <f t="shared" si="6"/>
        <v>163259</v>
      </c>
      <c r="N42" s="37">
        <f t="shared" si="6"/>
        <v>167984</v>
      </c>
      <c r="O42" s="37">
        <f t="shared" si="6"/>
        <v>172787</v>
      </c>
      <c r="P42" s="37">
        <f t="shared" si="6"/>
        <v>177651</v>
      </c>
      <c r="Q42" s="37">
        <f t="shared" si="6"/>
        <v>182541</v>
      </c>
      <c r="R42" s="37">
        <f t="shared" si="6"/>
        <v>187439</v>
      </c>
      <c r="S42" s="37">
        <f t="shared" si="6"/>
        <v>192312</v>
      </c>
      <c r="T42" s="37">
        <f t="shared" si="6"/>
        <v>197162</v>
      </c>
      <c r="U42" s="37">
        <f t="shared" si="6"/>
        <v>201946</v>
      </c>
      <c r="V42" s="37">
        <f t="shared" si="6"/>
        <v>206671</v>
      </c>
      <c r="W42" s="37">
        <f t="shared" si="6"/>
        <v>211324</v>
      </c>
      <c r="X42" s="37">
        <f t="shared" si="6"/>
        <v>215924</v>
      </c>
      <c r="Y42" s="37">
        <f t="shared" si="6"/>
        <v>220457</v>
      </c>
      <c r="Z42" s="37">
        <f t="shared" si="6"/>
        <v>224931</v>
      </c>
      <c r="AA42" s="37">
        <f t="shared" si="6"/>
        <v>229345</v>
      </c>
      <c r="AB42" s="37">
        <f t="shared" si="6"/>
        <v>233684</v>
      </c>
    </row>
    <row r="43" spans="1:28" x14ac:dyDescent="0.25">
      <c r="A43" s="4" t="s">
        <v>220</v>
      </c>
      <c r="B43" s="37">
        <f t="shared" ref="B43:AB43" si="7">B23-B33</f>
        <v>66933</v>
      </c>
      <c r="C43" s="37">
        <f t="shared" si="7"/>
        <v>68413</v>
      </c>
      <c r="D43" s="37">
        <f t="shared" si="7"/>
        <v>69951</v>
      </c>
      <c r="E43" s="37">
        <f t="shared" si="7"/>
        <v>71618</v>
      </c>
      <c r="F43" s="37">
        <f t="shared" si="7"/>
        <v>73295</v>
      </c>
      <c r="G43" s="37">
        <f t="shared" si="7"/>
        <v>75086</v>
      </c>
      <c r="H43" s="37">
        <f t="shared" si="7"/>
        <v>76922</v>
      </c>
      <c r="I43" s="37">
        <f t="shared" si="7"/>
        <v>78787</v>
      </c>
      <c r="J43" s="37">
        <f t="shared" si="7"/>
        <v>80683</v>
      </c>
      <c r="K43" s="37">
        <f t="shared" si="7"/>
        <v>82699</v>
      </c>
      <c r="L43" s="37">
        <f t="shared" si="7"/>
        <v>84755</v>
      </c>
      <c r="M43" s="37">
        <f t="shared" si="7"/>
        <v>86876</v>
      </c>
      <c r="N43" s="37">
        <f t="shared" si="7"/>
        <v>89023</v>
      </c>
      <c r="O43" s="37">
        <f t="shared" si="7"/>
        <v>91202</v>
      </c>
      <c r="P43" s="37">
        <f t="shared" si="7"/>
        <v>93436</v>
      </c>
      <c r="Q43" s="37">
        <f t="shared" si="7"/>
        <v>95712</v>
      </c>
      <c r="R43" s="37">
        <f t="shared" si="7"/>
        <v>98011</v>
      </c>
      <c r="S43" s="37">
        <f t="shared" si="7"/>
        <v>100303</v>
      </c>
      <c r="T43" s="37">
        <f t="shared" si="7"/>
        <v>102615</v>
      </c>
      <c r="U43" s="37">
        <f t="shared" si="7"/>
        <v>104920</v>
      </c>
      <c r="V43" s="37">
        <f t="shared" si="7"/>
        <v>107188</v>
      </c>
      <c r="W43" s="37">
        <f t="shared" si="7"/>
        <v>109485</v>
      </c>
      <c r="X43" s="37">
        <f t="shared" si="7"/>
        <v>111759</v>
      </c>
      <c r="Y43" s="37">
        <f t="shared" si="7"/>
        <v>114042</v>
      </c>
      <c r="Z43" s="37">
        <f t="shared" si="7"/>
        <v>116291</v>
      </c>
      <c r="AA43" s="37">
        <f t="shared" si="7"/>
        <v>118524</v>
      </c>
      <c r="AB43" s="37">
        <f t="shared" si="7"/>
        <v>120760</v>
      </c>
    </row>
    <row r="44" spans="1:28" x14ac:dyDescent="0.25">
      <c r="A44" s="4" t="s">
        <v>221</v>
      </c>
      <c r="B44" s="37">
        <f t="shared" ref="B44:AB44" si="8">B24-B34</f>
        <v>250090</v>
      </c>
      <c r="C44" s="37">
        <f t="shared" si="8"/>
        <v>258909</v>
      </c>
      <c r="D44" s="37">
        <f t="shared" si="8"/>
        <v>267897</v>
      </c>
      <c r="E44" s="37">
        <f t="shared" si="8"/>
        <v>277094</v>
      </c>
      <c r="F44" s="37">
        <f t="shared" si="8"/>
        <v>286499</v>
      </c>
      <c r="G44" s="37">
        <f t="shared" si="8"/>
        <v>296144</v>
      </c>
      <c r="H44" s="37">
        <f t="shared" si="8"/>
        <v>306121</v>
      </c>
      <c r="I44" s="37">
        <f t="shared" si="8"/>
        <v>316428</v>
      </c>
      <c r="J44" s="37">
        <f t="shared" si="8"/>
        <v>326976</v>
      </c>
      <c r="K44" s="37">
        <f t="shared" si="8"/>
        <v>337848</v>
      </c>
      <c r="L44" s="37">
        <f t="shared" si="8"/>
        <v>349098</v>
      </c>
      <c r="M44" s="37">
        <f t="shared" si="8"/>
        <v>360637</v>
      </c>
      <c r="N44" s="37">
        <f t="shared" si="8"/>
        <v>372555</v>
      </c>
      <c r="O44" s="37">
        <f t="shared" si="8"/>
        <v>384786</v>
      </c>
      <c r="P44" s="37">
        <f t="shared" si="8"/>
        <v>397309</v>
      </c>
      <c r="Q44" s="37">
        <f t="shared" si="8"/>
        <v>410138</v>
      </c>
      <c r="R44" s="37">
        <f t="shared" si="8"/>
        <v>423187</v>
      </c>
      <c r="S44" s="37">
        <f t="shared" si="8"/>
        <v>436452</v>
      </c>
      <c r="T44" s="37">
        <f t="shared" si="8"/>
        <v>449922</v>
      </c>
      <c r="U44" s="37">
        <f t="shared" si="8"/>
        <v>463566</v>
      </c>
      <c r="V44" s="37">
        <f t="shared" si="8"/>
        <v>477323</v>
      </c>
      <c r="W44" s="37">
        <f t="shared" si="8"/>
        <v>491129</v>
      </c>
      <c r="X44" s="37">
        <f t="shared" si="8"/>
        <v>505046</v>
      </c>
      <c r="Y44" s="37">
        <f t="shared" si="8"/>
        <v>518973</v>
      </c>
      <c r="Z44" s="37">
        <f t="shared" si="8"/>
        <v>532906</v>
      </c>
      <c r="AA44" s="37">
        <f t="shared" si="8"/>
        <v>546729</v>
      </c>
      <c r="AB44" s="37">
        <f t="shared" si="8"/>
        <v>560431</v>
      </c>
    </row>
    <row r="45" spans="1:28" x14ac:dyDescent="0.25">
      <c r="A45" s="4" t="s">
        <v>222</v>
      </c>
      <c r="B45" s="37">
        <f t="shared" ref="B45:AB45" si="9">B25-B35</f>
        <v>2644566</v>
      </c>
      <c r="C45" s="37">
        <f t="shared" si="9"/>
        <v>2684775</v>
      </c>
      <c r="D45" s="37">
        <f t="shared" si="9"/>
        <v>2724482</v>
      </c>
      <c r="E45" s="37">
        <f t="shared" si="9"/>
        <v>2764510</v>
      </c>
      <c r="F45" s="37">
        <f t="shared" si="9"/>
        <v>2805367</v>
      </c>
      <c r="G45" s="37">
        <f t="shared" si="9"/>
        <v>2847119</v>
      </c>
      <c r="H45" s="37">
        <f t="shared" si="9"/>
        <v>2889656</v>
      </c>
      <c r="I45" s="37">
        <f t="shared" si="9"/>
        <v>2932684</v>
      </c>
      <c r="J45" s="37">
        <f t="shared" si="9"/>
        <v>2975918</v>
      </c>
      <c r="K45" s="37">
        <f t="shared" si="9"/>
        <v>3018924</v>
      </c>
      <c r="L45" s="37">
        <f t="shared" si="9"/>
        <v>3061437</v>
      </c>
      <c r="M45" s="37">
        <f t="shared" si="9"/>
        <v>3103386</v>
      </c>
      <c r="N45" s="37">
        <f t="shared" si="9"/>
        <v>3144112</v>
      </c>
      <c r="O45" s="37">
        <f t="shared" si="9"/>
        <v>3183242</v>
      </c>
      <c r="P45" s="37">
        <f t="shared" si="9"/>
        <v>3220462</v>
      </c>
      <c r="Q45" s="37">
        <f t="shared" si="9"/>
        <v>3255216</v>
      </c>
      <c r="R45" s="37">
        <f t="shared" si="9"/>
        <v>3287158</v>
      </c>
      <c r="S45" s="37">
        <f t="shared" si="9"/>
        <v>3315971</v>
      </c>
      <c r="T45" s="37">
        <f t="shared" si="9"/>
        <v>3341435</v>
      </c>
      <c r="U45" s="37">
        <f t="shared" si="9"/>
        <v>3363519</v>
      </c>
      <c r="V45" s="37">
        <f t="shared" si="9"/>
        <v>3381413</v>
      </c>
      <c r="W45" s="37">
        <f t="shared" si="9"/>
        <v>3394939</v>
      </c>
      <c r="X45" s="37">
        <f t="shared" si="9"/>
        <v>3404063</v>
      </c>
      <c r="Y45" s="37">
        <f t="shared" si="9"/>
        <v>3410619</v>
      </c>
      <c r="Z45" s="37">
        <f t="shared" si="9"/>
        <v>3413084</v>
      </c>
      <c r="AA45" s="37">
        <f t="shared" si="9"/>
        <v>3411427</v>
      </c>
      <c r="AB45" s="37">
        <f t="shared" si="9"/>
        <v>3405908</v>
      </c>
    </row>
    <row r="47" spans="1:28" x14ac:dyDescent="0.25">
      <c r="A47" s="4" t="s">
        <v>326</v>
      </c>
    </row>
    <row r="48" spans="1:28" x14ac:dyDescent="0.25">
      <c r="A48" s="4" t="s">
        <v>215</v>
      </c>
      <c r="B48" s="37">
        <f t="shared" ref="B48:AB48" si="10">B28*B15*$F$4</f>
        <v>225.19693464959391</v>
      </c>
      <c r="C48" s="37">
        <f t="shared" si="10"/>
        <v>224.53397012159402</v>
      </c>
      <c r="D48" s="37">
        <f t="shared" si="10"/>
        <v>224.65608846591459</v>
      </c>
      <c r="E48" s="37">
        <f t="shared" si="10"/>
        <v>224.75920147473352</v>
      </c>
      <c r="F48" s="37">
        <f t="shared" si="10"/>
        <v>224.79681908651122</v>
      </c>
      <c r="G48" s="37">
        <f t="shared" si="10"/>
        <v>224.76932215001094</v>
      </c>
      <c r="H48" s="37">
        <f t="shared" si="10"/>
        <v>224.67825570922065</v>
      </c>
      <c r="I48" s="37">
        <f t="shared" si="10"/>
        <v>224.24198487688997</v>
      </c>
      <c r="J48" s="37">
        <f t="shared" si="10"/>
        <v>223.6318392292761</v>
      </c>
      <c r="K48" s="37">
        <f t="shared" si="10"/>
        <v>223.04153883283914</v>
      </c>
      <c r="L48" s="37">
        <f t="shared" si="10"/>
        <v>222.29247510247734</v>
      </c>
      <c r="M48" s="37">
        <f t="shared" si="10"/>
        <v>221.56352108594152</v>
      </c>
      <c r="N48" s="37">
        <f t="shared" si="10"/>
        <v>220.8817288466457</v>
      </c>
      <c r="O48" s="37">
        <f t="shared" si="10"/>
        <v>219.88114351596525</v>
      </c>
      <c r="P48" s="37">
        <f t="shared" si="10"/>
        <v>218.95181411265523</v>
      </c>
      <c r="Q48" s="37">
        <f t="shared" si="10"/>
        <v>217.85543426007703</v>
      </c>
      <c r="R48" s="37">
        <f t="shared" si="10"/>
        <v>216.72195016114213</v>
      </c>
      <c r="S48" s="37">
        <f t="shared" si="10"/>
        <v>215.42090410522721</v>
      </c>
      <c r="T48" s="37">
        <f t="shared" si="10"/>
        <v>214.10788883354593</v>
      </c>
      <c r="U48" s="37">
        <f t="shared" si="10"/>
        <v>212.78080160352118</v>
      </c>
      <c r="V48" s="37">
        <f t="shared" si="10"/>
        <v>211.43683935204623</v>
      </c>
      <c r="W48" s="37">
        <f t="shared" si="10"/>
        <v>210.10063079505485</v>
      </c>
      <c r="X48" s="37">
        <f t="shared" si="10"/>
        <v>208.96523237569812</v>
      </c>
      <c r="Y48" s="37">
        <f t="shared" si="10"/>
        <v>207.80817561949823</v>
      </c>
      <c r="Z48" s="37">
        <f t="shared" si="10"/>
        <v>206.76830096688442</v>
      </c>
      <c r="AA48" s="37">
        <f t="shared" si="10"/>
        <v>205.73154083943726</v>
      </c>
      <c r="AB48" s="37">
        <f t="shared" si="10"/>
        <v>204.66695567206432</v>
      </c>
    </row>
    <row r="49" spans="1:28" x14ac:dyDescent="0.25">
      <c r="A49" s="4" t="s">
        <v>216</v>
      </c>
      <c r="B49" s="37">
        <f t="shared" ref="B49:AB49" si="11">B29*B15*$F$5</f>
        <v>174.09035530462214</v>
      </c>
      <c r="C49" s="37">
        <f t="shared" si="11"/>
        <v>173.94173828307109</v>
      </c>
      <c r="D49" s="37">
        <f t="shared" si="11"/>
        <v>174.42482782040605</v>
      </c>
      <c r="E49" s="37">
        <f t="shared" si="11"/>
        <v>174.87594111792598</v>
      </c>
      <c r="F49" s="37">
        <f t="shared" si="11"/>
        <v>175.27283098418027</v>
      </c>
      <c r="G49" s="37">
        <f t="shared" si="11"/>
        <v>175.66380978142996</v>
      </c>
      <c r="H49" s="37">
        <f t="shared" si="11"/>
        <v>176.02683905103729</v>
      </c>
      <c r="I49" s="37">
        <f t="shared" si="11"/>
        <v>175.94434966854388</v>
      </c>
      <c r="J49" s="37">
        <f t="shared" si="11"/>
        <v>175.9420553967831</v>
      </c>
      <c r="K49" s="37">
        <f t="shared" si="11"/>
        <v>175.79296828485482</v>
      </c>
      <c r="L49" s="37">
        <f t="shared" si="11"/>
        <v>175.69446195915955</v>
      </c>
      <c r="M49" s="37">
        <f t="shared" si="11"/>
        <v>175.44740612913051</v>
      </c>
      <c r="N49" s="37">
        <f t="shared" si="11"/>
        <v>175.0745259733408</v>
      </c>
      <c r="O49" s="37">
        <f t="shared" si="11"/>
        <v>174.82816271106847</v>
      </c>
      <c r="P49" s="37">
        <f t="shared" si="11"/>
        <v>174.32678211969343</v>
      </c>
      <c r="Q49" s="37">
        <f t="shared" si="11"/>
        <v>173.87450456234029</v>
      </c>
      <c r="R49" s="37">
        <f t="shared" si="11"/>
        <v>173.29005994899444</v>
      </c>
      <c r="S49" s="37">
        <f t="shared" si="11"/>
        <v>172.64087045296691</v>
      </c>
      <c r="T49" s="37">
        <f t="shared" si="11"/>
        <v>171.93481403113367</v>
      </c>
      <c r="U49" s="37">
        <f t="shared" si="11"/>
        <v>171.22230326692281</v>
      </c>
      <c r="V49" s="37">
        <f t="shared" si="11"/>
        <v>170.55463382845238</v>
      </c>
      <c r="W49" s="37">
        <f t="shared" si="11"/>
        <v>169.90362700950368</v>
      </c>
      <c r="X49" s="37">
        <f t="shared" si="11"/>
        <v>169.21321668055822</v>
      </c>
      <c r="Y49" s="37">
        <f t="shared" si="11"/>
        <v>168.61769237783153</v>
      </c>
      <c r="Z49" s="37">
        <f t="shared" si="11"/>
        <v>167.97967271032479</v>
      </c>
      <c r="AA49" s="37">
        <f t="shared" si="11"/>
        <v>167.40699027565623</v>
      </c>
      <c r="AB49" s="37">
        <f t="shared" si="11"/>
        <v>166.98280550525172</v>
      </c>
    </row>
    <row r="50" spans="1:28" x14ac:dyDescent="0.25">
      <c r="A50" s="4" t="s">
        <v>217</v>
      </c>
      <c r="B50" s="37">
        <f t="shared" ref="B50:AB50" si="12">B30*B15*$F$6</f>
        <v>232.9289369626766</v>
      </c>
      <c r="C50" s="37">
        <f t="shared" si="12"/>
        <v>232.46568979807742</v>
      </c>
      <c r="D50" s="37">
        <f t="shared" si="12"/>
        <v>232.86718909089041</v>
      </c>
      <c r="E50" s="37">
        <f t="shared" si="12"/>
        <v>233.20530574687513</v>
      </c>
      <c r="F50" s="37">
        <f t="shared" si="12"/>
        <v>233.50611733603077</v>
      </c>
      <c r="G50" s="37">
        <f t="shared" si="12"/>
        <v>233.7952637850716</v>
      </c>
      <c r="H50" s="37">
        <f t="shared" si="12"/>
        <v>233.97673871410771</v>
      </c>
      <c r="I50" s="37">
        <f t="shared" si="12"/>
        <v>233.74893839505341</v>
      </c>
      <c r="J50" s="37">
        <f t="shared" si="12"/>
        <v>233.40274904992543</v>
      </c>
      <c r="K50" s="37">
        <f t="shared" si="12"/>
        <v>232.95353701098745</v>
      </c>
      <c r="L50" s="37">
        <f t="shared" si="12"/>
        <v>232.37493011368284</v>
      </c>
      <c r="M50" s="37">
        <f t="shared" si="12"/>
        <v>231.66519252128293</v>
      </c>
      <c r="N50" s="37">
        <f t="shared" si="12"/>
        <v>230.82225835595679</v>
      </c>
      <c r="O50" s="37">
        <f t="shared" si="12"/>
        <v>229.76619962438707</v>
      </c>
      <c r="P50" s="37">
        <f t="shared" si="12"/>
        <v>228.59720368629823</v>
      </c>
      <c r="Q50" s="37">
        <f t="shared" si="12"/>
        <v>227.28633432581734</v>
      </c>
      <c r="R50" s="37">
        <f t="shared" si="12"/>
        <v>225.83000916566772</v>
      </c>
      <c r="S50" s="37">
        <f t="shared" si="12"/>
        <v>224.19965467184454</v>
      </c>
      <c r="T50" s="37">
        <f t="shared" si="12"/>
        <v>222.55303918056899</v>
      </c>
      <c r="U50" s="37">
        <f t="shared" si="12"/>
        <v>220.88787626687659</v>
      </c>
      <c r="V50" s="37">
        <f t="shared" si="12"/>
        <v>219.22836918235004</v>
      </c>
      <c r="W50" s="37">
        <f t="shared" si="12"/>
        <v>217.62657262333559</v>
      </c>
      <c r="X50" s="37">
        <f t="shared" si="12"/>
        <v>216.10847920991881</v>
      </c>
      <c r="Y50" s="37">
        <f t="shared" si="12"/>
        <v>214.61866451432772</v>
      </c>
      <c r="Z50" s="37">
        <f t="shared" si="12"/>
        <v>213.18324329652887</v>
      </c>
      <c r="AA50" s="37">
        <f t="shared" si="12"/>
        <v>211.85734993590475</v>
      </c>
      <c r="AB50" s="37">
        <f t="shared" si="12"/>
        <v>210.58428310704542</v>
      </c>
    </row>
    <row r="51" spans="1:28" x14ac:dyDescent="0.25">
      <c r="A51" s="4" t="s">
        <v>218</v>
      </c>
      <c r="B51" s="37">
        <f t="shared" ref="B51:AB51" si="13">B31*B15*$F$7</f>
        <v>38.569465398917075</v>
      </c>
      <c r="C51" s="37">
        <f t="shared" si="13"/>
        <v>38.226416301166722</v>
      </c>
      <c r="D51" s="37">
        <f t="shared" si="13"/>
        <v>38.026514398519289</v>
      </c>
      <c r="E51" s="37">
        <f t="shared" si="13"/>
        <v>37.802874441127003</v>
      </c>
      <c r="F51" s="37">
        <f t="shared" si="13"/>
        <v>37.555516017200091</v>
      </c>
      <c r="G51" s="37">
        <f t="shared" si="13"/>
        <v>37.301363997814569</v>
      </c>
      <c r="H51" s="37">
        <f t="shared" si="13"/>
        <v>37.014929045925577</v>
      </c>
      <c r="I51" s="37">
        <f t="shared" si="13"/>
        <v>36.663826419080436</v>
      </c>
      <c r="J51" s="37">
        <f t="shared" si="13"/>
        <v>36.309684873858508</v>
      </c>
      <c r="K51" s="37">
        <f t="shared" si="13"/>
        <v>35.951245688904471</v>
      </c>
      <c r="L51" s="37">
        <f t="shared" si="13"/>
        <v>35.606302853470218</v>
      </c>
      <c r="M51" s="37">
        <f t="shared" si="13"/>
        <v>35.284170721205797</v>
      </c>
      <c r="N51" s="37">
        <f t="shared" si="13"/>
        <v>34.958445985683682</v>
      </c>
      <c r="O51" s="37">
        <f t="shared" si="13"/>
        <v>34.65625834545191</v>
      </c>
      <c r="P51" s="37">
        <f t="shared" si="13"/>
        <v>34.350798924971613</v>
      </c>
      <c r="Q51" s="37">
        <f t="shared" si="13"/>
        <v>34.060287838611934</v>
      </c>
      <c r="R51" s="37">
        <f t="shared" si="13"/>
        <v>33.775713854385288</v>
      </c>
      <c r="S51" s="37">
        <f t="shared" si="13"/>
        <v>33.476135890251363</v>
      </c>
      <c r="T51" s="37">
        <f t="shared" si="13"/>
        <v>33.182720006437798</v>
      </c>
      <c r="U51" s="37">
        <f t="shared" si="13"/>
        <v>32.885872263470866</v>
      </c>
      <c r="V51" s="37">
        <f t="shared" si="13"/>
        <v>32.604117630031929</v>
      </c>
      <c r="W51" s="37">
        <f t="shared" si="13"/>
        <v>32.308664195931605</v>
      </c>
      <c r="X51" s="37">
        <f t="shared" si="13"/>
        <v>32.027688727935093</v>
      </c>
      <c r="Y51" s="37">
        <f t="shared" si="13"/>
        <v>31.770961248352027</v>
      </c>
      <c r="Z51" s="37">
        <f t="shared" si="13"/>
        <v>31.509336901447348</v>
      </c>
      <c r="AA51" s="37">
        <f t="shared" si="13"/>
        <v>31.262032800037233</v>
      </c>
      <c r="AB51" s="37">
        <f t="shared" si="13"/>
        <v>31.009215851143349</v>
      </c>
    </row>
    <row r="52" spans="1:28" x14ac:dyDescent="0.25">
      <c r="A52" s="4" t="s">
        <v>219</v>
      </c>
      <c r="B52" s="37">
        <f t="shared" ref="B52:AB52" si="14">B32*B15*$F$8</f>
        <v>35.973331897171676</v>
      </c>
      <c r="C52" s="37">
        <f t="shared" si="14"/>
        <v>36.266006379351701</v>
      </c>
      <c r="D52" s="37">
        <f t="shared" si="14"/>
        <v>36.694593188064317</v>
      </c>
      <c r="E52" s="37">
        <f t="shared" si="14"/>
        <v>37.169565535568779</v>
      </c>
      <c r="F52" s="37">
        <f t="shared" si="14"/>
        <v>37.64947795005088</v>
      </c>
      <c r="G52" s="37">
        <f t="shared" si="14"/>
        <v>38.134682896624597</v>
      </c>
      <c r="H52" s="37">
        <f t="shared" si="14"/>
        <v>38.625753043054232</v>
      </c>
      <c r="I52" s="37">
        <f t="shared" si="14"/>
        <v>39.051980910781701</v>
      </c>
      <c r="J52" s="37">
        <f t="shared" si="14"/>
        <v>39.485437130439706</v>
      </c>
      <c r="K52" s="37">
        <f t="shared" si="14"/>
        <v>40.014257630981639</v>
      </c>
      <c r="L52" s="37">
        <f t="shared" si="14"/>
        <v>40.460929116667444</v>
      </c>
      <c r="M52" s="37">
        <f t="shared" si="14"/>
        <v>40.914393473730996</v>
      </c>
      <c r="N52" s="37">
        <f t="shared" si="14"/>
        <v>41.374930912308919</v>
      </c>
      <c r="O52" s="37">
        <f t="shared" si="14"/>
        <v>41.84283105489763</v>
      </c>
      <c r="P52" s="37">
        <f t="shared" si="14"/>
        <v>42.272189539188766</v>
      </c>
      <c r="Q52" s="37">
        <f t="shared" si="14"/>
        <v>42.755141993509582</v>
      </c>
      <c r="R52" s="37">
        <f t="shared" si="14"/>
        <v>43.152365613772602</v>
      </c>
      <c r="S52" s="37">
        <f t="shared" si="14"/>
        <v>43.588172952808662</v>
      </c>
      <c r="T52" s="37">
        <f t="shared" si="14"/>
        <v>44.078630692704252</v>
      </c>
      <c r="U52" s="37">
        <f t="shared" si="14"/>
        <v>44.481219116113529</v>
      </c>
      <c r="V52" s="37">
        <f t="shared" si="14"/>
        <v>44.937938762839316</v>
      </c>
      <c r="W52" s="37">
        <f t="shared" si="14"/>
        <v>45.400905309426548</v>
      </c>
      <c r="X52" s="37">
        <f t="shared" si="14"/>
        <v>45.820841184443545</v>
      </c>
      <c r="Y52" s="37">
        <f t="shared" si="14"/>
        <v>46.343866650499699</v>
      </c>
      <c r="Z52" s="37">
        <f t="shared" si="14"/>
        <v>46.773602504150602</v>
      </c>
      <c r="AA52" s="37">
        <f t="shared" si="14"/>
        <v>47.207109781067558</v>
      </c>
      <c r="AB52" s="37">
        <f t="shared" si="14"/>
        <v>47.643841408851863</v>
      </c>
    </row>
    <row r="53" spans="1:28" x14ac:dyDescent="0.25">
      <c r="A53" s="4" t="s">
        <v>220</v>
      </c>
      <c r="B53" s="37">
        <f t="shared" ref="B53:AB53" si="15">B33*B15*$F$9</f>
        <v>63.51628109945883</v>
      </c>
      <c r="C53" s="37">
        <f t="shared" si="15"/>
        <v>64.357173070423158</v>
      </c>
      <c r="D53" s="37">
        <f t="shared" si="15"/>
        <v>65.316273047353874</v>
      </c>
      <c r="E53" s="37">
        <f t="shared" si="15"/>
        <v>66.370725180324627</v>
      </c>
      <c r="F53" s="37">
        <f t="shared" si="15"/>
        <v>67.394341102824967</v>
      </c>
      <c r="G53" s="37">
        <f t="shared" si="15"/>
        <v>68.343271544778332</v>
      </c>
      <c r="H53" s="37">
        <f t="shared" si="15"/>
        <v>69.479265111972367</v>
      </c>
      <c r="I53" s="37">
        <f t="shared" si="15"/>
        <v>70.325999504481118</v>
      </c>
      <c r="J53" s="37">
        <f t="shared" si="15"/>
        <v>71.231167131247076</v>
      </c>
      <c r="K53" s="37">
        <f t="shared" si="15"/>
        <v>72.015028316382953</v>
      </c>
      <c r="L53" s="37">
        <f t="shared" si="15"/>
        <v>72.855417673564844</v>
      </c>
      <c r="M53" s="37">
        <f t="shared" si="15"/>
        <v>73.572697743542335</v>
      </c>
      <c r="N53" s="37">
        <f t="shared" si="15"/>
        <v>74.392530233782423</v>
      </c>
      <c r="O53" s="37">
        <f t="shared" si="15"/>
        <v>75.133693719340982</v>
      </c>
      <c r="P53" s="37">
        <f t="shared" si="15"/>
        <v>75.794709882130462</v>
      </c>
      <c r="Q53" s="37">
        <f t="shared" si="15"/>
        <v>76.373885217296973</v>
      </c>
      <c r="R53" s="37">
        <f t="shared" si="15"/>
        <v>76.963111603530081</v>
      </c>
      <c r="S53" s="37">
        <f t="shared" si="15"/>
        <v>77.488251783038862</v>
      </c>
      <c r="T53" s="37">
        <f t="shared" si="15"/>
        <v>77.83269267783038</v>
      </c>
      <c r="U53" s="37">
        <f t="shared" si="15"/>
        <v>78.279145701851874</v>
      </c>
      <c r="V53" s="37">
        <f t="shared" si="15"/>
        <v>78.636142975747163</v>
      </c>
      <c r="W53" s="37">
        <f t="shared" si="15"/>
        <v>78.997818753812268</v>
      </c>
      <c r="X53" s="37">
        <f t="shared" si="15"/>
        <v>79.460955694324312</v>
      </c>
      <c r="Y53" s="37">
        <f t="shared" si="15"/>
        <v>79.780979744032535</v>
      </c>
      <c r="Z53" s="37">
        <f t="shared" si="15"/>
        <v>80.251219036533726</v>
      </c>
      <c r="AA53" s="37">
        <f t="shared" si="15"/>
        <v>80.574337000261849</v>
      </c>
      <c r="AB53" s="37">
        <f t="shared" si="15"/>
        <v>81.047826518098901</v>
      </c>
    </row>
    <row r="54" spans="1:28" x14ac:dyDescent="0.25">
      <c r="A54" s="4" t="s">
        <v>221</v>
      </c>
      <c r="B54" s="37">
        <f t="shared" ref="B54:AB54" si="16">B34*B15*$F$10</f>
        <v>69.611025919413692</v>
      </c>
      <c r="C54" s="37">
        <f t="shared" si="16"/>
        <v>70.225015554799484</v>
      </c>
      <c r="D54" s="37">
        <f t="shared" si="16"/>
        <v>71.13951511619031</v>
      </c>
      <c r="E54" s="37">
        <f t="shared" si="16"/>
        <v>72.081114177429001</v>
      </c>
      <c r="F54" s="37">
        <f t="shared" si="16"/>
        <v>73.088626873336466</v>
      </c>
      <c r="G54" s="37">
        <f t="shared" si="16"/>
        <v>74.032400909948251</v>
      </c>
      <c r="H54" s="37">
        <f t="shared" si="16"/>
        <v>74.968617080891576</v>
      </c>
      <c r="I54" s="37">
        <f t="shared" si="16"/>
        <v>75.759633157644018</v>
      </c>
      <c r="J54" s="37">
        <f t="shared" si="16"/>
        <v>76.525757626739434</v>
      </c>
      <c r="K54" s="37">
        <f t="shared" si="16"/>
        <v>77.264116916055968</v>
      </c>
      <c r="L54" s="37">
        <f t="shared" si="16"/>
        <v>77.95506873019788</v>
      </c>
      <c r="M54" s="37">
        <f t="shared" si="16"/>
        <v>78.597994577389045</v>
      </c>
      <c r="N54" s="37">
        <f t="shared" si="16"/>
        <v>79.192175634353589</v>
      </c>
      <c r="O54" s="37">
        <f t="shared" si="16"/>
        <v>79.73686552006123</v>
      </c>
      <c r="P54" s="37">
        <f t="shared" si="16"/>
        <v>80.171129831945635</v>
      </c>
      <c r="Q54" s="37">
        <f t="shared" si="16"/>
        <v>80.553092756583695</v>
      </c>
      <c r="R54" s="37">
        <f t="shared" si="16"/>
        <v>80.820601690978336</v>
      </c>
      <c r="S54" s="37">
        <f t="shared" si="16"/>
        <v>81.065460979131274</v>
      </c>
      <c r="T54" s="37">
        <f t="shared" si="16"/>
        <v>81.233603926671123</v>
      </c>
      <c r="U54" s="37">
        <f t="shared" si="16"/>
        <v>81.322779430924101</v>
      </c>
      <c r="V54" s="37">
        <f t="shared" si="16"/>
        <v>81.413876911490419</v>
      </c>
      <c r="W54" s="37">
        <f t="shared" si="16"/>
        <v>81.400792498129775</v>
      </c>
      <c r="X54" s="37">
        <f t="shared" si="16"/>
        <v>81.491893523909667</v>
      </c>
      <c r="Y54" s="37">
        <f t="shared" si="16"/>
        <v>81.560851818360163</v>
      </c>
      <c r="Z54" s="37">
        <f t="shared" si="16"/>
        <v>81.627658458432194</v>
      </c>
      <c r="AA54" s="37">
        <f t="shared" si="16"/>
        <v>81.71288399870177</v>
      </c>
      <c r="AB54" s="37">
        <f t="shared" si="16"/>
        <v>81.837724962494335</v>
      </c>
    </row>
    <row r="55" spans="1:28" x14ac:dyDescent="0.25">
      <c r="A55" s="4" t="s">
        <v>222</v>
      </c>
      <c r="B55" s="37">
        <f t="shared" ref="B55:AB55" si="17">B35*B15*$F$11</f>
        <v>325.2783792941255</v>
      </c>
      <c r="C55" s="37">
        <f t="shared" si="17"/>
        <v>323.58680016341344</v>
      </c>
      <c r="D55" s="37">
        <f t="shared" si="17"/>
        <v>322.97640336885922</v>
      </c>
      <c r="E55" s="37">
        <f t="shared" si="17"/>
        <v>322.27475154574626</v>
      </c>
      <c r="F55" s="37">
        <f t="shared" si="17"/>
        <v>321.35636456972941</v>
      </c>
      <c r="G55" s="37">
        <f t="shared" si="17"/>
        <v>320.45143856787433</v>
      </c>
      <c r="H55" s="37">
        <f t="shared" si="17"/>
        <v>319.46081947779521</v>
      </c>
      <c r="I55" s="37">
        <f t="shared" si="17"/>
        <v>317.83283177115135</v>
      </c>
      <c r="J55" s="37">
        <f t="shared" si="17"/>
        <v>316.14423591068947</v>
      </c>
      <c r="K55" s="37">
        <f t="shared" si="17"/>
        <v>314.35696671663334</v>
      </c>
      <c r="L55" s="37">
        <f t="shared" si="17"/>
        <v>312.52395241054404</v>
      </c>
      <c r="M55" s="37">
        <f t="shared" si="17"/>
        <v>310.61847023369705</v>
      </c>
      <c r="N55" s="37">
        <f t="shared" si="17"/>
        <v>308.69400473717349</v>
      </c>
      <c r="O55" s="37">
        <f t="shared" si="17"/>
        <v>306.64170252519284</v>
      </c>
      <c r="P55" s="37">
        <f t="shared" si="17"/>
        <v>304.54159572978864</v>
      </c>
      <c r="Q55" s="37">
        <f t="shared" si="17"/>
        <v>302.39226115122625</v>
      </c>
      <c r="R55" s="37">
        <f t="shared" si="17"/>
        <v>300.21973416124399</v>
      </c>
      <c r="S55" s="37">
        <f t="shared" si="17"/>
        <v>297.83464835081111</v>
      </c>
      <c r="T55" s="37">
        <f t="shared" si="17"/>
        <v>295.48145016482414</v>
      </c>
      <c r="U55" s="37">
        <f t="shared" si="17"/>
        <v>293.21510712948833</v>
      </c>
      <c r="V55" s="37">
        <f t="shared" si="17"/>
        <v>290.97666885321257</v>
      </c>
      <c r="W55" s="37">
        <f t="shared" si="17"/>
        <v>288.90718442607186</v>
      </c>
      <c r="X55" s="37">
        <f t="shared" si="17"/>
        <v>286.86120329502467</v>
      </c>
      <c r="Y55" s="37">
        <f t="shared" si="17"/>
        <v>284.92485896714231</v>
      </c>
      <c r="Z55" s="37">
        <f t="shared" si="17"/>
        <v>283.0677331895522</v>
      </c>
      <c r="AA55" s="37">
        <f t="shared" si="17"/>
        <v>281.25862881714062</v>
      </c>
      <c r="AB55" s="37">
        <f t="shared" si="17"/>
        <v>279.52546102156253</v>
      </c>
    </row>
    <row r="57" spans="1:28" x14ac:dyDescent="0.25">
      <c r="A57" s="4" t="s">
        <v>327</v>
      </c>
    </row>
    <row r="58" spans="1:28" x14ac:dyDescent="0.25">
      <c r="A58" s="4" t="s">
        <v>215</v>
      </c>
      <c r="B58" s="37">
        <f t="shared" ref="B58:AB58" si="18">B38*B15*$F$4</f>
        <v>35710.332914791805</v>
      </c>
      <c r="C58" s="37">
        <f t="shared" si="18"/>
        <v>36529.345054939477</v>
      </c>
      <c r="D58" s="37">
        <f t="shared" si="18"/>
        <v>37486.612325709873</v>
      </c>
      <c r="E58" s="37">
        <f t="shared" si="18"/>
        <v>38453.645082496521</v>
      </c>
      <c r="F58" s="37">
        <f t="shared" si="18"/>
        <v>39433.728872898173</v>
      </c>
      <c r="G58" s="37">
        <f t="shared" si="18"/>
        <v>40428.089651716815</v>
      </c>
      <c r="H58" s="37">
        <f t="shared" si="18"/>
        <v>41434.02248821895</v>
      </c>
      <c r="I58" s="37">
        <f t="shared" si="18"/>
        <v>42371.674132852648</v>
      </c>
      <c r="J58" s="37">
        <f t="shared" si="18"/>
        <v>43310.667388639173</v>
      </c>
      <c r="K58" s="37">
        <f t="shared" si="18"/>
        <v>44250.087214909727</v>
      </c>
      <c r="L58" s="37">
        <f t="shared" si="18"/>
        <v>45185.992990037143</v>
      </c>
      <c r="M58" s="37">
        <f t="shared" si="18"/>
        <v>46117.371073872651</v>
      </c>
      <c r="N58" s="37">
        <f t="shared" si="18"/>
        <v>47039.2055097056</v>
      </c>
      <c r="O58" s="37">
        <f t="shared" si="18"/>
        <v>47949.339488746482</v>
      </c>
      <c r="P58" s="37">
        <f t="shared" si="18"/>
        <v>48841.161454794681</v>
      </c>
      <c r="Q58" s="37">
        <f t="shared" si="18"/>
        <v>49713.119578379446</v>
      </c>
      <c r="R58" s="37">
        <f t="shared" si="18"/>
        <v>50557.0359218585</v>
      </c>
      <c r="S58" s="37">
        <f t="shared" si="18"/>
        <v>51354.756624484035</v>
      </c>
      <c r="T58" s="37">
        <f t="shared" si="18"/>
        <v>52120.44724098764</v>
      </c>
      <c r="U58" s="37">
        <f t="shared" si="18"/>
        <v>52856.026270752256</v>
      </c>
      <c r="V58" s="37">
        <f t="shared" si="18"/>
        <v>53547.83314250884</v>
      </c>
      <c r="W58" s="37">
        <f t="shared" si="18"/>
        <v>54197.859537596458</v>
      </c>
      <c r="X58" s="37">
        <f t="shared" si="18"/>
        <v>54801.963635713837</v>
      </c>
      <c r="Y58" s="37">
        <f t="shared" si="18"/>
        <v>55381.709134599638</v>
      </c>
      <c r="Z58" s="37">
        <f t="shared" si="18"/>
        <v>55915.999551738882</v>
      </c>
      <c r="AA58" s="37">
        <f t="shared" si="18"/>
        <v>56407.100432919746</v>
      </c>
      <c r="AB58" s="37">
        <f t="shared" si="18"/>
        <v>56859.027840106959</v>
      </c>
    </row>
    <row r="59" spans="1:28" x14ac:dyDescent="0.25">
      <c r="A59" s="4" t="s">
        <v>216</v>
      </c>
      <c r="B59" s="37">
        <f t="shared" ref="B59:AB59" si="19">B39*B15*$F$5</f>
        <v>32533.32074494498</v>
      </c>
      <c r="C59" s="37">
        <f t="shared" si="19"/>
        <v>33193.271850252357</v>
      </c>
      <c r="D59" s="37">
        <f t="shared" si="19"/>
        <v>33980.174958976699</v>
      </c>
      <c r="E59" s="37">
        <f t="shared" si="19"/>
        <v>34792.184579512868</v>
      </c>
      <c r="F59" s="37">
        <f t="shared" si="19"/>
        <v>35639.685012376212</v>
      </c>
      <c r="G59" s="37">
        <f t="shared" si="19"/>
        <v>36525.304768714042</v>
      </c>
      <c r="H59" s="37">
        <f t="shared" si="19"/>
        <v>37453.225929862376</v>
      </c>
      <c r="I59" s="37">
        <f t="shared" si="19"/>
        <v>38350.685484637143</v>
      </c>
      <c r="J59" s="37">
        <f t="shared" si="19"/>
        <v>39284.834274603229</v>
      </c>
      <c r="K59" s="37">
        <f t="shared" si="19"/>
        <v>40246.186320762878</v>
      </c>
      <c r="L59" s="37">
        <f t="shared" si="19"/>
        <v>41234.313273389474</v>
      </c>
      <c r="M59" s="37">
        <f t="shared" si="19"/>
        <v>42247.077687776073</v>
      </c>
      <c r="N59" s="37">
        <f t="shared" si="19"/>
        <v>43275.733643539897</v>
      </c>
      <c r="O59" s="37">
        <f t="shared" si="19"/>
        <v>44311.711998608123</v>
      </c>
      <c r="P59" s="37">
        <f t="shared" si="19"/>
        <v>45353.022711170423</v>
      </c>
      <c r="Q59" s="37">
        <f t="shared" si="19"/>
        <v>46386.997963747548</v>
      </c>
      <c r="R59" s="37">
        <f t="shared" si="19"/>
        <v>47409.722698442114</v>
      </c>
      <c r="S59" s="37">
        <f t="shared" si="19"/>
        <v>48395.255029752254</v>
      </c>
      <c r="T59" s="37">
        <f t="shared" si="19"/>
        <v>49355.935461576584</v>
      </c>
      <c r="U59" s="37">
        <f t="shared" si="19"/>
        <v>50286.403996961089</v>
      </c>
      <c r="V59" s="37">
        <f t="shared" si="19"/>
        <v>51174.298070154327</v>
      </c>
      <c r="W59" s="37">
        <f t="shared" si="19"/>
        <v>52008.051775408559</v>
      </c>
      <c r="X59" s="37">
        <f t="shared" si="19"/>
        <v>52788.996062908576</v>
      </c>
      <c r="Y59" s="37">
        <f t="shared" si="19"/>
        <v>53540.497187483219</v>
      </c>
      <c r="Z59" s="37">
        <f t="shared" si="19"/>
        <v>54238.470611650526</v>
      </c>
      <c r="AA59" s="37">
        <f t="shared" si="19"/>
        <v>54873.066289383045</v>
      </c>
      <c r="AB59" s="37">
        <f t="shared" si="19"/>
        <v>55443.588044278804</v>
      </c>
    </row>
    <row r="60" spans="1:28" x14ac:dyDescent="0.25">
      <c r="A60" s="4" t="s">
        <v>217</v>
      </c>
      <c r="B60" s="37">
        <f t="shared" ref="B60:AB60" si="20">B40*B15*$F$6</f>
        <v>55389.877419509859</v>
      </c>
      <c r="C60" s="37">
        <f t="shared" si="20"/>
        <v>56577.705153654846</v>
      </c>
      <c r="D60" s="37">
        <f t="shared" si="20"/>
        <v>57975.91173556455</v>
      </c>
      <c r="E60" s="37">
        <f t="shared" si="20"/>
        <v>59396.809748160587</v>
      </c>
      <c r="F60" s="37">
        <f t="shared" si="20"/>
        <v>60852.896262200251</v>
      </c>
      <c r="G60" s="37">
        <f t="shared" si="20"/>
        <v>62344.994757168242</v>
      </c>
      <c r="H60" s="37">
        <f t="shared" si="20"/>
        <v>63875.996007959868</v>
      </c>
      <c r="I60" s="37">
        <f t="shared" si="20"/>
        <v>65320.951604423994</v>
      </c>
      <c r="J60" s="37">
        <f t="shared" si="20"/>
        <v>66791.481020563471</v>
      </c>
      <c r="K60" s="37">
        <f t="shared" si="20"/>
        <v>68275.997459633872</v>
      </c>
      <c r="L60" s="37">
        <f t="shared" si="20"/>
        <v>69770.915614890822</v>
      </c>
      <c r="M60" s="37">
        <f t="shared" si="20"/>
        <v>71273.492868701855</v>
      </c>
      <c r="N60" s="37">
        <f t="shared" si="20"/>
        <v>72770.636060001285</v>
      </c>
      <c r="O60" s="37">
        <f t="shared" si="20"/>
        <v>74254.707762581951</v>
      </c>
      <c r="P60" s="37">
        <f t="shared" si="20"/>
        <v>75715.548750138973</v>
      </c>
      <c r="Q60" s="37">
        <f t="shared" si="20"/>
        <v>77142.159301701569</v>
      </c>
      <c r="R60" s="37">
        <f t="shared" si="20"/>
        <v>78523.624584098652</v>
      </c>
      <c r="S60" s="37">
        <f t="shared" si="20"/>
        <v>79824.164437744956</v>
      </c>
      <c r="T60" s="37">
        <f t="shared" si="20"/>
        <v>81065.1457691463</v>
      </c>
      <c r="U60" s="37">
        <f t="shared" si="20"/>
        <v>82244.756881001827</v>
      </c>
      <c r="V60" s="37">
        <f t="shared" si="20"/>
        <v>83339.187014835552</v>
      </c>
      <c r="W60" s="37">
        <f t="shared" si="20"/>
        <v>84339.83278266227</v>
      </c>
      <c r="X60" s="37">
        <f t="shared" si="20"/>
        <v>85246.033147898066</v>
      </c>
      <c r="Y60" s="37">
        <f t="shared" si="20"/>
        <v>86099.188318617162</v>
      </c>
      <c r="Z60" s="37">
        <f t="shared" si="20"/>
        <v>86858.987648115886</v>
      </c>
      <c r="AA60" s="37">
        <f t="shared" si="20"/>
        <v>87517.636955079317</v>
      </c>
      <c r="AB60" s="37">
        <f t="shared" si="20"/>
        <v>88080.134404194323</v>
      </c>
    </row>
    <row r="61" spans="1:28" x14ac:dyDescent="0.25">
      <c r="A61" s="4" t="s">
        <v>218</v>
      </c>
      <c r="B61" s="37">
        <f t="shared" ref="B61:AB61" si="21">B41*B15*$F$7</f>
        <v>2981.8698448127284</v>
      </c>
      <c r="C61" s="37">
        <f t="shared" si="21"/>
        <v>3040.8844967463333</v>
      </c>
      <c r="D61" s="37">
        <f t="shared" si="21"/>
        <v>3111.6429409993279</v>
      </c>
      <c r="E61" s="37">
        <f t="shared" si="21"/>
        <v>3183.4163521626542</v>
      </c>
      <c r="F61" s="37">
        <f t="shared" si="21"/>
        <v>3257.2681059132333</v>
      </c>
      <c r="G61" s="37">
        <f t="shared" si="21"/>
        <v>3333.3310474898094</v>
      </c>
      <c r="H61" s="37">
        <f t="shared" si="21"/>
        <v>3411.5714011092418</v>
      </c>
      <c r="I61" s="37">
        <f t="shared" si="21"/>
        <v>3485.8176408493355</v>
      </c>
      <c r="J61" s="37">
        <f t="shared" si="21"/>
        <v>3562.1357490327341</v>
      </c>
      <c r="K61" s="37">
        <f t="shared" si="21"/>
        <v>3640.3365174355531</v>
      </c>
      <c r="L61" s="37">
        <f t="shared" si="21"/>
        <v>3720.4598717743957</v>
      </c>
      <c r="M61" s="37">
        <f t="shared" si="21"/>
        <v>3802.3489209182094</v>
      </c>
      <c r="N61" s="37">
        <f t="shared" si="21"/>
        <v>3886.2169061181617</v>
      </c>
      <c r="O61" s="37">
        <f t="shared" si="21"/>
        <v>3971.1079826255664</v>
      </c>
      <c r="P61" s="37">
        <f t="shared" si="21"/>
        <v>4057.4741135279833</v>
      </c>
      <c r="Q61" s="37">
        <f t="shared" si="21"/>
        <v>4144.5060800928104</v>
      </c>
      <c r="R61" s="37">
        <f t="shared" si="21"/>
        <v>4232.1052582712573</v>
      </c>
      <c r="S61" s="37">
        <f t="shared" si="21"/>
        <v>4318.7841879812368</v>
      </c>
      <c r="T61" s="37">
        <f t="shared" si="21"/>
        <v>4405.1652530442652</v>
      </c>
      <c r="U61" s="37">
        <f t="shared" si="21"/>
        <v>4491.28806451943</v>
      </c>
      <c r="V61" s="37">
        <f t="shared" si="21"/>
        <v>4576.5965069114063</v>
      </c>
      <c r="W61" s="37">
        <f t="shared" si="21"/>
        <v>4660.1925444801191</v>
      </c>
      <c r="X61" s="37">
        <f t="shared" si="21"/>
        <v>4741.6964273233407</v>
      </c>
      <c r="Y61" s="37">
        <f t="shared" si="21"/>
        <v>4822.2422732861933</v>
      </c>
      <c r="Z61" s="37">
        <f t="shared" si="21"/>
        <v>4900.4442036135342</v>
      </c>
      <c r="AA61" s="37">
        <f t="shared" si="21"/>
        <v>4976.1817804673483</v>
      </c>
      <c r="AB61" s="37">
        <f t="shared" si="21"/>
        <v>5048.8551380382341</v>
      </c>
    </row>
    <row r="62" spans="1:28" x14ac:dyDescent="0.25">
      <c r="A62" s="4" t="s">
        <v>219</v>
      </c>
      <c r="B62" s="37">
        <f t="shared" ref="B62:AB62" si="22">B42*B15*$F$8</f>
        <v>5091.1247522253898</v>
      </c>
      <c r="C62" s="37">
        <f t="shared" si="22"/>
        <v>5235.1491292193314</v>
      </c>
      <c r="D62" s="37">
        <f t="shared" si="22"/>
        <v>5403.7973114944352</v>
      </c>
      <c r="E62" s="37">
        <f t="shared" si="22"/>
        <v>5582.732184763081</v>
      </c>
      <c r="F62" s="37">
        <f t="shared" si="22"/>
        <v>5773.837882470204</v>
      </c>
      <c r="G62" s="37">
        <f t="shared" si="22"/>
        <v>5977.2970088343009</v>
      </c>
      <c r="H62" s="37">
        <f t="shared" si="22"/>
        <v>6193.8122883637343</v>
      </c>
      <c r="I62" s="37">
        <f t="shared" si="22"/>
        <v>6412.0534925201073</v>
      </c>
      <c r="J62" s="37">
        <f t="shared" si="22"/>
        <v>6640.1121861689826</v>
      </c>
      <c r="K62" s="37">
        <f t="shared" si="22"/>
        <v>6876.8315806877008</v>
      </c>
      <c r="L62" s="37">
        <f t="shared" si="22"/>
        <v>7124.1322728695595</v>
      </c>
      <c r="M62" s="37">
        <f t="shared" si="22"/>
        <v>7380.8209548374025</v>
      </c>
      <c r="N62" s="37">
        <f t="shared" si="22"/>
        <v>7646.1236461752496</v>
      </c>
      <c r="O62" s="37">
        <f t="shared" si="22"/>
        <v>7918.8359797180692</v>
      </c>
      <c r="P62" s="37">
        <f t="shared" si="22"/>
        <v>8198.3588906402001</v>
      </c>
      <c r="Q62" s="37">
        <f t="shared" si="22"/>
        <v>8483.2243202578611</v>
      </c>
      <c r="R62" s="37">
        <f t="shared" si="22"/>
        <v>8772.7074384814787</v>
      </c>
      <c r="S62" s="37">
        <f t="shared" si="22"/>
        <v>9062.1932074600427</v>
      </c>
      <c r="T62" s="37">
        <f t="shared" si="22"/>
        <v>9354.8234495532361</v>
      </c>
      <c r="U62" s="37">
        <f t="shared" si="22"/>
        <v>9648.5545387998536</v>
      </c>
      <c r="V62" s="37">
        <f t="shared" si="22"/>
        <v>9943.6496167609894</v>
      </c>
      <c r="W62" s="37">
        <f t="shared" si="22"/>
        <v>10239.381978238265</v>
      </c>
      <c r="X62" s="37">
        <f t="shared" si="22"/>
        <v>10536.548787976346</v>
      </c>
      <c r="Y62" s="37">
        <f t="shared" si="22"/>
        <v>10834.390042597255</v>
      </c>
      <c r="Z62" s="37">
        <f t="shared" si="22"/>
        <v>11133.156809376822</v>
      </c>
      <c r="AA62" s="37">
        <f t="shared" si="22"/>
        <v>11432.644765299832</v>
      </c>
      <c r="AB62" s="37">
        <f t="shared" si="22"/>
        <v>11731.931966054939</v>
      </c>
    </row>
    <row r="63" spans="1:28" x14ac:dyDescent="0.25">
      <c r="A63" s="4" t="s">
        <v>220</v>
      </c>
      <c r="B63" s="37">
        <f t="shared" ref="B63:AB63" si="23">B43*B15*$F$9</f>
        <v>2800.6161019960987</v>
      </c>
      <c r="C63" s="37">
        <f t="shared" si="23"/>
        <v>2875.8114182017375</v>
      </c>
      <c r="D63" s="37">
        <f t="shared" si="23"/>
        <v>2964.9179856816686</v>
      </c>
      <c r="E63" s="37">
        <f t="shared" si="23"/>
        <v>3060.7460373242043</v>
      </c>
      <c r="F63" s="37">
        <f t="shared" si="23"/>
        <v>3158.3556465035531</v>
      </c>
      <c r="G63" s="37">
        <f t="shared" si="23"/>
        <v>3262.3158850675309</v>
      </c>
      <c r="H63" s="37">
        <f t="shared" si="23"/>
        <v>3369.7881657901248</v>
      </c>
      <c r="I63" s="37">
        <f t="shared" si="23"/>
        <v>3473.8398263069303</v>
      </c>
      <c r="J63" s="37">
        <f t="shared" si="23"/>
        <v>3580.7752384114692</v>
      </c>
      <c r="K63" s="37">
        <f t="shared" si="23"/>
        <v>3694.5228453700702</v>
      </c>
      <c r="L63" s="37">
        <f t="shared" si="23"/>
        <v>3811.6425462487578</v>
      </c>
      <c r="M63" s="37">
        <f t="shared" si="23"/>
        <v>3933.3548856418365</v>
      </c>
      <c r="N63" s="37">
        <f t="shared" si="23"/>
        <v>4057.99400674143</v>
      </c>
      <c r="O63" s="37">
        <f t="shared" si="23"/>
        <v>4185.9151707949522</v>
      </c>
      <c r="P63" s="37">
        <f t="shared" si="23"/>
        <v>4318.2649466748426</v>
      </c>
      <c r="Q63" s="37">
        <f t="shared" si="23"/>
        <v>4454.5382705167131</v>
      </c>
      <c r="R63" s="37">
        <f t="shared" si="23"/>
        <v>4593.9290690460339</v>
      </c>
      <c r="S63" s="37">
        <f t="shared" si="23"/>
        <v>4733.4373438453995</v>
      </c>
      <c r="T63" s="37">
        <f t="shared" si="23"/>
        <v>4875.9473498996122</v>
      </c>
      <c r="U63" s="37">
        <f t="shared" si="23"/>
        <v>5020.2004688498155</v>
      </c>
      <c r="V63" s="37">
        <f t="shared" si="23"/>
        <v>5164.737066963472</v>
      </c>
      <c r="W63" s="37">
        <f t="shared" si="23"/>
        <v>5312.7003601112638</v>
      </c>
      <c r="X63" s="37">
        <f t="shared" si="23"/>
        <v>5461.5479381562063</v>
      </c>
      <c r="Y63" s="37">
        <f t="shared" si="23"/>
        <v>5612.8207846816531</v>
      </c>
      <c r="Z63" s="37">
        <f t="shared" si="23"/>
        <v>5764.3573273486991</v>
      </c>
      <c r="AA63" s="37">
        <f t="shared" si="23"/>
        <v>5916.9719446214594</v>
      </c>
      <c r="AB63" s="37">
        <f t="shared" si="23"/>
        <v>6071.5480957354985</v>
      </c>
    </row>
    <row r="64" spans="1:28" x14ac:dyDescent="0.25">
      <c r="A64" s="4" t="s">
        <v>221</v>
      </c>
      <c r="B64" s="37">
        <f t="shared" ref="B64:AB64" si="24">B44*B15*$F$10</f>
        <v>4532.4190242609138</v>
      </c>
      <c r="C64" s="37">
        <f t="shared" si="24"/>
        <v>4713.997550499761</v>
      </c>
      <c r="D64" s="37">
        <f t="shared" si="24"/>
        <v>4918.2097241502024</v>
      </c>
      <c r="E64" s="37">
        <f t="shared" si="24"/>
        <v>5129.2358119878045</v>
      </c>
      <c r="F64" s="37">
        <f t="shared" si="24"/>
        <v>5347.2468106700771</v>
      </c>
      <c r="G64" s="37">
        <f t="shared" si="24"/>
        <v>5573.017624574406</v>
      </c>
      <c r="H64" s="37">
        <f t="shared" si="24"/>
        <v>5808.5213944367533</v>
      </c>
      <c r="I64" s="37">
        <f t="shared" si="24"/>
        <v>6042.9718176977512</v>
      </c>
      <c r="J64" s="37">
        <f t="shared" si="24"/>
        <v>6285.3770725347276</v>
      </c>
      <c r="K64" s="37">
        <f t="shared" si="24"/>
        <v>6537.3221567382116</v>
      </c>
      <c r="L64" s="37">
        <f t="shared" si="24"/>
        <v>6800.0896010931083</v>
      </c>
      <c r="M64" s="37">
        <f t="shared" si="24"/>
        <v>7072.1918588836952</v>
      </c>
      <c r="N64" s="37">
        <f t="shared" si="24"/>
        <v>7355.6322596501122</v>
      </c>
      <c r="O64" s="37">
        <f t="shared" si="24"/>
        <v>7649.3716120673853</v>
      </c>
      <c r="P64" s="37">
        <f t="shared" si="24"/>
        <v>7953.2363102123563</v>
      </c>
      <c r="Q64" s="37">
        <f t="shared" si="24"/>
        <v>8267.7388280780087</v>
      </c>
      <c r="R64" s="37">
        <f t="shared" si="24"/>
        <v>8591.3659803567061</v>
      </c>
      <c r="S64" s="37">
        <f t="shared" si="24"/>
        <v>8921.1252080846716</v>
      </c>
      <c r="T64" s="37">
        <f t="shared" si="24"/>
        <v>9259.8899280201986</v>
      </c>
      <c r="U64" s="37">
        <f t="shared" si="24"/>
        <v>9607.1548342700717</v>
      </c>
      <c r="V64" s="37">
        <f t="shared" si="24"/>
        <v>9961.7318556840146</v>
      </c>
      <c r="W64" s="37">
        <f t="shared" si="24"/>
        <v>10322.305659389098</v>
      </c>
      <c r="X64" s="37">
        <f t="shared" si="24"/>
        <v>10690.170092643242</v>
      </c>
      <c r="Y64" s="37">
        <f t="shared" si="24"/>
        <v>11063.220060305757</v>
      </c>
      <c r="Z64" s="37">
        <f t="shared" si="24"/>
        <v>11441.31219317445</v>
      </c>
      <c r="AA64" s="37">
        <f t="shared" si="24"/>
        <v>11821.858522287966</v>
      </c>
      <c r="AB64" s="37">
        <f t="shared" si="24"/>
        <v>12204.469941047275</v>
      </c>
    </row>
    <row r="65" spans="1:28" x14ac:dyDescent="0.25">
      <c r="A65" s="4" t="s">
        <v>222</v>
      </c>
      <c r="B65" s="37">
        <f t="shared" ref="B65:AB65" si="25">B45*B15*$F$11</f>
        <v>65796.247698971114</v>
      </c>
      <c r="C65" s="37">
        <f t="shared" si="25"/>
        <v>67106.268454250603</v>
      </c>
      <c r="D65" s="37">
        <f t="shared" si="25"/>
        <v>68665.110995177238</v>
      </c>
      <c r="E65" s="37">
        <f t="shared" si="25"/>
        <v>70251.677448015384</v>
      </c>
      <c r="F65" s="37">
        <f t="shared" si="25"/>
        <v>71880.285473121345</v>
      </c>
      <c r="G65" s="37">
        <f t="shared" si="25"/>
        <v>73553.964795544001</v>
      </c>
      <c r="H65" s="37">
        <f t="shared" si="25"/>
        <v>75271.679204902786</v>
      </c>
      <c r="I65" s="37">
        <f t="shared" si="25"/>
        <v>76887.178125047198</v>
      </c>
      <c r="J65" s="37">
        <f t="shared" si="25"/>
        <v>78532.497683043999</v>
      </c>
      <c r="K65" s="37">
        <f t="shared" si="25"/>
        <v>80194.337619405575</v>
      </c>
      <c r="L65" s="37">
        <f t="shared" si="25"/>
        <v>81866.380704704279</v>
      </c>
      <c r="M65" s="37">
        <f t="shared" si="25"/>
        <v>83547.322921188432</v>
      </c>
      <c r="N65" s="37">
        <f t="shared" si="25"/>
        <v>85219.81952956396</v>
      </c>
      <c r="O65" s="37">
        <f t="shared" si="25"/>
        <v>86873.864936783546</v>
      </c>
      <c r="P65" s="37">
        <f t="shared" si="25"/>
        <v>88500.689087452309</v>
      </c>
      <c r="Q65" s="37">
        <f t="shared" si="25"/>
        <v>90084.389747931738</v>
      </c>
      <c r="R65" s="37">
        <f t="shared" si="25"/>
        <v>91614.342824545703</v>
      </c>
      <c r="S65" s="37">
        <f t="shared" si="25"/>
        <v>93047.960874928147</v>
      </c>
      <c r="T65" s="37">
        <f t="shared" si="25"/>
        <v>94409.261754780935</v>
      </c>
      <c r="U65" s="37">
        <f t="shared" si="25"/>
        <v>95695.185709011203</v>
      </c>
      <c r="V65" s="37">
        <f t="shared" si="25"/>
        <v>96879.902595209525</v>
      </c>
      <c r="W65" s="37">
        <f t="shared" si="25"/>
        <v>97954.885427770307</v>
      </c>
      <c r="X65" s="37">
        <f t="shared" si="25"/>
        <v>98915.478957867861</v>
      </c>
      <c r="Y65" s="37">
        <f t="shared" si="25"/>
        <v>99812.051927450273</v>
      </c>
      <c r="Z65" s="37">
        <f t="shared" si="25"/>
        <v>100597.03780357449</v>
      </c>
      <c r="AA65" s="37">
        <f t="shared" si="25"/>
        <v>101265.78156514738</v>
      </c>
      <c r="AB65" s="37">
        <f t="shared" si="25"/>
        <v>101822.24640609925</v>
      </c>
    </row>
    <row r="67" spans="1:28" x14ac:dyDescent="0.25">
      <c r="A67" s="4" t="s">
        <v>328</v>
      </c>
    </row>
    <row r="68" spans="1:28" x14ac:dyDescent="0.25">
      <c r="A68" s="4" t="s">
        <v>329</v>
      </c>
      <c r="B68" s="40">
        <f t="shared" ref="B68:AB68" si="26">B48+B49</f>
        <v>399.28728995421602</v>
      </c>
      <c r="C68" s="40">
        <f t="shared" si="26"/>
        <v>398.47570840466511</v>
      </c>
      <c r="D68" s="40">
        <f t="shared" si="26"/>
        <v>399.08091628632064</v>
      </c>
      <c r="E68" s="40">
        <f t="shared" si="26"/>
        <v>399.63514259265946</v>
      </c>
      <c r="F68" s="40">
        <f t="shared" si="26"/>
        <v>400.06965007069152</v>
      </c>
      <c r="G68" s="40">
        <f t="shared" si="26"/>
        <v>400.43313193144093</v>
      </c>
      <c r="H68" s="40">
        <f t="shared" si="26"/>
        <v>400.70509476025791</v>
      </c>
      <c r="I68" s="40">
        <f t="shared" si="26"/>
        <v>400.18633454543385</v>
      </c>
      <c r="J68" s="40">
        <f t="shared" si="26"/>
        <v>399.5738946260592</v>
      </c>
      <c r="K68" s="40">
        <f t="shared" si="26"/>
        <v>398.83450711769399</v>
      </c>
      <c r="L68" s="40">
        <f t="shared" si="26"/>
        <v>397.98693706163692</v>
      </c>
      <c r="M68" s="40">
        <f t="shared" si="26"/>
        <v>397.010927215072</v>
      </c>
      <c r="N68" s="40">
        <f t="shared" si="26"/>
        <v>395.9562548199865</v>
      </c>
      <c r="O68" s="40">
        <f t="shared" si="26"/>
        <v>394.70930622703372</v>
      </c>
      <c r="P68" s="40">
        <f t="shared" si="26"/>
        <v>393.27859623234866</v>
      </c>
      <c r="Q68" s="40">
        <f t="shared" si="26"/>
        <v>391.72993882241735</v>
      </c>
      <c r="R68" s="40">
        <f t="shared" si="26"/>
        <v>390.01201011013654</v>
      </c>
      <c r="S68" s="40">
        <f t="shared" si="26"/>
        <v>388.06177455819409</v>
      </c>
      <c r="T68" s="40">
        <f t="shared" si="26"/>
        <v>386.0427028646796</v>
      </c>
      <c r="U68" s="40">
        <f t="shared" si="26"/>
        <v>384.00310487044396</v>
      </c>
      <c r="V68" s="40">
        <f t="shared" si="26"/>
        <v>381.99147318049859</v>
      </c>
      <c r="W68" s="40">
        <f t="shared" si="26"/>
        <v>380.00425780455851</v>
      </c>
      <c r="X68" s="40">
        <f t="shared" si="26"/>
        <v>378.17844905625634</v>
      </c>
      <c r="Y68" s="40">
        <f t="shared" si="26"/>
        <v>376.42586799732976</v>
      </c>
      <c r="Z68" s="40">
        <f t="shared" si="26"/>
        <v>374.74797367720919</v>
      </c>
      <c r="AA68" s="40">
        <f t="shared" si="26"/>
        <v>373.13853111509349</v>
      </c>
      <c r="AB68" s="40">
        <f t="shared" si="26"/>
        <v>371.64976117731601</v>
      </c>
    </row>
    <row r="69" spans="1:28" x14ac:dyDescent="0.25">
      <c r="A69" s="4" t="s">
        <v>330</v>
      </c>
      <c r="B69" s="40">
        <f t="shared" ref="B69:AB69" si="27">B50+B51+B52+B53</f>
        <v>370.98801535822412</v>
      </c>
      <c r="C69" s="40">
        <f t="shared" si="27"/>
        <v>371.31528554901899</v>
      </c>
      <c r="D69" s="40">
        <f t="shared" si="27"/>
        <v>372.90456972482787</v>
      </c>
      <c r="E69" s="40">
        <f t="shared" si="27"/>
        <v>374.54847090389558</v>
      </c>
      <c r="F69" s="40">
        <f t="shared" si="27"/>
        <v>376.10545240610668</v>
      </c>
      <c r="G69" s="40">
        <f t="shared" si="27"/>
        <v>377.57458222428909</v>
      </c>
      <c r="H69" s="40">
        <f t="shared" si="27"/>
        <v>379.09668591505988</v>
      </c>
      <c r="I69" s="40">
        <f t="shared" si="27"/>
        <v>379.79074522939669</v>
      </c>
      <c r="J69" s="40">
        <f t="shared" si="27"/>
        <v>380.42903818547074</v>
      </c>
      <c r="K69" s="40">
        <f t="shared" si="27"/>
        <v>380.93406864725654</v>
      </c>
      <c r="L69" s="40">
        <f t="shared" si="27"/>
        <v>381.29757975738534</v>
      </c>
      <c r="M69" s="40">
        <f t="shared" si="27"/>
        <v>381.4364544597621</v>
      </c>
      <c r="N69" s="40">
        <f t="shared" si="27"/>
        <v>381.54816548773181</v>
      </c>
      <c r="O69" s="40">
        <f t="shared" si="27"/>
        <v>381.39898274407756</v>
      </c>
      <c r="P69" s="40">
        <f t="shared" si="27"/>
        <v>381.01490203258908</v>
      </c>
      <c r="Q69" s="40">
        <f t="shared" si="27"/>
        <v>380.47564937523583</v>
      </c>
      <c r="R69" s="40">
        <f t="shared" si="27"/>
        <v>379.72120023735567</v>
      </c>
      <c r="S69" s="40">
        <f t="shared" si="27"/>
        <v>378.75221529794351</v>
      </c>
      <c r="T69" s="40">
        <f t="shared" si="27"/>
        <v>377.64708255754141</v>
      </c>
      <c r="U69" s="40">
        <f t="shared" si="27"/>
        <v>376.53411334831287</v>
      </c>
      <c r="V69" s="40">
        <f t="shared" si="27"/>
        <v>375.40656855096847</v>
      </c>
      <c r="W69" s="40">
        <f t="shared" si="27"/>
        <v>374.33396088250601</v>
      </c>
      <c r="X69" s="40">
        <f t="shared" si="27"/>
        <v>373.41796481662175</v>
      </c>
      <c r="Y69" s="40">
        <f t="shared" si="27"/>
        <v>372.51447215721197</v>
      </c>
      <c r="Z69" s="40">
        <f t="shared" si="27"/>
        <v>371.71740173866056</v>
      </c>
      <c r="AA69" s="40">
        <f t="shared" si="27"/>
        <v>370.9008295172714</v>
      </c>
      <c r="AB69" s="40">
        <f t="shared" si="27"/>
        <v>370.28516688513957</v>
      </c>
    </row>
    <row r="70" spans="1:28" x14ac:dyDescent="0.25">
      <c r="A70" s="4" t="s">
        <v>331</v>
      </c>
      <c r="B70" s="40">
        <f t="shared" ref="B70:AB70" si="28">B54+B55</f>
        <v>394.88940521353919</v>
      </c>
      <c r="C70" s="40">
        <f t="shared" si="28"/>
        <v>393.81181571821293</v>
      </c>
      <c r="D70" s="40">
        <f t="shared" si="28"/>
        <v>394.11591848504952</v>
      </c>
      <c r="E70" s="40">
        <f t="shared" si="28"/>
        <v>394.35586572317527</v>
      </c>
      <c r="F70" s="40">
        <f t="shared" si="28"/>
        <v>394.44499144306587</v>
      </c>
      <c r="G70" s="40">
        <f t="shared" si="28"/>
        <v>394.48383947782258</v>
      </c>
      <c r="H70" s="40">
        <f t="shared" si="28"/>
        <v>394.4294365586868</v>
      </c>
      <c r="I70" s="40">
        <f t="shared" si="28"/>
        <v>393.59246492879538</v>
      </c>
      <c r="J70" s="40">
        <f t="shared" si="28"/>
        <v>392.66999353742892</v>
      </c>
      <c r="K70" s="40">
        <f t="shared" si="28"/>
        <v>391.62108363268931</v>
      </c>
      <c r="L70" s="40">
        <f t="shared" si="28"/>
        <v>390.47902114074191</v>
      </c>
      <c r="M70" s="40">
        <f t="shared" si="28"/>
        <v>389.2164648110861</v>
      </c>
      <c r="N70" s="40">
        <f t="shared" si="28"/>
        <v>387.88618037152708</v>
      </c>
      <c r="O70" s="40">
        <f t="shared" si="28"/>
        <v>386.37856804525404</v>
      </c>
      <c r="P70" s="40">
        <f t="shared" si="28"/>
        <v>384.71272556173426</v>
      </c>
      <c r="Q70" s="40">
        <f t="shared" si="28"/>
        <v>382.94535390780993</v>
      </c>
      <c r="R70" s="40">
        <f t="shared" si="28"/>
        <v>381.04033585222231</v>
      </c>
      <c r="S70" s="40">
        <f t="shared" si="28"/>
        <v>378.90010932994238</v>
      </c>
      <c r="T70" s="40">
        <f t="shared" si="28"/>
        <v>376.71505409149529</v>
      </c>
      <c r="U70" s="40">
        <f t="shared" si="28"/>
        <v>374.5378865604124</v>
      </c>
      <c r="V70" s="40">
        <f t="shared" si="28"/>
        <v>372.39054576470301</v>
      </c>
      <c r="W70" s="40">
        <f t="shared" si="28"/>
        <v>370.30797692420163</v>
      </c>
      <c r="X70" s="40">
        <f t="shared" si="28"/>
        <v>368.35309681893432</v>
      </c>
      <c r="Y70" s="40">
        <f t="shared" si="28"/>
        <v>366.48571078550248</v>
      </c>
      <c r="Z70" s="40">
        <f t="shared" si="28"/>
        <v>364.69539164798437</v>
      </c>
      <c r="AA70" s="40">
        <f t="shared" si="28"/>
        <v>362.9715128158424</v>
      </c>
      <c r="AB70" s="40">
        <f t="shared" si="28"/>
        <v>361.36318598405688</v>
      </c>
    </row>
    <row r="71" spans="1:28" x14ac:dyDescent="0.25">
      <c r="A71" s="4" t="s">
        <v>332</v>
      </c>
      <c r="B71" s="40">
        <f t="shared" ref="B71:AB71" si="29">B58+B59</f>
        <v>68243.653659736781</v>
      </c>
      <c r="C71" s="40">
        <f t="shared" si="29"/>
        <v>69722.616905191826</v>
      </c>
      <c r="D71" s="40">
        <f t="shared" si="29"/>
        <v>71466.787284686579</v>
      </c>
      <c r="E71" s="40">
        <f t="shared" si="29"/>
        <v>73245.82966200939</v>
      </c>
      <c r="F71" s="40">
        <f t="shared" si="29"/>
        <v>75073.413885274378</v>
      </c>
      <c r="G71" s="40">
        <f t="shared" si="29"/>
        <v>76953.39442043085</v>
      </c>
      <c r="H71" s="40">
        <f t="shared" si="29"/>
        <v>78887.248418081319</v>
      </c>
      <c r="I71" s="40">
        <f t="shared" si="29"/>
        <v>80722.359617489798</v>
      </c>
      <c r="J71" s="40">
        <f t="shared" si="29"/>
        <v>82595.501663242409</v>
      </c>
      <c r="K71" s="40">
        <f t="shared" si="29"/>
        <v>84496.273535672604</v>
      </c>
      <c r="L71" s="40">
        <f t="shared" si="29"/>
        <v>86420.30626342661</v>
      </c>
      <c r="M71" s="40">
        <f t="shared" si="29"/>
        <v>88364.448761648731</v>
      </c>
      <c r="N71" s="40">
        <f t="shared" si="29"/>
        <v>90314.939153245505</v>
      </c>
      <c r="O71" s="40">
        <f t="shared" si="29"/>
        <v>92261.051487354605</v>
      </c>
      <c r="P71" s="40">
        <f t="shared" si="29"/>
        <v>94194.184165965096</v>
      </c>
      <c r="Q71" s="40">
        <f t="shared" si="29"/>
        <v>96100.117542127002</v>
      </c>
      <c r="R71" s="40">
        <f t="shared" si="29"/>
        <v>97966.758620300621</v>
      </c>
      <c r="S71" s="40">
        <f t="shared" si="29"/>
        <v>99750.011654236296</v>
      </c>
      <c r="T71" s="40">
        <f t="shared" si="29"/>
        <v>101476.38270256422</v>
      </c>
      <c r="U71" s="40">
        <f t="shared" si="29"/>
        <v>103142.43026771335</v>
      </c>
      <c r="V71" s="40">
        <f t="shared" si="29"/>
        <v>104722.13121266317</v>
      </c>
      <c r="W71" s="40">
        <f t="shared" si="29"/>
        <v>106205.91131300502</v>
      </c>
      <c r="X71" s="40">
        <f t="shared" si="29"/>
        <v>107590.95969862241</v>
      </c>
      <c r="Y71" s="40">
        <f t="shared" si="29"/>
        <v>108922.20632208286</v>
      </c>
      <c r="Z71" s="40">
        <f t="shared" si="29"/>
        <v>110154.4701633894</v>
      </c>
      <c r="AA71" s="40">
        <f t="shared" si="29"/>
        <v>111280.16672230279</v>
      </c>
      <c r="AB71" s="40">
        <f t="shared" si="29"/>
        <v>112302.61588438577</v>
      </c>
    </row>
    <row r="72" spans="1:28" x14ac:dyDescent="0.25">
      <c r="A72" s="4" t="s">
        <v>333</v>
      </c>
      <c r="B72" s="40">
        <f t="shared" ref="B72:AB72" si="30">B60+B61+B62+B63</f>
        <v>66263.488118544075</v>
      </c>
      <c r="C72" s="40">
        <f t="shared" si="30"/>
        <v>67729.550197822246</v>
      </c>
      <c r="D72" s="40">
        <f t="shared" si="30"/>
        <v>69456.269973739982</v>
      </c>
      <c r="E72" s="40">
        <f t="shared" si="30"/>
        <v>71223.704322410529</v>
      </c>
      <c r="F72" s="40">
        <f t="shared" si="30"/>
        <v>73042.357897087233</v>
      </c>
      <c r="G72" s="40">
        <f t="shared" si="30"/>
        <v>74917.938698559868</v>
      </c>
      <c r="H72" s="40">
        <f t="shared" si="30"/>
        <v>76851.167863222974</v>
      </c>
      <c r="I72" s="40">
        <f t="shared" si="30"/>
        <v>78692.662564100363</v>
      </c>
      <c r="J72" s="40">
        <f t="shared" si="30"/>
        <v>80574.504194176669</v>
      </c>
      <c r="K72" s="40">
        <f t="shared" si="30"/>
        <v>82487.688403127206</v>
      </c>
      <c r="L72" s="40">
        <f t="shared" si="30"/>
        <v>84427.150305783536</v>
      </c>
      <c r="M72" s="40">
        <f t="shared" si="30"/>
        <v>86390.017630099304</v>
      </c>
      <c r="N72" s="40">
        <f t="shared" si="30"/>
        <v>88360.970619036132</v>
      </c>
      <c r="O72" s="40">
        <f t="shared" si="30"/>
        <v>90330.566895720534</v>
      </c>
      <c r="P72" s="40">
        <f t="shared" si="30"/>
        <v>92289.64670098199</v>
      </c>
      <c r="Q72" s="40">
        <f t="shared" si="30"/>
        <v>94224.427972568941</v>
      </c>
      <c r="R72" s="40">
        <f t="shared" si="30"/>
        <v>96122.36634989742</v>
      </c>
      <c r="S72" s="40">
        <f t="shared" si="30"/>
        <v>97938.579177031643</v>
      </c>
      <c r="T72" s="40">
        <f t="shared" si="30"/>
        <v>99701.081821643413</v>
      </c>
      <c r="U72" s="40">
        <f t="shared" si="30"/>
        <v>101404.79995317092</v>
      </c>
      <c r="V72" s="40">
        <f t="shared" si="30"/>
        <v>103024.17020547141</v>
      </c>
      <c r="W72" s="40">
        <f t="shared" si="30"/>
        <v>104552.10766549192</v>
      </c>
      <c r="X72" s="40">
        <f t="shared" si="30"/>
        <v>105985.82630135395</v>
      </c>
      <c r="Y72" s="40">
        <f t="shared" si="30"/>
        <v>107368.64141918226</v>
      </c>
      <c r="Z72" s="40">
        <f t="shared" si="30"/>
        <v>108656.94598845494</v>
      </c>
      <c r="AA72" s="40">
        <f t="shared" si="30"/>
        <v>109843.43544546796</v>
      </c>
      <c r="AB72" s="40">
        <f t="shared" si="30"/>
        <v>110932.469604023</v>
      </c>
    </row>
    <row r="73" spans="1:28" x14ac:dyDescent="0.25">
      <c r="A73" s="4" t="s">
        <v>334</v>
      </c>
      <c r="B73" s="40">
        <f t="shared" ref="B73:AB73" si="31">B64+B65</f>
        <v>70328.666723232032</v>
      </c>
      <c r="C73" s="40">
        <f t="shared" si="31"/>
        <v>71820.26600475036</v>
      </c>
      <c r="D73" s="40">
        <f t="shared" si="31"/>
        <v>73583.320719327443</v>
      </c>
      <c r="E73" s="40">
        <f t="shared" si="31"/>
        <v>75380.913260003188</v>
      </c>
      <c r="F73" s="40">
        <f t="shared" si="31"/>
        <v>77227.532283791428</v>
      </c>
      <c r="G73" s="40">
        <f t="shared" si="31"/>
        <v>79126.982420118409</v>
      </c>
      <c r="H73" s="40">
        <f t="shared" si="31"/>
        <v>81080.200599339543</v>
      </c>
      <c r="I73" s="40">
        <f t="shared" si="31"/>
        <v>82930.149942744945</v>
      </c>
      <c r="J73" s="40">
        <f t="shared" si="31"/>
        <v>84817.874755578727</v>
      </c>
      <c r="K73" s="40">
        <f t="shared" si="31"/>
        <v>86731.659776143788</v>
      </c>
      <c r="L73" s="40">
        <f t="shared" si="31"/>
        <v>88666.470305797382</v>
      </c>
      <c r="M73" s="40">
        <f t="shared" si="31"/>
        <v>90619.514780072132</v>
      </c>
      <c r="N73" s="40">
        <f t="shared" si="31"/>
        <v>92575.451789214072</v>
      </c>
      <c r="O73" s="40">
        <f t="shared" si="31"/>
        <v>94523.236548850924</v>
      </c>
      <c r="P73" s="40">
        <f t="shared" si="31"/>
        <v>96453.925397664658</v>
      </c>
      <c r="Q73" s="40">
        <f t="shared" si="31"/>
        <v>98352.128576009753</v>
      </c>
      <c r="R73" s="40">
        <f t="shared" si="31"/>
        <v>100205.70880490242</v>
      </c>
      <c r="S73" s="40">
        <f t="shared" si="31"/>
        <v>101969.08608301282</v>
      </c>
      <c r="T73" s="40">
        <f t="shared" si="31"/>
        <v>103669.15168280114</v>
      </c>
      <c r="U73" s="40">
        <f t="shared" si="31"/>
        <v>105302.34054328127</v>
      </c>
      <c r="V73" s="40">
        <f t="shared" si="31"/>
        <v>106841.63445089354</v>
      </c>
      <c r="W73" s="40">
        <f t="shared" si="31"/>
        <v>108277.1910871594</v>
      </c>
      <c r="X73" s="40">
        <f t="shared" si="31"/>
        <v>109605.6490505111</v>
      </c>
      <c r="Y73" s="40">
        <f t="shared" si="31"/>
        <v>110875.27198775603</v>
      </c>
      <c r="Z73" s="40">
        <f t="shared" si="31"/>
        <v>112038.34999674895</v>
      </c>
      <c r="AA73" s="40">
        <f t="shared" si="31"/>
        <v>113087.64008743534</v>
      </c>
      <c r="AB73" s="40">
        <f t="shared" si="31"/>
        <v>114026.71634714652</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B9"/>
  <sheetViews>
    <sheetView workbookViewId="0">
      <pane xSplit="1" ySplit="1" topLeftCell="B2" activePane="bottomRight" state="frozen"/>
      <selection pane="topRight"/>
      <selection pane="bottomLeft"/>
      <selection pane="bottomRight"/>
    </sheetView>
  </sheetViews>
  <sheetFormatPr defaultRowHeight="15" x14ac:dyDescent="0.25"/>
  <cols>
    <col min="1" max="1" width="18" customWidth="1"/>
    <col min="2" max="28" width="11" customWidth="1"/>
  </cols>
  <sheetData>
    <row r="1" spans="1:28" x14ac:dyDescent="0.25">
      <c r="B1" s="4">
        <v>2024</v>
      </c>
      <c r="C1" s="4">
        <v>2025</v>
      </c>
      <c r="D1" s="4">
        <v>2026</v>
      </c>
      <c r="E1" s="4">
        <v>2027</v>
      </c>
      <c r="F1" s="4">
        <v>2028</v>
      </c>
      <c r="G1" s="4">
        <v>2029</v>
      </c>
      <c r="H1" s="4">
        <v>2030</v>
      </c>
      <c r="I1" s="4">
        <v>2031</v>
      </c>
      <c r="J1" s="4">
        <v>2032</v>
      </c>
      <c r="K1" s="4">
        <v>2033</v>
      </c>
      <c r="L1" s="4">
        <v>2034</v>
      </c>
      <c r="M1" s="4">
        <v>2035</v>
      </c>
      <c r="N1" s="4">
        <v>2036</v>
      </c>
      <c r="O1" s="4">
        <v>2037</v>
      </c>
      <c r="P1" s="4">
        <v>2038</v>
      </c>
      <c r="Q1" s="4">
        <v>2039</v>
      </c>
      <c r="R1" s="4">
        <v>2040</v>
      </c>
      <c r="S1" s="4">
        <v>2041</v>
      </c>
      <c r="T1" s="4">
        <v>2042</v>
      </c>
      <c r="U1" s="4">
        <v>2043</v>
      </c>
      <c r="V1" s="4">
        <v>2044</v>
      </c>
      <c r="W1" s="4">
        <v>2045</v>
      </c>
      <c r="X1" s="4">
        <v>2046</v>
      </c>
      <c r="Y1" s="4">
        <v>2047</v>
      </c>
      <c r="Z1" s="4">
        <v>2048</v>
      </c>
      <c r="AA1" s="4">
        <v>2049</v>
      </c>
      <c r="AB1" s="4">
        <v>2050</v>
      </c>
    </row>
    <row r="2" spans="1:28" x14ac:dyDescent="0.25">
      <c r="A2" s="4" t="s">
        <v>215</v>
      </c>
      <c r="B2" s="37">
        <f>BDbDT_calcs!B48</f>
        <v>225.19693464959391</v>
      </c>
      <c r="C2" s="37">
        <f>BDbDT_calcs!C48</f>
        <v>224.53397012159402</v>
      </c>
      <c r="D2" s="37">
        <f>BDbDT_calcs!D48</f>
        <v>224.65608846591459</v>
      </c>
      <c r="E2" s="37">
        <f>BDbDT_calcs!E48</f>
        <v>224.75920147473352</v>
      </c>
      <c r="F2" s="37">
        <f>BDbDT_calcs!F48</f>
        <v>224.79681908651122</v>
      </c>
      <c r="G2" s="37">
        <f>BDbDT_calcs!G48</f>
        <v>224.76932215001094</v>
      </c>
      <c r="H2" s="37">
        <f>BDbDT_calcs!H48</f>
        <v>224.67825570922065</v>
      </c>
      <c r="I2" s="37">
        <f>BDbDT_calcs!I48</f>
        <v>224.24198487688997</v>
      </c>
      <c r="J2" s="37">
        <f>BDbDT_calcs!J48</f>
        <v>223.6318392292761</v>
      </c>
      <c r="K2" s="37">
        <f>BDbDT_calcs!K48</f>
        <v>223.04153883283914</v>
      </c>
      <c r="L2" s="37">
        <f>BDbDT_calcs!L48</f>
        <v>222.29247510247734</v>
      </c>
      <c r="M2" s="37">
        <f>BDbDT_calcs!M48</f>
        <v>221.56352108594152</v>
      </c>
      <c r="N2" s="37">
        <f>BDbDT_calcs!N48</f>
        <v>220.8817288466457</v>
      </c>
      <c r="O2" s="37">
        <f>BDbDT_calcs!O48</f>
        <v>219.88114351596525</v>
      </c>
      <c r="P2" s="37">
        <f>BDbDT_calcs!P48</f>
        <v>218.95181411265523</v>
      </c>
      <c r="Q2" s="37">
        <f>BDbDT_calcs!Q48</f>
        <v>217.85543426007703</v>
      </c>
      <c r="R2" s="37">
        <f>BDbDT_calcs!R48</f>
        <v>216.72195016114213</v>
      </c>
      <c r="S2" s="37">
        <f>BDbDT_calcs!S48</f>
        <v>215.42090410522721</v>
      </c>
      <c r="T2" s="37">
        <f>BDbDT_calcs!T48</f>
        <v>214.10788883354593</v>
      </c>
      <c r="U2" s="37">
        <f>BDbDT_calcs!U48</f>
        <v>212.78080160352118</v>
      </c>
      <c r="V2" s="37">
        <f>BDbDT_calcs!V48</f>
        <v>211.43683935204623</v>
      </c>
      <c r="W2" s="37">
        <f>BDbDT_calcs!W48</f>
        <v>210.10063079505485</v>
      </c>
      <c r="X2" s="37">
        <f>BDbDT_calcs!X48</f>
        <v>208.96523237569812</v>
      </c>
      <c r="Y2" s="37">
        <f>BDbDT_calcs!Y48</f>
        <v>207.80817561949823</v>
      </c>
      <c r="Z2" s="37">
        <f>BDbDT_calcs!Z48</f>
        <v>206.76830096688442</v>
      </c>
      <c r="AA2" s="37">
        <f>BDbDT_calcs!AA48</f>
        <v>205.73154083943726</v>
      </c>
      <c r="AB2" s="37">
        <f>BDbDT_calcs!AB48</f>
        <v>204.66695567206432</v>
      </c>
    </row>
    <row r="3" spans="1:28" x14ac:dyDescent="0.25">
      <c r="A3" s="4" t="s">
        <v>216</v>
      </c>
      <c r="B3" s="37">
        <f>BDbDT_calcs!B49</f>
        <v>174.09035530462214</v>
      </c>
      <c r="C3" s="37">
        <f>BDbDT_calcs!C49</f>
        <v>173.94173828307109</v>
      </c>
      <c r="D3" s="37">
        <f>BDbDT_calcs!D49</f>
        <v>174.42482782040605</v>
      </c>
      <c r="E3" s="37">
        <f>BDbDT_calcs!E49</f>
        <v>174.87594111792598</v>
      </c>
      <c r="F3" s="37">
        <f>BDbDT_calcs!F49</f>
        <v>175.27283098418027</v>
      </c>
      <c r="G3" s="37">
        <f>BDbDT_calcs!G49</f>
        <v>175.66380978142996</v>
      </c>
      <c r="H3" s="37">
        <f>BDbDT_calcs!H49</f>
        <v>176.02683905103729</v>
      </c>
      <c r="I3" s="37">
        <f>BDbDT_calcs!I49</f>
        <v>175.94434966854388</v>
      </c>
      <c r="J3" s="37">
        <f>BDbDT_calcs!J49</f>
        <v>175.9420553967831</v>
      </c>
      <c r="K3" s="37">
        <f>BDbDT_calcs!K49</f>
        <v>175.79296828485482</v>
      </c>
      <c r="L3" s="37">
        <f>BDbDT_calcs!L49</f>
        <v>175.69446195915955</v>
      </c>
      <c r="M3" s="37">
        <f>BDbDT_calcs!M49</f>
        <v>175.44740612913051</v>
      </c>
      <c r="N3" s="37">
        <f>BDbDT_calcs!N49</f>
        <v>175.0745259733408</v>
      </c>
      <c r="O3" s="37">
        <f>BDbDT_calcs!O49</f>
        <v>174.82816271106847</v>
      </c>
      <c r="P3" s="37">
        <f>BDbDT_calcs!P49</f>
        <v>174.32678211969343</v>
      </c>
      <c r="Q3" s="37">
        <f>BDbDT_calcs!Q49</f>
        <v>173.87450456234029</v>
      </c>
      <c r="R3" s="37">
        <f>BDbDT_calcs!R49</f>
        <v>173.29005994899444</v>
      </c>
      <c r="S3" s="37">
        <f>BDbDT_calcs!S49</f>
        <v>172.64087045296691</v>
      </c>
      <c r="T3" s="37">
        <f>BDbDT_calcs!T49</f>
        <v>171.93481403113367</v>
      </c>
      <c r="U3" s="37">
        <f>BDbDT_calcs!U49</f>
        <v>171.22230326692281</v>
      </c>
      <c r="V3" s="37">
        <f>BDbDT_calcs!V49</f>
        <v>170.55463382845238</v>
      </c>
      <c r="W3" s="37">
        <f>BDbDT_calcs!W49</f>
        <v>169.90362700950368</v>
      </c>
      <c r="X3" s="37">
        <f>BDbDT_calcs!X49</f>
        <v>169.21321668055822</v>
      </c>
      <c r="Y3" s="37">
        <f>BDbDT_calcs!Y49</f>
        <v>168.61769237783153</v>
      </c>
      <c r="Z3" s="37">
        <f>BDbDT_calcs!Z49</f>
        <v>167.97967271032479</v>
      </c>
      <c r="AA3" s="37">
        <f>BDbDT_calcs!AA49</f>
        <v>167.40699027565623</v>
      </c>
      <c r="AB3" s="37">
        <f>BDbDT_calcs!AB49</f>
        <v>166.98280550525172</v>
      </c>
    </row>
    <row r="4" spans="1:28" x14ac:dyDescent="0.25">
      <c r="A4" s="4" t="s">
        <v>217</v>
      </c>
      <c r="B4" s="37">
        <f>BDbDT_calcs!B50</f>
        <v>232.9289369626766</v>
      </c>
      <c r="C4" s="37">
        <f>BDbDT_calcs!C50</f>
        <v>232.46568979807742</v>
      </c>
      <c r="D4" s="37">
        <f>BDbDT_calcs!D50</f>
        <v>232.86718909089041</v>
      </c>
      <c r="E4" s="37">
        <f>BDbDT_calcs!E50</f>
        <v>233.20530574687513</v>
      </c>
      <c r="F4" s="37">
        <f>BDbDT_calcs!F50</f>
        <v>233.50611733603077</v>
      </c>
      <c r="G4" s="37">
        <f>BDbDT_calcs!G50</f>
        <v>233.7952637850716</v>
      </c>
      <c r="H4" s="37">
        <f>BDbDT_calcs!H50</f>
        <v>233.97673871410771</v>
      </c>
      <c r="I4" s="37">
        <f>BDbDT_calcs!I50</f>
        <v>233.74893839505341</v>
      </c>
      <c r="J4" s="37">
        <f>BDbDT_calcs!J50</f>
        <v>233.40274904992543</v>
      </c>
      <c r="K4" s="37">
        <f>BDbDT_calcs!K50</f>
        <v>232.95353701098745</v>
      </c>
      <c r="L4" s="37">
        <f>BDbDT_calcs!L50</f>
        <v>232.37493011368284</v>
      </c>
      <c r="M4" s="37">
        <f>BDbDT_calcs!M50</f>
        <v>231.66519252128293</v>
      </c>
      <c r="N4" s="37">
        <f>BDbDT_calcs!N50</f>
        <v>230.82225835595679</v>
      </c>
      <c r="O4" s="37">
        <f>BDbDT_calcs!O50</f>
        <v>229.76619962438707</v>
      </c>
      <c r="P4" s="37">
        <f>BDbDT_calcs!P50</f>
        <v>228.59720368629823</v>
      </c>
      <c r="Q4" s="37">
        <f>BDbDT_calcs!Q50</f>
        <v>227.28633432581734</v>
      </c>
      <c r="R4" s="37">
        <f>BDbDT_calcs!R50</f>
        <v>225.83000916566772</v>
      </c>
      <c r="S4" s="37">
        <f>BDbDT_calcs!S50</f>
        <v>224.19965467184454</v>
      </c>
      <c r="T4" s="37">
        <f>BDbDT_calcs!T50</f>
        <v>222.55303918056899</v>
      </c>
      <c r="U4" s="37">
        <f>BDbDT_calcs!U50</f>
        <v>220.88787626687659</v>
      </c>
      <c r="V4" s="37">
        <f>BDbDT_calcs!V50</f>
        <v>219.22836918235004</v>
      </c>
      <c r="W4" s="37">
        <f>BDbDT_calcs!W50</f>
        <v>217.62657262333559</v>
      </c>
      <c r="X4" s="37">
        <f>BDbDT_calcs!X50</f>
        <v>216.10847920991881</v>
      </c>
      <c r="Y4" s="37">
        <f>BDbDT_calcs!Y50</f>
        <v>214.61866451432772</v>
      </c>
      <c r="Z4" s="37">
        <f>BDbDT_calcs!Z50</f>
        <v>213.18324329652887</v>
      </c>
      <c r="AA4" s="37">
        <f>BDbDT_calcs!AA50</f>
        <v>211.85734993590475</v>
      </c>
      <c r="AB4" s="37">
        <f>BDbDT_calcs!AB50</f>
        <v>210.58428310704542</v>
      </c>
    </row>
    <row r="5" spans="1:28" x14ac:dyDescent="0.25">
      <c r="A5" s="4" t="s">
        <v>218</v>
      </c>
      <c r="B5" s="37">
        <f>BDbDT_calcs!B51</f>
        <v>38.569465398917075</v>
      </c>
      <c r="C5" s="37">
        <f>BDbDT_calcs!C51</f>
        <v>38.226416301166722</v>
      </c>
      <c r="D5" s="37">
        <f>BDbDT_calcs!D51</f>
        <v>38.026514398519289</v>
      </c>
      <c r="E5" s="37">
        <f>BDbDT_calcs!E51</f>
        <v>37.802874441127003</v>
      </c>
      <c r="F5" s="37">
        <f>BDbDT_calcs!F51</f>
        <v>37.555516017200091</v>
      </c>
      <c r="G5" s="37">
        <f>BDbDT_calcs!G51</f>
        <v>37.301363997814569</v>
      </c>
      <c r="H5" s="37">
        <f>BDbDT_calcs!H51</f>
        <v>37.014929045925577</v>
      </c>
      <c r="I5" s="37">
        <f>BDbDT_calcs!I51</f>
        <v>36.663826419080436</v>
      </c>
      <c r="J5" s="37">
        <f>BDbDT_calcs!J51</f>
        <v>36.309684873858508</v>
      </c>
      <c r="K5" s="37">
        <f>BDbDT_calcs!K51</f>
        <v>35.951245688904471</v>
      </c>
      <c r="L5" s="37">
        <f>BDbDT_calcs!L51</f>
        <v>35.606302853470218</v>
      </c>
      <c r="M5" s="37">
        <f>BDbDT_calcs!M51</f>
        <v>35.284170721205797</v>
      </c>
      <c r="N5" s="37">
        <f>BDbDT_calcs!N51</f>
        <v>34.958445985683682</v>
      </c>
      <c r="O5" s="37">
        <f>BDbDT_calcs!O51</f>
        <v>34.65625834545191</v>
      </c>
      <c r="P5" s="37">
        <f>BDbDT_calcs!P51</f>
        <v>34.350798924971613</v>
      </c>
      <c r="Q5" s="37">
        <f>BDbDT_calcs!Q51</f>
        <v>34.060287838611934</v>
      </c>
      <c r="R5" s="37">
        <f>BDbDT_calcs!R51</f>
        <v>33.775713854385288</v>
      </c>
      <c r="S5" s="37">
        <f>BDbDT_calcs!S51</f>
        <v>33.476135890251363</v>
      </c>
      <c r="T5" s="37">
        <f>BDbDT_calcs!T51</f>
        <v>33.182720006437798</v>
      </c>
      <c r="U5" s="37">
        <f>BDbDT_calcs!U51</f>
        <v>32.885872263470866</v>
      </c>
      <c r="V5" s="37">
        <f>BDbDT_calcs!V51</f>
        <v>32.604117630031929</v>
      </c>
      <c r="W5" s="37">
        <f>BDbDT_calcs!W51</f>
        <v>32.308664195931605</v>
      </c>
      <c r="X5" s="37">
        <f>BDbDT_calcs!X51</f>
        <v>32.027688727935093</v>
      </c>
      <c r="Y5" s="37">
        <f>BDbDT_calcs!Y51</f>
        <v>31.770961248352027</v>
      </c>
      <c r="Z5" s="37">
        <f>BDbDT_calcs!Z51</f>
        <v>31.509336901447348</v>
      </c>
      <c r="AA5" s="37">
        <f>BDbDT_calcs!AA51</f>
        <v>31.262032800037233</v>
      </c>
      <c r="AB5" s="37">
        <f>BDbDT_calcs!AB51</f>
        <v>31.009215851143349</v>
      </c>
    </row>
    <row r="6" spans="1:28" x14ac:dyDescent="0.25">
      <c r="A6" s="4" t="s">
        <v>219</v>
      </c>
      <c r="B6" s="37">
        <f>BDbDT_calcs!B52</f>
        <v>35.973331897171676</v>
      </c>
      <c r="C6" s="37">
        <f>BDbDT_calcs!C52</f>
        <v>36.266006379351701</v>
      </c>
      <c r="D6" s="37">
        <f>BDbDT_calcs!D52</f>
        <v>36.694593188064317</v>
      </c>
      <c r="E6" s="37">
        <f>BDbDT_calcs!E52</f>
        <v>37.169565535568779</v>
      </c>
      <c r="F6" s="37">
        <f>BDbDT_calcs!F52</f>
        <v>37.64947795005088</v>
      </c>
      <c r="G6" s="37">
        <f>BDbDT_calcs!G52</f>
        <v>38.134682896624597</v>
      </c>
      <c r="H6" s="37">
        <f>BDbDT_calcs!H52</f>
        <v>38.625753043054232</v>
      </c>
      <c r="I6" s="37">
        <f>BDbDT_calcs!I52</f>
        <v>39.051980910781701</v>
      </c>
      <c r="J6" s="37">
        <f>BDbDT_calcs!J52</f>
        <v>39.485437130439706</v>
      </c>
      <c r="K6" s="37">
        <f>BDbDT_calcs!K52</f>
        <v>40.014257630981639</v>
      </c>
      <c r="L6" s="37">
        <f>BDbDT_calcs!L52</f>
        <v>40.460929116667444</v>
      </c>
      <c r="M6" s="37">
        <f>BDbDT_calcs!M52</f>
        <v>40.914393473730996</v>
      </c>
      <c r="N6" s="37">
        <f>BDbDT_calcs!N52</f>
        <v>41.374930912308919</v>
      </c>
      <c r="O6" s="37">
        <f>BDbDT_calcs!O52</f>
        <v>41.84283105489763</v>
      </c>
      <c r="P6" s="37">
        <f>BDbDT_calcs!P52</f>
        <v>42.272189539188766</v>
      </c>
      <c r="Q6" s="37">
        <f>BDbDT_calcs!Q52</f>
        <v>42.755141993509582</v>
      </c>
      <c r="R6" s="37">
        <f>BDbDT_calcs!R52</f>
        <v>43.152365613772602</v>
      </c>
      <c r="S6" s="37">
        <f>BDbDT_calcs!S52</f>
        <v>43.588172952808662</v>
      </c>
      <c r="T6" s="37">
        <f>BDbDT_calcs!T52</f>
        <v>44.078630692704252</v>
      </c>
      <c r="U6" s="37">
        <f>BDbDT_calcs!U52</f>
        <v>44.481219116113529</v>
      </c>
      <c r="V6" s="37">
        <f>BDbDT_calcs!V52</f>
        <v>44.937938762839316</v>
      </c>
      <c r="W6" s="37">
        <f>BDbDT_calcs!W52</f>
        <v>45.400905309426548</v>
      </c>
      <c r="X6" s="37">
        <f>BDbDT_calcs!X52</f>
        <v>45.820841184443545</v>
      </c>
      <c r="Y6" s="37">
        <f>BDbDT_calcs!Y52</f>
        <v>46.343866650499699</v>
      </c>
      <c r="Z6" s="37">
        <f>BDbDT_calcs!Z52</f>
        <v>46.773602504150602</v>
      </c>
      <c r="AA6" s="37">
        <f>BDbDT_calcs!AA52</f>
        <v>47.207109781067558</v>
      </c>
      <c r="AB6" s="37">
        <f>BDbDT_calcs!AB52</f>
        <v>47.643841408851863</v>
      </c>
    </row>
    <row r="7" spans="1:28" x14ac:dyDescent="0.25">
      <c r="A7" s="4" t="s">
        <v>220</v>
      </c>
      <c r="B7" s="37">
        <f>BDbDT_calcs!B53</f>
        <v>63.51628109945883</v>
      </c>
      <c r="C7" s="37">
        <f>BDbDT_calcs!C53</f>
        <v>64.357173070423158</v>
      </c>
      <c r="D7" s="37">
        <f>BDbDT_calcs!D53</f>
        <v>65.316273047353874</v>
      </c>
      <c r="E7" s="37">
        <f>BDbDT_calcs!E53</f>
        <v>66.370725180324627</v>
      </c>
      <c r="F7" s="37">
        <f>BDbDT_calcs!F53</f>
        <v>67.394341102824967</v>
      </c>
      <c r="G7" s="37">
        <f>BDbDT_calcs!G53</f>
        <v>68.343271544778332</v>
      </c>
      <c r="H7" s="37">
        <f>BDbDT_calcs!H53</f>
        <v>69.479265111972367</v>
      </c>
      <c r="I7" s="37">
        <f>BDbDT_calcs!I53</f>
        <v>70.325999504481118</v>
      </c>
      <c r="J7" s="37">
        <f>BDbDT_calcs!J53</f>
        <v>71.231167131247076</v>
      </c>
      <c r="K7" s="37">
        <f>BDbDT_calcs!K53</f>
        <v>72.015028316382953</v>
      </c>
      <c r="L7" s="37">
        <f>BDbDT_calcs!L53</f>
        <v>72.855417673564844</v>
      </c>
      <c r="M7" s="37">
        <f>BDbDT_calcs!M53</f>
        <v>73.572697743542335</v>
      </c>
      <c r="N7" s="37">
        <f>BDbDT_calcs!N53</f>
        <v>74.392530233782423</v>
      </c>
      <c r="O7" s="37">
        <f>BDbDT_calcs!O53</f>
        <v>75.133693719340982</v>
      </c>
      <c r="P7" s="37">
        <f>BDbDT_calcs!P53</f>
        <v>75.794709882130462</v>
      </c>
      <c r="Q7" s="37">
        <f>BDbDT_calcs!Q53</f>
        <v>76.373885217296973</v>
      </c>
      <c r="R7" s="37">
        <f>BDbDT_calcs!R53</f>
        <v>76.963111603530081</v>
      </c>
      <c r="S7" s="37">
        <f>BDbDT_calcs!S53</f>
        <v>77.488251783038862</v>
      </c>
      <c r="T7" s="37">
        <f>BDbDT_calcs!T53</f>
        <v>77.83269267783038</v>
      </c>
      <c r="U7" s="37">
        <f>BDbDT_calcs!U53</f>
        <v>78.279145701851874</v>
      </c>
      <c r="V7" s="37">
        <f>BDbDT_calcs!V53</f>
        <v>78.636142975747163</v>
      </c>
      <c r="W7" s="37">
        <f>BDbDT_calcs!W53</f>
        <v>78.997818753812268</v>
      </c>
      <c r="X7" s="37">
        <f>BDbDT_calcs!X53</f>
        <v>79.460955694324312</v>
      </c>
      <c r="Y7" s="37">
        <f>BDbDT_calcs!Y53</f>
        <v>79.780979744032535</v>
      </c>
      <c r="Z7" s="37">
        <f>BDbDT_calcs!Z53</f>
        <v>80.251219036533726</v>
      </c>
      <c r="AA7" s="37">
        <f>BDbDT_calcs!AA53</f>
        <v>80.574337000261849</v>
      </c>
      <c r="AB7" s="37">
        <f>BDbDT_calcs!AB53</f>
        <v>81.047826518098901</v>
      </c>
    </row>
    <row r="8" spans="1:28" x14ac:dyDescent="0.25">
      <c r="A8" s="4" t="s">
        <v>221</v>
      </c>
      <c r="B8" s="37">
        <f>BDbDT_calcs!B54</f>
        <v>69.611025919413692</v>
      </c>
      <c r="C8" s="37">
        <f>BDbDT_calcs!C54</f>
        <v>70.225015554799484</v>
      </c>
      <c r="D8" s="37">
        <f>BDbDT_calcs!D54</f>
        <v>71.13951511619031</v>
      </c>
      <c r="E8" s="37">
        <f>BDbDT_calcs!E54</f>
        <v>72.081114177429001</v>
      </c>
      <c r="F8" s="37">
        <f>BDbDT_calcs!F54</f>
        <v>73.088626873336466</v>
      </c>
      <c r="G8" s="37">
        <f>BDbDT_calcs!G54</f>
        <v>74.032400909948251</v>
      </c>
      <c r="H8" s="37">
        <f>BDbDT_calcs!H54</f>
        <v>74.968617080891576</v>
      </c>
      <c r="I8" s="37">
        <f>BDbDT_calcs!I54</f>
        <v>75.759633157644018</v>
      </c>
      <c r="J8" s="37">
        <f>BDbDT_calcs!J54</f>
        <v>76.525757626739434</v>
      </c>
      <c r="K8" s="37">
        <f>BDbDT_calcs!K54</f>
        <v>77.264116916055968</v>
      </c>
      <c r="L8" s="37">
        <f>BDbDT_calcs!L54</f>
        <v>77.95506873019788</v>
      </c>
      <c r="M8" s="37">
        <f>BDbDT_calcs!M54</f>
        <v>78.597994577389045</v>
      </c>
      <c r="N8" s="37">
        <f>BDbDT_calcs!N54</f>
        <v>79.192175634353589</v>
      </c>
      <c r="O8" s="37">
        <f>BDbDT_calcs!O54</f>
        <v>79.73686552006123</v>
      </c>
      <c r="P8" s="37">
        <f>BDbDT_calcs!P54</f>
        <v>80.171129831945635</v>
      </c>
      <c r="Q8" s="37">
        <f>BDbDT_calcs!Q54</f>
        <v>80.553092756583695</v>
      </c>
      <c r="R8" s="37">
        <f>BDbDT_calcs!R54</f>
        <v>80.820601690978336</v>
      </c>
      <c r="S8" s="37">
        <f>BDbDT_calcs!S54</f>
        <v>81.065460979131274</v>
      </c>
      <c r="T8" s="37">
        <f>BDbDT_calcs!T54</f>
        <v>81.233603926671123</v>
      </c>
      <c r="U8" s="37">
        <f>BDbDT_calcs!U54</f>
        <v>81.322779430924101</v>
      </c>
      <c r="V8" s="37">
        <f>BDbDT_calcs!V54</f>
        <v>81.413876911490419</v>
      </c>
      <c r="W8" s="37">
        <f>BDbDT_calcs!W54</f>
        <v>81.400792498129775</v>
      </c>
      <c r="X8" s="37">
        <f>BDbDT_calcs!X54</f>
        <v>81.491893523909667</v>
      </c>
      <c r="Y8" s="37">
        <f>BDbDT_calcs!Y54</f>
        <v>81.560851818360163</v>
      </c>
      <c r="Z8" s="37">
        <f>BDbDT_calcs!Z54</f>
        <v>81.627658458432194</v>
      </c>
      <c r="AA8" s="37">
        <f>BDbDT_calcs!AA54</f>
        <v>81.71288399870177</v>
      </c>
      <c r="AB8" s="37">
        <f>BDbDT_calcs!AB54</f>
        <v>81.837724962494335</v>
      </c>
    </row>
    <row r="9" spans="1:28" x14ac:dyDescent="0.25">
      <c r="A9" s="4" t="s">
        <v>222</v>
      </c>
      <c r="B9" s="37">
        <f>BDbDT_calcs!B55</f>
        <v>325.2783792941255</v>
      </c>
      <c r="C9" s="37">
        <f>BDbDT_calcs!C55</f>
        <v>323.58680016341344</v>
      </c>
      <c r="D9" s="37">
        <f>BDbDT_calcs!D55</f>
        <v>322.97640336885922</v>
      </c>
      <c r="E9" s="37">
        <f>BDbDT_calcs!E55</f>
        <v>322.27475154574626</v>
      </c>
      <c r="F9" s="37">
        <f>BDbDT_calcs!F55</f>
        <v>321.35636456972941</v>
      </c>
      <c r="G9" s="37">
        <f>BDbDT_calcs!G55</f>
        <v>320.45143856787433</v>
      </c>
      <c r="H9" s="37">
        <f>BDbDT_calcs!H55</f>
        <v>319.46081947779521</v>
      </c>
      <c r="I9" s="37">
        <f>BDbDT_calcs!I55</f>
        <v>317.83283177115135</v>
      </c>
      <c r="J9" s="37">
        <f>BDbDT_calcs!J55</f>
        <v>316.14423591068947</v>
      </c>
      <c r="K9" s="37">
        <f>BDbDT_calcs!K55</f>
        <v>314.35696671663334</v>
      </c>
      <c r="L9" s="37">
        <f>BDbDT_calcs!L55</f>
        <v>312.52395241054404</v>
      </c>
      <c r="M9" s="37">
        <f>BDbDT_calcs!M55</f>
        <v>310.61847023369705</v>
      </c>
      <c r="N9" s="37">
        <f>BDbDT_calcs!N55</f>
        <v>308.69400473717349</v>
      </c>
      <c r="O9" s="37">
        <f>BDbDT_calcs!O55</f>
        <v>306.64170252519284</v>
      </c>
      <c r="P9" s="37">
        <f>BDbDT_calcs!P55</f>
        <v>304.54159572978864</v>
      </c>
      <c r="Q9" s="37">
        <f>BDbDT_calcs!Q55</f>
        <v>302.39226115122625</v>
      </c>
      <c r="R9" s="37">
        <f>BDbDT_calcs!R55</f>
        <v>300.21973416124399</v>
      </c>
      <c r="S9" s="37">
        <f>BDbDT_calcs!S55</f>
        <v>297.83464835081111</v>
      </c>
      <c r="T9" s="37">
        <f>BDbDT_calcs!T55</f>
        <v>295.48145016482414</v>
      </c>
      <c r="U9" s="37">
        <f>BDbDT_calcs!U55</f>
        <v>293.21510712948833</v>
      </c>
      <c r="V9" s="37">
        <f>BDbDT_calcs!V55</f>
        <v>290.97666885321257</v>
      </c>
      <c r="W9" s="37">
        <f>BDbDT_calcs!W55</f>
        <v>288.90718442607186</v>
      </c>
      <c r="X9" s="37">
        <f>BDbDT_calcs!X55</f>
        <v>286.86120329502467</v>
      </c>
      <c r="Y9" s="37">
        <f>BDbDT_calcs!Y55</f>
        <v>284.92485896714231</v>
      </c>
      <c r="Z9" s="37">
        <f>BDbDT_calcs!Z55</f>
        <v>283.0677331895522</v>
      </c>
      <c r="AA9" s="37">
        <f>BDbDT_calcs!AA55</f>
        <v>281.25862881714062</v>
      </c>
      <c r="AB9" s="37">
        <f>BDbDT_calcs!AB55</f>
        <v>279.52546102156253</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B9"/>
  <sheetViews>
    <sheetView workbookViewId="0">
      <pane xSplit="1" ySplit="1" topLeftCell="B2" activePane="bottomRight" state="frozen"/>
      <selection pane="topRight"/>
      <selection pane="bottomLeft"/>
      <selection pane="bottomRight"/>
    </sheetView>
  </sheetViews>
  <sheetFormatPr defaultRowHeight="15" x14ac:dyDescent="0.25"/>
  <cols>
    <col min="1" max="1" width="18" customWidth="1"/>
    <col min="2" max="28" width="11" customWidth="1"/>
  </cols>
  <sheetData>
    <row r="1" spans="1:28" x14ac:dyDescent="0.25">
      <c r="B1" s="4">
        <v>2024</v>
      </c>
      <c r="C1" s="4">
        <v>2025</v>
      </c>
      <c r="D1" s="4">
        <v>2026</v>
      </c>
      <c r="E1" s="4">
        <v>2027</v>
      </c>
      <c r="F1" s="4">
        <v>2028</v>
      </c>
      <c r="G1" s="4">
        <v>2029</v>
      </c>
      <c r="H1" s="4">
        <v>2030</v>
      </c>
      <c r="I1" s="4">
        <v>2031</v>
      </c>
      <c r="J1" s="4">
        <v>2032</v>
      </c>
      <c r="K1" s="4">
        <v>2033</v>
      </c>
      <c r="L1" s="4">
        <v>2034</v>
      </c>
      <c r="M1" s="4">
        <v>2035</v>
      </c>
      <c r="N1" s="4">
        <v>2036</v>
      </c>
      <c r="O1" s="4">
        <v>2037</v>
      </c>
      <c r="P1" s="4">
        <v>2038</v>
      </c>
      <c r="Q1" s="4">
        <v>2039</v>
      </c>
      <c r="R1" s="4">
        <v>2040</v>
      </c>
      <c r="S1" s="4">
        <v>2041</v>
      </c>
      <c r="T1" s="4">
        <v>2042</v>
      </c>
      <c r="U1" s="4">
        <v>2043</v>
      </c>
      <c r="V1" s="4">
        <v>2044</v>
      </c>
      <c r="W1" s="4">
        <v>2045</v>
      </c>
      <c r="X1" s="4">
        <v>2046</v>
      </c>
      <c r="Y1" s="4">
        <v>2047</v>
      </c>
      <c r="Z1" s="4">
        <v>2048</v>
      </c>
      <c r="AA1" s="4">
        <v>2049</v>
      </c>
      <c r="AB1" s="4">
        <v>2050</v>
      </c>
    </row>
    <row r="2" spans="1:28" x14ac:dyDescent="0.25">
      <c r="A2" s="4" t="s">
        <v>215</v>
      </c>
      <c r="B2" s="37">
        <f>BDbDT_calcs!B58</f>
        <v>35710.332914791805</v>
      </c>
      <c r="C2" s="37">
        <f>BDbDT_calcs!C58</f>
        <v>36529.345054939477</v>
      </c>
      <c r="D2" s="37">
        <f>BDbDT_calcs!D58</f>
        <v>37486.612325709873</v>
      </c>
      <c r="E2" s="37">
        <f>BDbDT_calcs!E58</f>
        <v>38453.645082496521</v>
      </c>
      <c r="F2" s="37">
        <f>BDbDT_calcs!F58</f>
        <v>39433.728872898173</v>
      </c>
      <c r="G2" s="37">
        <f>BDbDT_calcs!G58</f>
        <v>40428.089651716815</v>
      </c>
      <c r="H2" s="37">
        <f>BDbDT_calcs!H58</f>
        <v>41434.02248821895</v>
      </c>
      <c r="I2" s="37">
        <f>BDbDT_calcs!I58</f>
        <v>42371.674132852648</v>
      </c>
      <c r="J2" s="37">
        <f>BDbDT_calcs!J58</f>
        <v>43310.667388639173</v>
      </c>
      <c r="K2" s="37">
        <f>BDbDT_calcs!K58</f>
        <v>44250.087214909727</v>
      </c>
      <c r="L2" s="37">
        <f>BDbDT_calcs!L58</f>
        <v>45185.992990037143</v>
      </c>
      <c r="M2" s="37">
        <f>BDbDT_calcs!M58</f>
        <v>46117.371073872651</v>
      </c>
      <c r="N2" s="37">
        <f>BDbDT_calcs!N58</f>
        <v>47039.2055097056</v>
      </c>
      <c r="O2" s="37">
        <f>BDbDT_calcs!O58</f>
        <v>47949.339488746482</v>
      </c>
      <c r="P2" s="37">
        <f>BDbDT_calcs!P58</f>
        <v>48841.161454794681</v>
      </c>
      <c r="Q2" s="37">
        <f>BDbDT_calcs!Q58</f>
        <v>49713.119578379446</v>
      </c>
      <c r="R2" s="37">
        <f>BDbDT_calcs!R58</f>
        <v>50557.0359218585</v>
      </c>
      <c r="S2" s="37">
        <f>BDbDT_calcs!S58</f>
        <v>51354.756624484035</v>
      </c>
      <c r="T2" s="37">
        <f>BDbDT_calcs!T58</f>
        <v>52120.44724098764</v>
      </c>
      <c r="U2" s="37">
        <f>BDbDT_calcs!U58</f>
        <v>52856.026270752256</v>
      </c>
      <c r="V2" s="37">
        <f>BDbDT_calcs!V58</f>
        <v>53547.83314250884</v>
      </c>
      <c r="W2" s="37">
        <f>BDbDT_calcs!W58</f>
        <v>54197.859537596458</v>
      </c>
      <c r="X2" s="37">
        <f>BDbDT_calcs!X58</f>
        <v>54801.963635713837</v>
      </c>
      <c r="Y2" s="37">
        <f>BDbDT_calcs!Y58</f>
        <v>55381.709134599638</v>
      </c>
      <c r="Z2" s="37">
        <f>BDbDT_calcs!Z58</f>
        <v>55915.999551738882</v>
      </c>
      <c r="AA2" s="37">
        <f>BDbDT_calcs!AA58</f>
        <v>56407.100432919746</v>
      </c>
      <c r="AB2" s="37">
        <f>BDbDT_calcs!AB58</f>
        <v>56859.027840106959</v>
      </c>
    </row>
    <row r="3" spans="1:28" x14ac:dyDescent="0.25">
      <c r="A3" s="4" t="s">
        <v>216</v>
      </c>
      <c r="B3" s="37">
        <f>BDbDT_calcs!B59</f>
        <v>32533.32074494498</v>
      </c>
      <c r="C3" s="37">
        <f>BDbDT_calcs!C59</f>
        <v>33193.271850252357</v>
      </c>
      <c r="D3" s="37">
        <f>BDbDT_calcs!D59</f>
        <v>33980.174958976699</v>
      </c>
      <c r="E3" s="37">
        <f>BDbDT_calcs!E59</f>
        <v>34792.184579512868</v>
      </c>
      <c r="F3" s="37">
        <f>BDbDT_calcs!F59</f>
        <v>35639.685012376212</v>
      </c>
      <c r="G3" s="37">
        <f>BDbDT_calcs!G59</f>
        <v>36525.304768714042</v>
      </c>
      <c r="H3" s="37">
        <f>BDbDT_calcs!H59</f>
        <v>37453.225929862376</v>
      </c>
      <c r="I3" s="37">
        <f>BDbDT_calcs!I59</f>
        <v>38350.685484637143</v>
      </c>
      <c r="J3" s="37">
        <f>BDbDT_calcs!J59</f>
        <v>39284.834274603229</v>
      </c>
      <c r="K3" s="37">
        <f>BDbDT_calcs!K59</f>
        <v>40246.186320762878</v>
      </c>
      <c r="L3" s="37">
        <f>BDbDT_calcs!L59</f>
        <v>41234.313273389474</v>
      </c>
      <c r="M3" s="37">
        <f>BDbDT_calcs!M59</f>
        <v>42247.077687776073</v>
      </c>
      <c r="N3" s="37">
        <f>BDbDT_calcs!N59</f>
        <v>43275.733643539897</v>
      </c>
      <c r="O3" s="37">
        <f>BDbDT_calcs!O59</f>
        <v>44311.711998608123</v>
      </c>
      <c r="P3" s="37">
        <f>BDbDT_calcs!P59</f>
        <v>45353.022711170423</v>
      </c>
      <c r="Q3" s="37">
        <f>BDbDT_calcs!Q59</f>
        <v>46386.997963747548</v>
      </c>
      <c r="R3" s="37">
        <f>BDbDT_calcs!R59</f>
        <v>47409.722698442114</v>
      </c>
      <c r="S3" s="37">
        <f>BDbDT_calcs!S59</f>
        <v>48395.255029752254</v>
      </c>
      <c r="T3" s="37">
        <f>BDbDT_calcs!T59</f>
        <v>49355.935461576584</v>
      </c>
      <c r="U3" s="37">
        <f>BDbDT_calcs!U59</f>
        <v>50286.403996961089</v>
      </c>
      <c r="V3" s="37">
        <f>BDbDT_calcs!V59</f>
        <v>51174.298070154327</v>
      </c>
      <c r="W3" s="37">
        <f>BDbDT_calcs!W59</f>
        <v>52008.051775408559</v>
      </c>
      <c r="X3" s="37">
        <f>BDbDT_calcs!X59</f>
        <v>52788.996062908576</v>
      </c>
      <c r="Y3" s="37">
        <f>BDbDT_calcs!Y59</f>
        <v>53540.497187483219</v>
      </c>
      <c r="Z3" s="37">
        <f>BDbDT_calcs!Z59</f>
        <v>54238.470611650526</v>
      </c>
      <c r="AA3" s="37">
        <f>BDbDT_calcs!AA59</f>
        <v>54873.066289383045</v>
      </c>
      <c r="AB3" s="37">
        <f>BDbDT_calcs!AB59</f>
        <v>55443.588044278804</v>
      </c>
    </row>
    <row r="4" spans="1:28" x14ac:dyDescent="0.25">
      <c r="A4" s="4" t="s">
        <v>217</v>
      </c>
      <c r="B4" s="37">
        <f>BDbDT_calcs!B60</f>
        <v>55389.877419509859</v>
      </c>
      <c r="C4" s="37">
        <f>BDbDT_calcs!C60</f>
        <v>56577.705153654846</v>
      </c>
      <c r="D4" s="37">
        <f>BDbDT_calcs!D60</f>
        <v>57975.91173556455</v>
      </c>
      <c r="E4" s="37">
        <f>BDbDT_calcs!E60</f>
        <v>59396.809748160587</v>
      </c>
      <c r="F4" s="37">
        <f>BDbDT_calcs!F60</f>
        <v>60852.896262200251</v>
      </c>
      <c r="G4" s="37">
        <f>BDbDT_calcs!G60</f>
        <v>62344.994757168242</v>
      </c>
      <c r="H4" s="37">
        <f>BDbDT_calcs!H60</f>
        <v>63875.996007959868</v>
      </c>
      <c r="I4" s="37">
        <f>BDbDT_calcs!I60</f>
        <v>65320.951604423994</v>
      </c>
      <c r="J4" s="37">
        <f>BDbDT_calcs!J60</f>
        <v>66791.481020563471</v>
      </c>
      <c r="K4" s="37">
        <f>BDbDT_calcs!K60</f>
        <v>68275.997459633872</v>
      </c>
      <c r="L4" s="37">
        <f>BDbDT_calcs!L60</f>
        <v>69770.915614890822</v>
      </c>
      <c r="M4" s="37">
        <f>BDbDT_calcs!M60</f>
        <v>71273.492868701855</v>
      </c>
      <c r="N4" s="37">
        <f>BDbDT_calcs!N60</f>
        <v>72770.636060001285</v>
      </c>
      <c r="O4" s="37">
        <f>BDbDT_calcs!O60</f>
        <v>74254.707762581951</v>
      </c>
      <c r="P4" s="37">
        <f>BDbDT_calcs!P60</f>
        <v>75715.548750138973</v>
      </c>
      <c r="Q4" s="37">
        <f>BDbDT_calcs!Q60</f>
        <v>77142.159301701569</v>
      </c>
      <c r="R4" s="37">
        <f>BDbDT_calcs!R60</f>
        <v>78523.624584098652</v>
      </c>
      <c r="S4" s="37">
        <f>BDbDT_calcs!S60</f>
        <v>79824.164437744956</v>
      </c>
      <c r="T4" s="37">
        <f>BDbDT_calcs!T60</f>
        <v>81065.1457691463</v>
      </c>
      <c r="U4" s="37">
        <f>BDbDT_calcs!U60</f>
        <v>82244.756881001827</v>
      </c>
      <c r="V4" s="37">
        <f>BDbDT_calcs!V60</f>
        <v>83339.187014835552</v>
      </c>
      <c r="W4" s="37">
        <f>BDbDT_calcs!W60</f>
        <v>84339.83278266227</v>
      </c>
      <c r="X4" s="37">
        <f>BDbDT_calcs!X60</f>
        <v>85246.033147898066</v>
      </c>
      <c r="Y4" s="37">
        <f>BDbDT_calcs!Y60</f>
        <v>86099.188318617162</v>
      </c>
      <c r="Z4" s="37">
        <f>BDbDT_calcs!Z60</f>
        <v>86858.987648115886</v>
      </c>
      <c r="AA4" s="37">
        <f>BDbDT_calcs!AA60</f>
        <v>87517.636955079317</v>
      </c>
      <c r="AB4" s="37">
        <f>BDbDT_calcs!AB60</f>
        <v>88080.134404194323</v>
      </c>
    </row>
    <row r="5" spans="1:28" x14ac:dyDescent="0.25">
      <c r="A5" s="4" t="s">
        <v>218</v>
      </c>
      <c r="B5" s="37">
        <f>BDbDT_calcs!B61</f>
        <v>2981.8698448127284</v>
      </c>
      <c r="C5" s="37">
        <f>BDbDT_calcs!C61</f>
        <v>3040.8844967463333</v>
      </c>
      <c r="D5" s="37">
        <f>BDbDT_calcs!D61</f>
        <v>3111.6429409993279</v>
      </c>
      <c r="E5" s="37">
        <f>BDbDT_calcs!E61</f>
        <v>3183.4163521626542</v>
      </c>
      <c r="F5" s="37">
        <f>BDbDT_calcs!F61</f>
        <v>3257.2681059132333</v>
      </c>
      <c r="G5" s="37">
        <f>BDbDT_calcs!G61</f>
        <v>3333.3310474898094</v>
      </c>
      <c r="H5" s="37">
        <f>BDbDT_calcs!H61</f>
        <v>3411.5714011092418</v>
      </c>
      <c r="I5" s="37">
        <f>BDbDT_calcs!I61</f>
        <v>3485.8176408493355</v>
      </c>
      <c r="J5" s="37">
        <f>BDbDT_calcs!J61</f>
        <v>3562.1357490327341</v>
      </c>
      <c r="K5" s="37">
        <f>BDbDT_calcs!K61</f>
        <v>3640.3365174355531</v>
      </c>
      <c r="L5" s="37">
        <f>BDbDT_calcs!L61</f>
        <v>3720.4598717743957</v>
      </c>
      <c r="M5" s="37">
        <f>BDbDT_calcs!M61</f>
        <v>3802.3489209182094</v>
      </c>
      <c r="N5" s="37">
        <f>BDbDT_calcs!N61</f>
        <v>3886.2169061181617</v>
      </c>
      <c r="O5" s="37">
        <f>BDbDT_calcs!O61</f>
        <v>3971.1079826255664</v>
      </c>
      <c r="P5" s="37">
        <f>BDbDT_calcs!P61</f>
        <v>4057.4741135279833</v>
      </c>
      <c r="Q5" s="37">
        <f>BDbDT_calcs!Q61</f>
        <v>4144.5060800928104</v>
      </c>
      <c r="R5" s="37">
        <f>BDbDT_calcs!R61</f>
        <v>4232.1052582712573</v>
      </c>
      <c r="S5" s="37">
        <f>BDbDT_calcs!S61</f>
        <v>4318.7841879812368</v>
      </c>
      <c r="T5" s="37">
        <f>BDbDT_calcs!T61</f>
        <v>4405.1652530442652</v>
      </c>
      <c r="U5" s="37">
        <f>BDbDT_calcs!U61</f>
        <v>4491.28806451943</v>
      </c>
      <c r="V5" s="37">
        <f>BDbDT_calcs!V61</f>
        <v>4576.5965069114063</v>
      </c>
      <c r="W5" s="37">
        <f>BDbDT_calcs!W61</f>
        <v>4660.1925444801191</v>
      </c>
      <c r="X5" s="37">
        <f>BDbDT_calcs!X61</f>
        <v>4741.6964273233407</v>
      </c>
      <c r="Y5" s="37">
        <f>BDbDT_calcs!Y61</f>
        <v>4822.2422732861933</v>
      </c>
      <c r="Z5" s="37">
        <f>BDbDT_calcs!Z61</f>
        <v>4900.4442036135342</v>
      </c>
      <c r="AA5" s="37">
        <f>BDbDT_calcs!AA61</f>
        <v>4976.1817804673483</v>
      </c>
      <c r="AB5" s="37">
        <f>BDbDT_calcs!AB61</f>
        <v>5048.8551380382341</v>
      </c>
    </row>
    <row r="6" spans="1:28" x14ac:dyDescent="0.25">
      <c r="A6" s="4" t="s">
        <v>219</v>
      </c>
      <c r="B6" s="37">
        <f>BDbDT_calcs!B62</f>
        <v>5091.1247522253898</v>
      </c>
      <c r="C6" s="37">
        <f>BDbDT_calcs!C62</f>
        <v>5235.1491292193314</v>
      </c>
      <c r="D6" s="37">
        <f>BDbDT_calcs!D62</f>
        <v>5403.7973114944352</v>
      </c>
      <c r="E6" s="37">
        <f>BDbDT_calcs!E62</f>
        <v>5582.732184763081</v>
      </c>
      <c r="F6" s="37">
        <f>BDbDT_calcs!F62</f>
        <v>5773.837882470204</v>
      </c>
      <c r="G6" s="37">
        <f>BDbDT_calcs!G62</f>
        <v>5977.2970088343009</v>
      </c>
      <c r="H6" s="37">
        <f>BDbDT_calcs!H62</f>
        <v>6193.8122883637343</v>
      </c>
      <c r="I6" s="37">
        <f>BDbDT_calcs!I62</f>
        <v>6412.0534925201073</v>
      </c>
      <c r="J6" s="37">
        <f>BDbDT_calcs!J62</f>
        <v>6640.1121861689826</v>
      </c>
      <c r="K6" s="37">
        <f>BDbDT_calcs!K62</f>
        <v>6876.8315806877008</v>
      </c>
      <c r="L6" s="37">
        <f>BDbDT_calcs!L62</f>
        <v>7124.1322728695595</v>
      </c>
      <c r="M6" s="37">
        <f>BDbDT_calcs!M62</f>
        <v>7380.8209548374025</v>
      </c>
      <c r="N6" s="37">
        <f>BDbDT_calcs!N62</f>
        <v>7646.1236461752496</v>
      </c>
      <c r="O6" s="37">
        <f>BDbDT_calcs!O62</f>
        <v>7918.8359797180692</v>
      </c>
      <c r="P6" s="37">
        <f>BDbDT_calcs!P62</f>
        <v>8198.3588906402001</v>
      </c>
      <c r="Q6" s="37">
        <f>BDbDT_calcs!Q62</f>
        <v>8483.2243202578611</v>
      </c>
      <c r="R6" s="37">
        <f>BDbDT_calcs!R62</f>
        <v>8772.7074384814787</v>
      </c>
      <c r="S6" s="37">
        <f>BDbDT_calcs!S62</f>
        <v>9062.1932074600427</v>
      </c>
      <c r="T6" s="37">
        <f>BDbDT_calcs!T62</f>
        <v>9354.8234495532361</v>
      </c>
      <c r="U6" s="37">
        <f>BDbDT_calcs!U62</f>
        <v>9648.5545387998536</v>
      </c>
      <c r="V6" s="37">
        <f>BDbDT_calcs!V62</f>
        <v>9943.6496167609894</v>
      </c>
      <c r="W6" s="37">
        <f>BDbDT_calcs!W62</f>
        <v>10239.381978238265</v>
      </c>
      <c r="X6" s="37">
        <f>BDbDT_calcs!X62</f>
        <v>10536.548787976346</v>
      </c>
      <c r="Y6" s="37">
        <f>BDbDT_calcs!Y62</f>
        <v>10834.390042597255</v>
      </c>
      <c r="Z6" s="37">
        <f>BDbDT_calcs!Z62</f>
        <v>11133.156809376822</v>
      </c>
      <c r="AA6" s="37">
        <f>BDbDT_calcs!AA62</f>
        <v>11432.644765299832</v>
      </c>
      <c r="AB6" s="37">
        <f>BDbDT_calcs!AB62</f>
        <v>11731.931966054939</v>
      </c>
    </row>
    <row r="7" spans="1:28" x14ac:dyDescent="0.25">
      <c r="A7" s="4" t="s">
        <v>220</v>
      </c>
      <c r="B7" s="37">
        <f>BDbDT_calcs!B63</f>
        <v>2800.6161019960987</v>
      </c>
      <c r="C7" s="37">
        <f>BDbDT_calcs!C63</f>
        <v>2875.8114182017375</v>
      </c>
      <c r="D7" s="37">
        <f>BDbDT_calcs!D63</f>
        <v>2964.9179856816686</v>
      </c>
      <c r="E7" s="37">
        <f>BDbDT_calcs!E63</f>
        <v>3060.7460373242043</v>
      </c>
      <c r="F7" s="37">
        <f>BDbDT_calcs!F63</f>
        <v>3158.3556465035531</v>
      </c>
      <c r="G7" s="37">
        <f>BDbDT_calcs!G63</f>
        <v>3262.3158850675309</v>
      </c>
      <c r="H7" s="37">
        <f>BDbDT_calcs!H63</f>
        <v>3369.7881657901248</v>
      </c>
      <c r="I7" s="37">
        <f>BDbDT_calcs!I63</f>
        <v>3473.8398263069303</v>
      </c>
      <c r="J7" s="37">
        <f>BDbDT_calcs!J63</f>
        <v>3580.7752384114692</v>
      </c>
      <c r="K7" s="37">
        <f>BDbDT_calcs!K63</f>
        <v>3694.5228453700702</v>
      </c>
      <c r="L7" s="37">
        <f>BDbDT_calcs!L63</f>
        <v>3811.6425462487578</v>
      </c>
      <c r="M7" s="37">
        <f>BDbDT_calcs!M63</f>
        <v>3933.3548856418365</v>
      </c>
      <c r="N7" s="37">
        <f>BDbDT_calcs!N63</f>
        <v>4057.99400674143</v>
      </c>
      <c r="O7" s="37">
        <f>BDbDT_calcs!O63</f>
        <v>4185.9151707949522</v>
      </c>
      <c r="P7" s="37">
        <f>BDbDT_calcs!P63</f>
        <v>4318.2649466748426</v>
      </c>
      <c r="Q7" s="37">
        <f>BDbDT_calcs!Q63</f>
        <v>4454.5382705167131</v>
      </c>
      <c r="R7" s="37">
        <f>BDbDT_calcs!R63</f>
        <v>4593.9290690460339</v>
      </c>
      <c r="S7" s="37">
        <f>BDbDT_calcs!S63</f>
        <v>4733.4373438453995</v>
      </c>
      <c r="T7" s="37">
        <f>BDbDT_calcs!T63</f>
        <v>4875.9473498996122</v>
      </c>
      <c r="U7" s="37">
        <f>BDbDT_calcs!U63</f>
        <v>5020.2004688498155</v>
      </c>
      <c r="V7" s="37">
        <f>BDbDT_calcs!V63</f>
        <v>5164.737066963472</v>
      </c>
      <c r="W7" s="37">
        <f>BDbDT_calcs!W63</f>
        <v>5312.7003601112638</v>
      </c>
      <c r="X7" s="37">
        <f>BDbDT_calcs!X63</f>
        <v>5461.5479381562063</v>
      </c>
      <c r="Y7" s="37">
        <f>BDbDT_calcs!Y63</f>
        <v>5612.8207846816531</v>
      </c>
      <c r="Z7" s="37">
        <f>BDbDT_calcs!Z63</f>
        <v>5764.3573273486991</v>
      </c>
      <c r="AA7" s="37">
        <f>BDbDT_calcs!AA63</f>
        <v>5916.9719446214594</v>
      </c>
      <c r="AB7" s="37">
        <f>BDbDT_calcs!AB63</f>
        <v>6071.5480957354985</v>
      </c>
    </row>
    <row r="8" spans="1:28" x14ac:dyDescent="0.25">
      <c r="A8" s="4" t="s">
        <v>221</v>
      </c>
      <c r="B8" s="37">
        <f>BDbDT_calcs!B64</f>
        <v>4532.4190242609138</v>
      </c>
      <c r="C8" s="37">
        <f>BDbDT_calcs!C64</f>
        <v>4713.997550499761</v>
      </c>
      <c r="D8" s="37">
        <f>BDbDT_calcs!D64</f>
        <v>4918.2097241502024</v>
      </c>
      <c r="E8" s="37">
        <f>BDbDT_calcs!E64</f>
        <v>5129.2358119878045</v>
      </c>
      <c r="F8" s="37">
        <f>BDbDT_calcs!F64</f>
        <v>5347.2468106700771</v>
      </c>
      <c r="G8" s="37">
        <f>BDbDT_calcs!G64</f>
        <v>5573.017624574406</v>
      </c>
      <c r="H8" s="37">
        <f>BDbDT_calcs!H64</f>
        <v>5808.5213944367533</v>
      </c>
      <c r="I8" s="37">
        <f>BDbDT_calcs!I64</f>
        <v>6042.9718176977512</v>
      </c>
      <c r="J8" s="37">
        <f>BDbDT_calcs!J64</f>
        <v>6285.3770725347276</v>
      </c>
      <c r="K8" s="37">
        <f>BDbDT_calcs!K64</f>
        <v>6537.3221567382116</v>
      </c>
      <c r="L8" s="37">
        <f>BDbDT_calcs!L64</f>
        <v>6800.0896010931083</v>
      </c>
      <c r="M8" s="37">
        <f>BDbDT_calcs!M64</f>
        <v>7072.1918588836952</v>
      </c>
      <c r="N8" s="37">
        <f>BDbDT_calcs!N64</f>
        <v>7355.6322596501122</v>
      </c>
      <c r="O8" s="37">
        <f>BDbDT_calcs!O64</f>
        <v>7649.3716120673853</v>
      </c>
      <c r="P8" s="37">
        <f>BDbDT_calcs!P64</f>
        <v>7953.2363102123563</v>
      </c>
      <c r="Q8" s="37">
        <f>BDbDT_calcs!Q64</f>
        <v>8267.7388280780087</v>
      </c>
      <c r="R8" s="37">
        <f>BDbDT_calcs!R64</f>
        <v>8591.3659803567061</v>
      </c>
      <c r="S8" s="37">
        <f>BDbDT_calcs!S64</f>
        <v>8921.1252080846716</v>
      </c>
      <c r="T8" s="37">
        <f>BDbDT_calcs!T64</f>
        <v>9259.8899280201986</v>
      </c>
      <c r="U8" s="37">
        <f>BDbDT_calcs!U64</f>
        <v>9607.1548342700717</v>
      </c>
      <c r="V8" s="37">
        <f>BDbDT_calcs!V64</f>
        <v>9961.7318556840146</v>
      </c>
      <c r="W8" s="37">
        <f>BDbDT_calcs!W64</f>
        <v>10322.305659389098</v>
      </c>
      <c r="X8" s="37">
        <f>BDbDT_calcs!X64</f>
        <v>10690.170092643242</v>
      </c>
      <c r="Y8" s="37">
        <f>BDbDT_calcs!Y64</f>
        <v>11063.220060305757</v>
      </c>
      <c r="Z8" s="37">
        <f>BDbDT_calcs!Z64</f>
        <v>11441.31219317445</v>
      </c>
      <c r="AA8" s="37">
        <f>BDbDT_calcs!AA64</f>
        <v>11821.858522287966</v>
      </c>
      <c r="AB8" s="37">
        <f>BDbDT_calcs!AB64</f>
        <v>12204.469941047275</v>
      </c>
    </row>
    <row r="9" spans="1:28" x14ac:dyDescent="0.25">
      <c r="A9" s="4" t="s">
        <v>222</v>
      </c>
      <c r="B9" s="37">
        <f>BDbDT_calcs!B65</f>
        <v>65796.247698971114</v>
      </c>
      <c r="C9" s="37">
        <f>BDbDT_calcs!C65</f>
        <v>67106.268454250603</v>
      </c>
      <c r="D9" s="37">
        <f>BDbDT_calcs!D65</f>
        <v>68665.110995177238</v>
      </c>
      <c r="E9" s="37">
        <f>BDbDT_calcs!E65</f>
        <v>70251.677448015384</v>
      </c>
      <c r="F9" s="37">
        <f>BDbDT_calcs!F65</f>
        <v>71880.285473121345</v>
      </c>
      <c r="G9" s="37">
        <f>BDbDT_calcs!G65</f>
        <v>73553.964795544001</v>
      </c>
      <c r="H9" s="37">
        <f>BDbDT_calcs!H65</f>
        <v>75271.679204902786</v>
      </c>
      <c r="I9" s="37">
        <f>BDbDT_calcs!I65</f>
        <v>76887.178125047198</v>
      </c>
      <c r="J9" s="37">
        <f>BDbDT_calcs!J65</f>
        <v>78532.497683043999</v>
      </c>
      <c r="K9" s="37">
        <f>BDbDT_calcs!K65</f>
        <v>80194.337619405575</v>
      </c>
      <c r="L9" s="37">
        <f>BDbDT_calcs!L65</f>
        <v>81866.380704704279</v>
      </c>
      <c r="M9" s="37">
        <f>BDbDT_calcs!M65</f>
        <v>83547.322921188432</v>
      </c>
      <c r="N9" s="37">
        <f>BDbDT_calcs!N65</f>
        <v>85219.81952956396</v>
      </c>
      <c r="O9" s="37">
        <f>BDbDT_calcs!O65</f>
        <v>86873.864936783546</v>
      </c>
      <c r="P9" s="37">
        <f>BDbDT_calcs!P65</f>
        <v>88500.689087452309</v>
      </c>
      <c r="Q9" s="37">
        <f>BDbDT_calcs!Q65</f>
        <v>90084.389747931738</v>
      </c>
      <c r="R9" s="37">
        <f>BDbDT_calcs!R65</f>
        <v>91614.342824545703</v>
      </c>
      <c r="S9" s="37">
        <f>BDbDT_calcs!S65</f>
        <v>93047.960874928147</v>
      </c>
      <c r="T9" s="37">
        <f>BDbDT_calcs!T65</f>
        <v>94409.261754780935</v>
      </c>
      <c r="U9" s="37">
        <f>BDbDT_calcs!U65</f>
        <v>95695.185709011203</v>
      </c>
      <c r="V9" s="37">
        <f>BDbDT_calcs!V65</f>
        <v>96879.902595209525</v>
      </c>
      <c r="W9" s="37">
        <f>BDbDT_calcs!W65</f>
        <v>97954.885427770307</v>
      </c>
      <c r="X9" s="37">
        <f>BDbDT_calcs!X65</f>
        <v>98915.478957867861</v>
      </c>
      <c r="Y9" s="37">
        <f>BDbDT_calcs!Y65</f>
        <v>99812.051927450273</v>
      </c>
      <c r="Z9" s="37">
        <f>BDbDT_calcs!Z65</f>
        <v>100597.03780357449</v>
      </c>
      <c r="AA9" s="37">
        <f>BDbDT_calcs!AA65</f>
        <v>101265.78156514738</v>
      </c>
      <c r="AB9" s="37">
        <f>BDbDT_calcs!AB65</f>
        <v>101822.24640609925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About</vt:lpstr>
      <vt:lpstr>Geography</vt:lpstr>
      <vt:lpstr>Keys</vt:lpstr>
      <vt:lpstr>NP2023_deaths</vt:lpstr>
      <vt:lpstr>NP2023_pop</vt:lpstr>
      <vt:lpstr>SCE_2024_state_pop</vt:lpstr>
      <vt:lpstr>Census_pop_2020_2025</vt:lpstr>
      <vt:lpstr>Cooper_pop_2030_2050</vt:lpstr>
      <vt:lpstr>BDbDT_calcs</vt:lpstr>
      <vt:lpstr>BDbDT-infant</vt:lpstr>
      <vt:lpstr>BDbDT-other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2026-08-17T17:59:33Z</dcterms:created>
  <dcterms:modified xsi:type="dcterms:W3CDTF">2026-08-17T20:29:46Z</dcterms:modified>
</cp:coreProperties>
</file>