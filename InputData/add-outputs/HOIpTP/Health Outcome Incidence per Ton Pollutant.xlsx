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WA\add-outputs\HOIpTP\"/>
    </mc:Choice>
  </mc:AlternateContent>
  <xr:revisionPtr revIDLastSave="0" documentId="8_{F56208CE-CAC1-4713-A2E2-E37DABC24D78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J15" i="19"/>
  <c r="B15" i="19"/>
  <c r="X15" i="19" s="1"/>
  <c r="B14" i="19"/>
  <c r="AA14" i="19" s="1"/>
  <c r="Y13" i="19"/>
  <c r="P13" i="19"/>
  <c r="B13" i="19"/>
  <c r="J13" i="19" s="1"/>
  <c r="U12" i="19"/>
  <c r="Q12" i="19"/>
  <c r="H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AA8" i="19"/>
  <c r="W8" i="19"/>
  <c r="Q8" i="19"/>
  <c r="K8" i="19"/>
  <c r="F8" i="19"/>
  <c r="B8" i="19"/>
  <c r="L8" i="19" s="1"/>
  <c r="L7" i="19"/>
  <c r="B7" i="19"/>
  <c r="AA7" i="19" s="1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V3" i="19"/>
  <c r="Q3" i="19"/>
  <c r="E3" i="19"/>
  <c r="B3" i="19"/>
  <c r="O3" i="19" s="1"/>
  <c r="AB2" i="19"/>
  <c r="W2" i="19"/>
  <c r="P2" i="19"/>
  <c r="F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Q17" i="18"/>
  <c r="I17" i="18"/>
  <c r="B17" i="18"/>
  <c r="X17" i="18" s="1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Z15" i="18"/>
  <c r="Q15" i="18"/>
  <c r="B15" i="18"/>
  <c r="D15" i="18" s="1"/>
  <c r="AA14" i="18"/>
  <c r="Y14" i="18"/>
  <c r="U14" i="18"/>
  <c r="R14" i="18"/>
  <c r="H14" i="18"/>
  <c r="B14" i="18"/>
  <c r="AB14" i="18" s="1"/>
  <c r="G13" i="18"/>
  <c r="B13" i="18"/>
  <c r="Q13" i="18" s="1"/>
  <c r="X12" i="18"/>
  <c r="B12" i="18"/>
  <c r="AB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AA8" i="18"/>
  <c r="Y8" i="18"/>
  <c r="X8" i="18"/>
  <c r="V8" i="18"/>
  <c r="U8" i="18"/>
  <c r="R8" i="18"/>
  <c r="Q8" i="18"/>
  <c r="N8" i="18"/>
  <c r="M8" i="18"/>
  <c r="F8" i="18"/>
  <c r="E8" i="18"/>
  <c r="B8" i="18"/>
  <c r="W8" i="18" s="1"/>
  <c r="AB7" i="18"/>
  <c r="AA7" i="18"/>
  <c r="H7" i="18"/>
  <c r="D7" i="18"/>
  <c r="C7" i="18"/>
  <c r="B7" i="18"/>
  <c r="G7" i="18" s="1"/>
  <c r="AA6" i="18"/>
  <c r="X6" i="18"/>
  <c r="P6" i="18"/>
  <c r="E6" i="18"/>
  <c r="B6" i="18"/>
  <c r="AB6" i="18" s="1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W3" i="18"/>
  <c r="P3" i="18"/>
  <c r="B3" i="18"/>
  <c r="Z3" i="18" s="1"/>
  <c r="Z2" i="18"/>
  <c r="P2" i="18"/>
  <c r="K2" i="18"/>
  <c r="B2" i="18"/>
  <c r="W2" i="18" s="1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AB17" i="17"/>
  <c r="Y17" i="17"/>
  <c r="R17" i="17"/>
  <c r="E17" i="17"/>
  <c r="B17" i="17"/>
  <c r="AA17" i="17" s="1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C15" i="17"/>
  <c r="B15" i="17"/>
  <c r="M15" i="17" s="1"/>
  <c r="B14" i="17"/>
  <c r="C14" i="17" s="1"/>
  <c r="R13" i="17"/>
  <c r="B13" i="17"/>
  <c r="AA13" i="17" s="1"/>
  <c r="Z12" i="17"/>
  <c r="T12" i="17"/>
  <c r="G12" i="17"/>
  <c r="B12" i="17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W8" i="17"/>
  <c r="T8" i="17"/>
  <c r="S8" i="17"/>
  <c r="R8" i="17"/>
  <c r="P8" i="17"/>
  <c r="O8" i="17"/>
  <c r="F8" i="17"/>
  <c r="D8" i="17"/>
  <c r="C8" i="17"/>
  <c r="B8" i="17"/>
  <c r="AB8" i="17" s="1"/>
  <c r="T7" i="17"/>
  <c r="K7" i="17"/>
  <c r="B7" i="17"/>
  <c r="Q6" i="17"/>
  <c r="G6" i="17"/>
  <c r="E6" i="17"/>
  <c r="B6" i="17"/>
  <c r="C6" i="17" s="1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B3" i="17"/>
  <c r="E3" i="17" s="1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Y17" i="16"/>
  <c r="V17" i="16"/>
  <c r="G17" i="16"/>
  <c r="B17" i="16"/>
  <c r="U17" i="16" s="1"/>
  <c r="B16" i="16"/>
  <c r="AA15" i="16"/>
  <c r="X15" i="16"/>
  <c r="K15" i="16"/>
  <c r="B15" i="16"/>
  <c r="Y15" i="16" s="1"/>
  <c r="G14" i="16"/>
  <c r="F14" i="16"/>
  <c r="B14" i="16"/>
  <c r="AB14" i="16" s="1"/>
  <c r="W13" i="16"/>
  <c r="B13" i="16"/>
  <c r="J13" i="16" s="1"/>
  <c r="B12" i="16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AB7" i="16"/>
  <c r="Y7" i="16"/>
  <c r="X7" i="16"/>
  <c r="T7" i="16"/>
  <c r="R7" i="16"/>
  <c r="O7" i="16"/>
  <c r="H7" i="16"/>
  <c r="G7" i="16"/>
  <c r="D7" i="16"/>
  <c r="C7" i="16"/>
  <c r="B7" i="16"/>
  <c r="Z7" i="16" s="1"/>
  <c r="V6" i="16"/>
  <c r="S6" i="16"/>
  <c r="L6" i="16"/>
  <c r="J6" i="16"/>
  <c r="E6" i="16"/>
  <c r="B6" i="16"/>
  <c r="Z6" i="16" s="1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Z3" i="16"/>
  <c r="X3" i="16"/>
  <c r="W3" i="16"/>
  <c r="R3" i="16"/>
  <c r="O3" i="16"/>
  <c r="C3" i="16"/>
  <c r="B3" i="16"/>
  <c r="T3" i="16" s="1"/>
  <c r="B2" i="16"/>
  <c r="Q2" i="16" s="1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W17" i="15"/>
  <c r="B17" i="15"/>
  <c r="T17" i="15" s="1"/>
  <c r="AA16" i="15"/>
  <c r="Z16" i="15"/>
  <c r="T16" i="15"/>
  <c r="Q16" i="15"/>
  <c r="K16" i="15"/>
  <c r="E16" i="15"/>
  <c r="C16" i="15"/>
  <c r="B16" i="15"/>
  <c r="Y15" i="15"/>
  <c r="X15" i="15"/>
  <c r="V15" i="15"/>
  <c r="U15" i="15"/>
  <c r="T15" i="15"/>
  <c r="S15" i="15"/>
  <c r="K15" i="15"/>
  <c r="I15" i="15"/>
  <c r="G15" i="15"/>
  <c r="E15" i="15"/>
  <c r="C15" i="15"/>
  <c r="B15" i="15"/>
  <c r="AA15" i="15" s="1"/>
  <c r="AB14" i="15"/>
  <c r="O14" i="15"/>
  <c r="N14" i="15"/>
  <c r="M14" i="15"/>
  <c r="D14" i="15"/>
  <c r="B14" i="15"/>
  <c r="E14" i="15" s="1"/>
  <c r="W13" i="15"/>
  <c r="V13" i="15"/>
  <c r="T13" i="15"/>
  <c r="S13" i="15"/>
  <c r="R13" i="15"/>
  <c r="Q13" i="15"/>
  <c r="O13" i="15"/>
  <c r="N13" i="15"/>
  <c r="M13" i="15"/>
  <c r="L13" i="15"/>
  <c r="K13" i="15"/>
  <c r="I13" i="15"/>
  <c r="H13" i="15"/>
  <c r="G13" i="15"/>
  <c r="F13" i="15"/>
  <c r="D13" i="15"/>
  <c r="C13" i="15"/>
  <c r="B13" i="15"/>
  <c r="P13" i="15" s="1"/>
  <c r="X12" i="15"/>
  <c r="W12" i="15"/>
  <c r="T12" i="15"/>
  <c r="S12" i="15"/>
  <c r="R12" i="15"/>
  <c r="Q12" i="15"/>
  <c r="P12" i="15"/>
  <c r="O12" i="15"/>
  <c r="N12" i="15"/>
  <c r="M12" i="15"/>
  <c r="K12" i="15"/>
  <c r="J12" i="15"/>
  <c r="I12" i="15"/>
  <c r="H12" i="15"/>
  <c r="D12" i="15"/>
  <c r="C12" i="15"/>
  <c r="B12" i="15"/>
  <c r="U12" i="15" s="1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B8" i="15"/>
  <c r="L8" i="15" s="1"/>
  <c r="AA7" i="15"/>
  <c r="Y7" i="15"/>
  <c r="B7" i="15"/>
  <c r="AB6" i="15"/>
  <c r="AA6" i="15"/>
  <c r="V6" i="15"/>
  <c r="U6" i="15"/>
  <c r="T6" i="15"/>
  <c r="S6" i="15"/>
  <c r="R6" i="15"/>
  <c r="Q6" i="15"/>
  <c r="P6" i="15"/>
  <c r="O6" i="15"/>
  <c r="N6" i="15"/>
  <c r="M6" i="15"/>
  <c r="L6" i="15"/>
  <c r="J6" i="15"/>
  <c r="I6" i="15"/>
  <c r="E6" i="15"/>
  <c r="D6" i="15"/>
  <c r="B6" i="15"/>
  <c r="G6" i="15" s="1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K3" i="15"/>
  <c r="G3" i="15"/>
  <c r="E3" i="15"/>
  <c r="D3" i="15"/>
  <c r="B3" i="15"/>
  <c r="AA2" i="15"/>
  <c r="S2" i="15"/>
  <c r="R2" i="15"/>
  <c r="O2" i="15"/>
  <c r="N2" i="15"/>
  <c r="K2" i="15"/>
  <c r="I2" i="15"/>
  <c r="B2" i="15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B17" i="14"/>
  <c r="M17" i="14" s="1"/>
  <c r="H16" i="14"/>
  <c r="B16" i="14"/>
  <c r="Y15" i="14"/>
  <c r="W15" i="14"/>
  <c r="U15" i="14"/>
  <c r="T15" i="14"/>
  <c r="R15" i="14"/>
  <c r="P15" i="14"/>
  <c r="O15" i="14"/>
  <c r="M15" i="14"/>
  <c r="K15" i="14"/>
  <c r="H15" i="14"/>
  <c r="F15" i="14"/>
  <c r="B15" i="14"/>
  <c r="AB15" i="14" s="1"/>
  <c r="AB14" i="14"/>
  <c r="R14" i="14"/>
  <c r="B14" i="14"/>
  <c r="B13" i="14"/>
  <c r="B12" i="14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AB7" i="14"/>
  <c r="X7" i="14"/>
  <c r="V7" i="14"/>
  <c r="S7" i="14"/>
  <c r="P7" i="14"/>
  <c r="N7" i="14"/>
  <c r="K7" i="14"/>
  <c r="I7" i="14"/>
  <c r="H7" i="14"/>
  <c r="D7" i="14"/>
  <c r="C7" i="14"/>
  <c r="B7" i="14"/>
  <c r="Z7" i="14" s="1"/>
  <c r="B6" i="14"/>
  <c r="G6" i="14" s="1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W3" i="14"/>
  <c r="V3" i="14"/>
  <c r="S3" i="14"/>
  <c r="N3" i="14"/>
  <c r="M3" i="14"/>
  <c r="L3" i="14"/>
  <c r="J3" i="14"/>
  <c r="B3" i="14"/>
  <c r="Y3" i="14" s="1"/>
  <c r="AB2" i="14"/>
  <c r="AA2" i="14"/>
  <c r="Z2" i="14"/>
  <c r="X2" i="14"/>
  <c r="V2" i="14"/>
  <c r="U2" i="14"/>
  <c r="R2" i="14"/>
  <c r="P2" i="14"/>
  <c r="O2" i="14"/>
  <c r="M2" i="14"/>
  <c r="L2" i="14"/>
  <c r="G2" i="14"/>
  <c r="F2" i="14"/>
  <c r="E2" i="14"/>
  <c r="B2" i="14"/>
  <c r="Q2" i="14" s="1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B17" i="13"/>
  <c r="F17" i="13" s="1"/>
  <c r="U16" i="13"/>
  <c r="T16" i="13"/>
  <c r="H16" i="13"/>
  <c r="G16" i="13"/>
  <c r="B16" i="13"/>
  <c r="AA16" i="13" s="1"/>
  <c r="AB15" i="13"/>
  <c r="AA15" i="13"/>
  <c r="Y15" i="13"/>
  <c r="V15" i="13"/>
  <c r="R15" i="13"/>
  <c r="P15" i="13"/>
  <c r="O15" i="13"/>
  <c r="L15" i="13"/>
  <c r="K15" i="13"/>
  <c r="J15" i="13"/>
  <c r="I15" i="13"/>
  <c r="H15" i="13"/>
  <c r="G15" i="13"/>
  <c r="F15" i="13"/>
  <c r="D15" i="13"/>
  <c r="C15" i="13"/>
  <c r="B15" i="13"/>
  <c r="X15" i="13" s="1"/>
  <c r="AA14" i="13"/>
  <c r="W14" i="13"/>
  <c r="V14" i="13"/>
  <c r="T14" i="13"/>
  <c r="S14" i="13"/>
  <c r="Q14" i="13"/>
  <c r="P14" i="13"/>
  <c r="N14" i="13"/>
  <c r="M14" i="13"/>
  <c r="L14" i="13"/>
  <c r="K14" i="13"/>
  <c r="J14" i="13"/>
  <c r="H14" i="13"/>
  <c r="F14" i="13"/>
  <c r="E14" i="13"/>
  <c r="B14" i="13"/>
  <c r="U14" i="13" s="1"/>
  <c r="B13" i="13"/>
  <c r="G13" i="13" s="1"/>
  <c r="X12" i="13"/>
  <c r="W12" i="13"/>
  <c r="V12" i="13"/>
  <c r="T12" i="13"/>
  <c r="S12" i="13"/>
  <c r="R12" i="13"/>
  <c r="O12" i="13"/>
  <c r="B12" i="13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R8" i="13"/>
  <c r="Q8" i="13"/>
  <c r="K8" i="13"/>
  <c r="J8" i="13"/>
  <c r="G8" i="13"/>
  <c r="F8" i="13"/>
  <c r="D8" i="13"/>
  <c r="B8" i="13"/>
  <c r="AA8" i="13" s="1"/>
  <c r="AB7" i="13"/>
  <c r="AA7" i="13"/>
  <c r="W7" i="13"/>
  <c r="U7" i="13"/>
  <c r="S7" i="13"/>
  <c r="R7" i="13"/>
  <c r="N7" i="13"/>
  <c r="M7" i="13"/>
  <c r="L7" i="13"/>
  <c r="H7" i="13"/>
  <c r="G7" i="13"/>
  <c r="F7" i="13"/>
  <c r="E7" i="13"/>
  <c r="C7" i="13"/>
  <c r="B7" i="13"/>
  <c r="Y7" i="13" s="1"/>
  <c r="Z6" i="13"/>
  <c r="O6" i="13"/>
  <c r="M6" i="13"/>
  <c r="H6" i="13"/>
  <c r="G6" i="13"/>
  <c r="B6" i="13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N3" i="13"/>
  <c r="M3" i="13"/>
  <c r="J3" i="13"/>
  <c r="F3" i="13"/>
  <c r="E3" i="13"/>
  <c r="D3" i="13"/>
  <c r="C3" i="13"/>
  <c r="B3" i="13"/>
  <c r="B2" i="13"/>
  <c r="G2" i="13" s="1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T17" i="12"/>
  <c r="G17" i="12"/>
  <c r="B17" i="12"/>
  <c r="O17" i="12" s="1"/>
  <c r="AB16" i="12"/>
  <c r="AA16" i="12"/>
  <c r="Z16" i="12"/>
  <c r="J16" i="12"/>
  <c r="C16" i="12"/>
  <c r="B16" i="12"/>
  <c r="B15" i="12"/>
  <c r="P15" i="12" s="1"/>
  <c r="AB14" i="12"/>
  <c r="W14" i="12"/>
  <c r="V14" i="12"/>
  <c r="R14" i="12"/>
  <c r="Q14" i="12"/>
  <c r="L14" i="12"/>
  <c r="K14" i="12"/>
  <c r="B14" i="12"/>
  <c r="B13" i="12"/>
  <c r="Z12" i="12"/>
  <c r="B12" i="12"/>
  <c r="C12" i="12" s="1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B8" i="12"/>
  <c r="AA8" i="12" s="1"/>
  <c r="AB7" i="12"/>
  <c r="AA7" i="12"/>
  <c r="Z7" i="12"/>
  <c r="X7" i="12"/>
  <c r="J7" i="12"/>
  <c r="F7" i="12"/>
  <c r="D7" i="12"/>
  <c r="B7" i="12"/>
  <c r="B6" i="12"/>
  <c r="W6" i="12" s="1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Z3" i="12"/>
  <c r="U3" i="12"/>
  <c r="T3" i="12"/>
  <c r="P3" i="12"/>
  <c r="N3" i="12"/>
  <c r="L3" i="12"/>
  <c r="K3" i="12"/>
  <c r="I3" i="12"/>
  <c r="F3" i="12"/>
  <c r="B3" i="12"/>
  <c r="AA3" i="12" s="1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AB17" i="11"/>
  <c r="P17" i="11"/>
  <c r="O17" i="11"/>
  <c r="D17" i="11"/>
  <c r="C17" i="11"/>
  <c r="B17" i="11"/>
  <c r="J17" i="11" s="1"/>
  <c r="AB16" i="11"/>
  <c r="Y16" i="11"/>
  <c r="W16" i="11"/>
  <c r="V16" i="11"/>
  <c r="D16" i="11"/>
  <c r="B16" i="11"/>
  <c r="AA16" i="11" s="1"/>
  <c r="W15" i="11"/>
  <c r="R15" i="11"/>
  <c r="B15" i="11"/>
  <c r="O14" i="11"/>
  <c r="N14" i="11"/>
  <c r="L14" i="11"/>
  <c r="I14" i="11"/>
  <c r="F14" i="11"/>
  <c r="E14" i="11"/>
  <c r="C14" i="11"/>
  <c r="B14" i="11"/>
  <c r="AB13" i="11"/>
  <c r="AA13" i="11"/>
  <c r="Z13" i="11"/>
  <c r="X13" i="11"/>
  <c r="V13" i="11"/>
  <c r="U13" i="11"/>
  <c r="R13" i="11"/>
  <c r="M13" i="11"/>
  <c r="L13" i="11"/>
  <c r="J13" i="11"/>
  <c r="B13" i="11"/>
  <c r="Y13" i="11" s="1"/>
  <c r="AB12" i="11"/>
  <c r="U12" i="11"/>
  <c r="T12" i="11"/>
  <c r="P12" i="11"/>
  <c r="M12" i="11"/>
  <c r="L12" i="11"/>
  <c r="K12" i="11"/>
  <c r="I12" i="11"/>
  <c r="G12" i="11"/>
  <c r="B12" i="11"/>
  <c r="Z12" i="11" s="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T8" i="11"/>
  <c r="S8" i="11"/>
  <c r="R8" i="11"/>
  <c r="Q8" i="11"/>
  <c r="O8" i="11"/>
  <c r="N8" i="11"/>
  <c r="K8" i="11"/>
  <c r="J8" i="11"/>
  <c r="I8" i="11"/>
  <c r="E8" i="11"/>
  <c r="D8" i="11"/>
  <c r="C8" i="11"/>
  <c r="B8" i="11"/>
  <c r="AB8" i="11" s="1"/>
  <c r="AB7" i="11"/>
  <c r="AA7" i="11"/>
  <c r="Z7" i="11"/>
  <c r="X7" i="11"/>
  <c r="B7" i="11"/>
  <c r="G7" i="11" s="1"/>
  <c r="X6" i="11"/>
  <c r="T6" i="11"/>
  <c r="R6" i="11"/>
  <c r="P6" i="11"/>
  <c r="O6" i="11"/>
  <c r="L6" i="11"/>
  <c r="K6" i="11"/>
  <c r="H6" i="11"/>
  <c r="G6" i="11"/>
  <c r="E6" i="11"/>
  <c r="B6" i="1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Y3" i="11"/>
  <c r="R3" i="11"/>
  <c r="P3" i="11"/>
  <c r="M3" i="11"/>
  <c r="L3" i="11"/>
  <c r="K3" i="11"/>
  <c r="H3" i="11"/>
  <c r="E3" i="11"/>
  <c r="D3" i="11"/>
  <c r="C3" i="11"/>
  <c r="B3" i="11"/>
  <c r="S3" i="11" s="1"/>
  <c r="Q2" i="11"/>
  <c r="N2" i="11"/>
  <c r="B2" i="11"/>
  <c r="I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AB15" i="10"/>
  <c r="AA15" i="10"/>
  <c r="W15" i="10"/>
  <c r="V15" i="10"/>
  <c r="U15" i="10"/>
  <c r="T15" i="10"/>
  <c r="R15" i="10"/>
  <c r="Q15" i="10"/>
  <c r="P15" i="10"/>
  <c r="N15" i="10"/>
  <c r="M15" i="10"/>
  <c r="L15" i="10"/>
  <c r="B15" i="10"/>
  <c r="Y14" i="10"/>
  <c r="V14" i="10"/>
  <c r="U14" i="10"/>
  <c r="T14" i="10"/>
  <c r="S14" i="10"/>
  <c r="Q14" i="10"/>
  <c r="P14" i="10"/>
  <c r="O14" i="10"/>
  <c r="N14" i="10"/>
  <c r="L14" i="10"/>
  <c r="K14" i="10"/>
  <c r="I14" i="10"/>
  <c r="H14" i="10"/>
  <c r="B14" i="10"/>
  <c r="Z14" i="10" s="1"/>
  <c r="B13" i="10"/>
  <c r="H13" i="10" s="1"/>
  <c r="B12" i="10"/>
  <c r="G12" i="10" s="1"/>
  <c r="C11" i="10"/>
  <c r="B11" i="10"/>
  <c r="B10" i="10"/>
  <c r="B9" i="10"/>
  <c r="AB8" i="10"/>
  <c r="K8" i="10"/>
  <c r="I8" i="10"/>
  <c r="B8" i="10"/>
  <c r="B7" i="10"/>
  <c r="X7" i="10" s="1"/>
  <c r="B6" i="10"/>
  <c r="L6" i="10" s="1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Q3" i="10"/>
  <c r="J3" i="10"/>
  <c r="B3" i="10"/>
  <c r="AA2" i="10"/>
  <c r="Z2" i="10"/>
  <c r="X2" i="10"/>
  <c r="V2" i="10"/>
  <c r="U2" i="10"/>
  <c r="P2" i="10"/>
  <c r="L2" i="10"/>
  <c r="K2" i="10"/>
  <c r="J2" i="10"/>
  <c r="H2" i="10"/>
  <c r="G2" i="10"/>
  <c r="F2" i="10"/>
  <c r="E2" i="10"/>
  <c r="C2" i="10"/>
  <c r="B2" i="10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AA17" i="9"/>
  <c r="X17" i="9"/>
  <c r="W17" i="9"/>
  <c r="U17" i="9"/>
  <c r="T17" i="9"/>
  <c r="S17" i="9"/>
  <c r="R17" i="9"/>
  <c r="Q17" i="9"/>
  <c r="P17" i="9"/>
  <c r="O17" i="9"/>
  <c r="M17" i="9"/>
  <c r="K17" i="9"/>
  <c r="J17" i="9"/>
  <c r="F17" i="9"/>
  <c r="E17" i="9"/>
  <c r="B17" i="9"/>
  <c r="Z17" i="9" s="1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B15" i="9"/>
  <c r="Y15" i="9" s="1"/>
  <c r="AA14" i="9"/>
  <c r="Z14" i="9"/>
  <c r="Y14" i="9"/>
  <c r="W14" i="9"/>
  <c r="V14" i="9"/>
  <c r="U14" i="9"/>
  <c r="T14" i="9"/>
  <c r="S14" i="9"/>
  <c r="Q14" i="9"/>
  <c r="P14" i="9"/>
  <c r="O14" i="9"/>
  <c r="N14" i="9"/>
  <c r="L14" i="9"/>
  <c r="G14" i="9"/>
  <c r="F14" i="9"/>
  <c r="C14" i="9"/>
  <c r="B14" i="9"/>
  <c r="AA13" i="9"/>
  <c r="Z13" i="9"/>
  <c r="Y13" i="9"/>
  <c r="X13" i="9"/>
  <c r="W13" i="9"/>
  <c r="S13" i="9"/>
  <c r="Q13" i="9"/>
  <c r="M13" i="9"/>
  <c r="D13" i="9"/>
  <c r="C13" i="9"/>
  <c r="B13" i="9"/>
  <c r="AB12" i="9"/>
  <c r="AA12" i="9"/>
  <c r="Y12" i="9"/>
  <c r="J12" i="9"/>
  <c r="C12" i="9"/>
  <c r="B12" i="9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AB8" i="9"/>
  <c r="Y8" i="9"/>
  <c r="X8" i="9"/>
  <c r="U8" i="9"/>
  <c r="T8" i="9"/>
  <c r="S8" i="9"/>
  <c r="R8" i="9"/>
  <c r="Q8" i="9"/>
  <c r="P8" i="9"/>
  <c r="O8" i="9"/>
  <c r="N8" i="9"/>
  <c r="M8" i="9"/>
  <c r="L8" i="9"/>
  <c r="K8" i="9"/>
  <c r="I8" i="9"/>
  <c r="G8" i="9"/>
  <c r="F8" i="9"/>
  <c r="E8" i="9"/>
  <c r="C8" i="9"/>
  <c r="B8" i="9"/>
  <c r="W8" i="9" s="1"/>
  <c r="AB7" i="9"/>
  <c r="B7" i="9"/>
  <c r="T7" i="9" s="1"/>
  <c r="B6" i="9"/>
  <c r="X5" i="9"/>
  <c r="W5" i="9"/>
  <c r="M5" i="9"/>
  <c r="I5" i="9"/>
  <c r="D5" i="9"/>
  <c r="B5" i="9"/>
  <c r="T5" i="9" s="1"/>
  <c r="Z4" i="9"/>
  <c r="P4" i="9"/>
  <c r="G4" i="9"/>
  <c r="C4" i="9"/>
  <c r="B4" i="9"/>
  <c r="AB3" i="9"/>
  <c r="AA3" i="9"/>
  <c r="Z3" i="9"/>
  <c r="Y3" i="9"/>
  <c r="S3" i="9"/>
  <c r="O3" i="9"/>
  <c r="K3" i="9"/>
  <c r="G3" i="9"/>
  <c r="F3" i="9"/>
  <c r="C3" i="9"/>
  <c r="B3" i="9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Y15" i="8"/>
  <c r="U15" i="8"/>
  <c r="O15" i="8"/>
  <c r="N15" i="8"/>
  <c r="M15" i="8"/>
  <c r="L15" i="8"/>
  <c r="J15" i="8"/>
  <c r="I15" i="8"/>
  <c r="H15" i="8"/>
  <c r="B15" i="8"/>
  <c r="W14" i="8"/>
  <c r="T14" i="8"/>
  <c r="S14" i="8"/>
  <c r="Q14" i="8"/>
  <c r="P14" i="8"/>
  <c r="O14" i="8"/>
  <c r="N14" i="8"/>
  <c r="L14" i="8"/>
  <c r="K14" i="8"/>
  <c r="J14" i="8"/>
  <c r="I14" i="8"/>
  <c r="H14" i="8"/>
  <c r="G14" i="8"/>
  <c r="B14" i="8"/>
  <c r="AA14" i="8" s="1"/>
  <c r="V13" i="8"/>
  <c r="S13" i="8"/>
  <c r="R13" i="8"/>
  <c r="Q13" i="8"/>
  <c r="O13" i="8"/>
  <c r="N13" i="8"/>
  <c r="M13" i="8"/>
  <c r="L13" i="8"/>
  <c r="K13" i="8"/>
  <c r="J13" i="8"/>
  <c r="I13" i="8"/>
  <c r="H13" i="8"/>
  <c r="G13" i="8"/>
  <c r="B13" i="8"/>
  <c r="AB13" i="8" s="1"/>
  <c r="S12" i="8"/>
  <c r="R12" i="8"/>
  <c r="Q12" i="8"/>
  <c r="O12" i="8"/>
  <c r="N12" i="8"/>
  <c r="H12" i="8"/>
  <c r="E12" i="8"/>
  <c r="D12" i="8"/>
  <c r="C12" i="8"/>
  <c r="B12" i="8"/>
  <c r="AA12" i="8" s="1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B8" i="8"/>
  <c r="Q8" i="8" s="1"/>
  <c r="B7" i="8"/>
  <c r="W7" i="8" s="1"/>
  <c r="P6" i="8"/>
  <c r="B6" i="8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AB3" i="8"/>
  <c r="AA3" i="8"/>
  <c r="Z3" i="8"/>
  <c r="W3" i="8"/>
  <c r="V3" i="8"/>
  <c r="S3" i="8"/>
  <c r="R3" i="8"/>
  <c r="Q3" i="8"/>
  <c r="P3" i="8"/>
  <c r="O3" i="8"/>
  <c r="N3" i="8"/>
  <c r="M3" i="8"/>
  <c r="L3" i="8"/>
  <c r="K3" i="8"/>
  <c r="I3" i="8"/>
  <c r="H3" i="8"/>
  <c r="G3" i="8"/>
  <c r="E3" i="8"/>
  <c r="D3" i="8"/>
  <c r="C3" i="8"/>
  <c r="B3" i="8"/>
  <c r="J3" i="8" s="1"/>
  <c r="AA2" i="8"/>
  <c r="Z2" i="8"/>
  <c r="W2" i="8"/>
  <c r="V2" i="8"/>
  <c r="U2" i="8"/>
  <c r="T2" i="8"/>
  <c r="S2" i="8"/>
  <c r="R2" i="8"/>
  <c r="Q2" i="8"/>
  <c r="P2" i="8"/>
  <c r="N2" i="8"/>
  <c r="M2" i="8"/>
  <c r="L2" i="8"/>
  <c r="I2" i="8"/>
  <c r="H2" i="8"/>
  <c r="F2" i="8"/>
  <c r="B2" i="8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AA17" i="7"/>
  <c r="Z17" i="7"/>
  <c r="V17" i="7"/>
  <c r="U17" i="7"/>
  <c r="T17" i="7"/>
  <c r="S17" i="7"/>
  <c r="Q17" i="7"/>
  <c r="M17" i="7"/>
  <c r="K17" i="7"/>
  <c r="J17" i="7"/>
  <c r="H17" i="7"/>
  <c r="G17" i="7"/>
  <c r="F17" i="7"/>
  <c r="B17" i="7"/>
  <c r="N16" i="7"/>
  <c r="M16" i="7"/>
  <c r="L16" i="7"/>
  <c r="J16" i="7"/>
  <c r="H16" i="7"/>
  <c r="G16" i="7"/>
  <c r="B16" i="7"/>
  <c r="AA16" i="7" s="1"/>
  <c r="AA15" i="7"/>
  <c r="Z15" i="7"/>
  <c r="V15" i="7"/>
  <c r="U15" i="7"/>
  <c r="S15" i="7"/>
  <c r="R15" i="7"/>
  <c r="Q15" i="7"/>
  <c r="M15" i="7"/>
  <c r="B15" i="7"/>
  <c r="H15" i="7" s="1"/>
  <c r="AA14" i="7"/>
  <c r="Y14" i="7"/>
  <c r="V14" i="7"/>
  <c r="U14" i="7"/>
  <c r="T14" i="7"/>
  <c r="S14" i="7"/>
  <c r="Q14" i="7"/>
  <c r="O14" i="7"/>
  <c r="N14" i="7"/>
  <c r="M14" i="7"/>
  <c r="L14" i="7"/>
  <c r="J14" i="7"/>
  <c r="I14" i="7"/>
  <c r="H14" i="7"/>
  <c r="F14" i="7"/>
  <c r="D14" i="7"/>
  <c r="B14" i="7"/>
  <c r="R13" i="7"/>
  <c r="Q13" i="7"/>
  <c r="M13" i="7"/>
  <c r="K13" i="7"/>
  <c r="J13" i="7"/>
  <c r="I13" i="7"/>
  <c r="H13" i="7"/>
  <c r="B13" i="7"/>
  <c r="W13" i="7" s="1"/>
  <c r="B12" i="7"/>
  <c r="AB12" i="7" s="1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AA8" i="7"/>
  <c r="Z8" i="7"/>
  <c r="Y8" i="7"/>
  <c r="W8" i="7"/>
  <c r="B8" i="7"/>
  <c r="T8" i="7" s="1"/>
  <c r="AB7" i="7"/>
  <c r="Z7" i="7"/>
  <c r="Y7" i="7"/>
  <c r="W7" i="7"/>
  <c r="V7" i="7"/>
  <c r="U7" i="7"/>
  <c r="P7" i="7"/>
  <c r="B7" i="7"/>
  <c r="C7" i="7" s="1"/>
  <c r="AB6" i="7"/>
  <c r="Z6" i="7"/>
  <c r="X6" i="7"/>
  <c r="W6" i="7"/>
  <c r="V6" i="7"/>
  <c r="U6" i="7"/>
  <c r="S6" i="7"/>
  <c r="Q6" i="7"/>
  <c r="P6" i="7"/>
  <c r="N6" i="7"/>
  <c r="K6" i="7"/>
  <c r="B6" i="7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AB3" i="7"/>
  <c r="V3" i="7"/>
  <c r="U3" i="7"/>
  <c r="T3" i="7"/>
  <c r="S3" i="7"/>
  <c r="K3" i="7"/>
  <c r="F3" i="7"/>
  <c r="B3" i="7"/>
  <c r="Z2" i="7"/>
  <c r="S2" i="7"/>
  <c r="R2" i="7"/>
  <c r="P2" i="7"/>
  <c r="O2" i="7"/>
  <c r="M2" i="7"/>
  <c r="L2" i="7"/>
  <c r="K2" i="7"/>
  <c r="I2" i="7"/>
  <c r="G2" i="7"/>
  <c r="B2" i="7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P17" i="6"/>
  <c r="M17" i="6"/>
  <c r="K17" i="6"/>
  <c r="J17" i="6"/>
  <c r="G17" i="6"/>
  <c r="F17" i="6"/>
  <c r="E17" i="6"/>
  <c r="B17" i="6"/>
  <c r="AB17" i="6" s="1"/>
  <c r="E16" i="6"/>
  <c r="D16" i="6"/>
  <c r="C16" i="6"/>
  <c r="B16" i="6"/>
  <c r="AB15" i="6"/>
  <c r="AA15" i="6"/>
  <c r="Z15" i="6"/>
  <c r="W15" i="6"/>
  <c r="V15" i="6"/>
  <c r="T15" i="6"/>
  <c r="S15" i="6"/>
  <c r="R15" i="6"/>
  <c r="Q15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B15" i="6"/>
  <c r="X15" i="6" s="1"/>
  <c r="W14" i="6"/>
  <c r="T14" i="6"/>
  <c r="S14" i="6"/>
  <c r="Q14" i="6"/>
  <c r="P14" i="6"/>
  <c r="O14" i="6"/>
  <c r="N14" i="6"/>
  <c r="M14" i="6"/>
  <c r="L14" i="6"/>
  <c r="K14" i="6"/>
  <c r="J14" i="6"/>
  <c r="I14" i="6"/>
  <c r="H14" i="6"/>
  <c r="F14" i="6"/>
  <c r="B14" i="6"/>
  <c r="AB14" i="6" s="1"/>
  <c r="B13" i="6"/>
  <c r="R13" i="6" s="1"/>
  <c r="AB12" i="6"/>
  <c r="Y12" i="6"/>
  <c r="W12" i="6"/>
  <c r="V12" i="6"/>
  <c r="U12" i="6"/>
  <c r="B12" i="6"/>
  <c r="K12" i="6" s="1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J8" i="6"/>
  <c r="I8" i="6"/>
  <c r="H8" i="6"/>
  <c r="G8" i="6"/>
  <c r="E8" i="6"/>
  <c r="B8" i="6"/>
  <c r="AB8" i="6" s="1"/>
  <c r="B7" i="6"/>
  <c r="J7" i="6" s="1"/>
  <c r="B6" i="6"/>
  <c r="N6" i="6" s="1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AA3" i="6"/>
  <c r="Y3" i="6"/>
  <c r="X3" i="6"/>
  <c r="W3" i="6"/>
  <c r="V3" i="6"/>
  <c r="U3" i="6"/>
  <c r="S3" i="6"/>
  <c r="Q3" i="6"/>
  <c r="P3" i="6"/>
  <c r="O3" i="6"/>
  <c r="M3" i="6"/>
  <c r="L3" i="6"/>
  <c r="K3" i="6"/>
  <c r="C3" i="6"/>
  <c r="B3" i="6"/>
  <c r="F3" i="6" s="1"/>
  <c r="B2" i="6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Y17" i="5"/>
  <c r="X17" i="5"/>
  <c r="W17" i="5"/>
  <c r="V17" i="5"/>
  <c r="U17" i="5"/>
  <c r="T17" i="5"/>
  <c r="S17" i="5"/>
  <c r="R17" i="5"/>
  <c r="P17" i="5"/>
  <c r="O17" i="5"/>
  <c r="L17" i="5"/>
  <c r="B17" i="5"/>
  <c r="B16" i="5"/>
  <c r="AB15" i="5"/>
  <c r="Z15" i="5"/>
  <c r="Y15" i="5"/>
  <c r="W15" i="5"/>
  <c r="V15" i="5"/>
  <c r="U15" i="5"/>
  <c r="T15" i="5"/>
  <c r="S15" i="5"/>
  <c r="R15" i="5"/>
  <c r="Q15" i="5"/>
  <c r="P15" i="5"/>
  <c r="O15" i="5"/>
  <c r="M15" i="5"/>
  <c r="L15" i="5"/>
  <c r="K15" i="5"/>
  <c r="J15" i="5"/>
  <c r="H15" i="5"/>
  <c r="G15" i="5"/>
  <c r="F15" i="5"/>
  <c r="E15" i="5"/>
  <c r="D15" i="5"/>
  <c r="C15" i="5"/>
  <c r="B15" i="5"/>
  <c r="V14" i="5"/>
  <c r="O14" i="5"/>
  <c r="B14" i="5"/>
  <c r="D14" i="5" s="1"/>
  <c r="Z13" i="5"/>
  <c r="X13" i="5"/>
  <c r="R13" i="5"/>
  <c r="M13" i="5"/>
  <c r="K13" i="5"/>
  <c r="I13" i="5"/>
  <c r="H13" i="5"/>
  <c r="G13" i="5"/>
  <c r="B13" i="5"/>
  <c r="H12" i="5"/>
  <c r="G12" i="5"/>
  <c r="B12" i="5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B7" i="5"/>
  <c r="D7" i="5" s="1"/>
  <c r="Z6" i="5"/>
  <c r="W6" i="5"/>
  <c r="R6" i="5"/>
  <c r="M6" i="5"/>
  <c r="K6" i="5"/>
  <c r="B6" i="5"/>
  <c r="I6" i="5" s="1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V3" i="5"/>
  <c r="U3" i="5"/>
  <c r="T3" i="5"/>
  <c r="S3" i="5"/>
  <c r="Q3" i="5"/>
  <c r="N3" i="5"/>
  <c r="M3" i="5"/>
  <c r="L3" i="5"/>
  <c r="B3" i="5"/>
  <c r="W3" i="5" s="1"/>
  <c r="F2" i="5"/>
  <c r="E2" i="5"/>
  <c r="D2" i="5"/>
  <c r="C2" i="5"/>
  <c r="B2" i="5"/>
  <c r="B2" i="1"/>
  <c r="H12" i="7" l="1"/>
  <c r="V8" i="7"/>
  <c r="AA7" i="9"/>
  <c r="V7" i="11"/>
  <c r="S14" i="11"/>
  <c r="V14" i="11"/>
  <c r="P14" i="11"/>
  <c r="M14" i="11"/>
  <c r="K14" i="11"/>
  <c r="H14" i="11"/>
  <c r="G14" i="11"/>
  <c r="AA3" i="13"/>
  <c r="AB3" i="13"/>
  <c r="W3" i="13"/>
  <c r="P3" i="13"/>
  <c r="L3" i="13"/>
  <c r="K3" i="13"/>
  <c r="G3" i="14"/>
  <c r="C12" i="7"/>
  <c r="U7" i="5"/>
  <c r="U8" i="6"/>
  <c r="I13" i="6"/>
  <c r="L17" i="6"/>
  <c r="AA7" i="7"/>
  <c r="AB8" i="7"/>
  <c r="G12" i="7"/>
  <c r="O13" i="7"/>
  <c r="Y15" i="7"/>
  <c r="M7" i="8"/>
  <c r="O12" i="11"/>
  <c r="J14" i="11"/>
  <c r="H8" i="12"/>
  <c r="D15" i="12"/>
  <c r="I3" i="13"/>
  <c r="F13" i="13"/>
  <c r="P3" i="14"/>
  <c r="N6" i="14"/>
  <c r="P3" i="15"/>
  <c r="L3" i="15"/>
  <c r="I3" i="15"/>
  <c r="F3" i="15"/>
  <c r="C3" i="15"/>
  <c r="AA3" i="15"/>
  <c r="Z3" i="15"/>
  <c r="Y3" i="15"/>
  <c r="X3" i="15"/>
  <c r="T3" i="15"/>
  <c r="Q3" i="15"/>
  <c r="G8" i="15"/>
  <c r="X12" i="17"/>
  <c r="O12" i="17"/>
  <c r="M12" i="17"/>
  <c r="J12" i="17"/>
  <c r="I12" i="17"/>
  <c r="H12" i="17"/>
  <c r="F12" i="17"/>
  <c r="E12" i="17"/>
  <c r="D12" i="17"/>
  <c r="C12" i="17"/>
  <c r="AB12" i="17"/>
  <c r="Y12" i="17"/>
  <c r="W12" i="17"/>
  <c r="V12" i="17"/>
  <c r="U12" i="17"/>
  <c r="S12" i="17"/>
  <c r="R12" i="17"/>
  <c r="Q12" i="17"/>
  <c r="P12" i="17"/>
  <c r="C8" i="15"/>
  <c r="H13" i="6"/>
  <c r="J12" i="7"/>
  <c r="C7" i="9"/>
  <c r="Z7" i="5"/>
  <c r="Y14" i="5"/>
  <c r="E6" i="6"/>
  <c r="O13" i="6"/>
  <c r="S17" i="6"/>
  <c r="X3" i="7"/>
  <c r="Z3" i="7"/>
  <c r="P3" i="7"/>
  <c r="D8" i="7"/>
  <c r="M12" i="7"/>
  <c r="V13" i="7"/>
  <c r="C15" i="7"/>
  <c r="S7" i="8"/>
  <c r="U12" i="8"/>
  <c r="T13" i="8"/>
  <c r="V14" i="8"/>
  <c r="F7" i="9"/>
  <c r="Z12" i="9"/>
  <c r="S12" i="9"/>
  <c r="H6" i="10"/>
  <c r="F13" i="10"/>
  <c r="W14" i="10"/>
  <c r="D7" i="11"/>
  <c r="Q14" i="11"/>
  <c r="F6" i="12"/>
  <c r="R8" i="12"/>
  <c r="K15" i="12"/>
  <c r="D2" i="13"/>
  <c r="V3" i="13"/>
  <c r="O13" i="13"/>
  <c r="W6" i="14"/>
  <c r="J3" i="15"/>
  <c r="R8" i="15"/>
  <c r="D8" i="12"/>
  <c r="I7" i="5"/>
  <c r="G8" i="12"/>
  <c r="J7" i="8"/>
  <c r="K6" i="14"/>
  <c r="V7" i="5"/>
  <c r="J8" i="12"/>
  <c r="I15" i="12"/>
  <c r="AB2" i="16"/>
  <c r="Y2" i="16"/>
  <c r="X2" i="16"/>
  <c r="W2" i="16"/>
  <c r="U2" i="16"/>
  <c r="P2" i="16"/>
  <c r="K2" i="16"/>
  <c r="G7" i="7"/>
  <c r="Q7" i="7"/>
  <c r="N7" i="7"/>
  <c r="I7" i="7"/>
  <c r="AB15" i="7"/>
  <c r="C7" i="11"/>
  <c r="Q13" i="13"/>
  <c r="T2" i="16"/>
  <c r="AB7" i="5"/>
  <c r="AA14" i="5"/>
  <c r="J6" i="6"/>
  <c r="D12" i="6"/>
  <c r="X14" i="6"/>
  <c r="U17" i="6"/>
  <c r="G3" i="7"/>
  <c r="E7" i="7"/>
  <c r="G8" i="7"/>
  <c r="O12" i="7"/>
  <c r="AA13" i="7"/>
  <c r="E15" i="7"/>
  <c r="U7" i="8"/>
  <c r="W12" i="8"/>
  <c r="W13" i="8"/>
  <c r="Y14" i="8"/>
  <c r="J7" i="9"/>
  <c r="D12" i="9"/>
  <c r="X14" i="9"/>
  <c r="R14" i="9"/>
  <c r="M14" i="9"/>
  <c r="J14" i="9"/>
  <c r="AB14" i="9"/>
  <c r="E14" i="9"/>
  <c r="K15" i="9"/>
  <c r="O6" i="10"/>
  <c r="P13" i="10"/>
  <c r="T14" i="11"/>
  <c r="Y7" i="12"/>
  <c r="V7" i="12"/>
  <c r="P7" i="12"/>
  <c r="I7" i="12"/>
  <c r="G7" i="12"/>
  <c r="V8" i="12"/>
  <c r="N15" i="12"/>
  <c r="F2" i="13"/>
  <c r="T13" i="13"/>
  <c r="C17" i="13"/>
  <c r="AA6" i="14"/>
  <c r="F12" i="14"/>
  <c r="E12" i="14"/>
  <c r="M3" i="15"/>
  <c r="AB8" i="15"/>
  <c r="AA2" i="16"/>
  <c r="AB13" i="6"/>
  <c r="V13" i="6"/>
  <c r="P13" i="6"/>
  <c r="E12" i="7"/>
  <c r="H6" i="14"/>
  <c r="E8" i="15"/>
  <c r="Q7" i="11"/>
  <c r="E7" i="11"/>
  <c r="W7" i="11"/>
  <c r="T7" i="11"/>
  <c r="N7" i="11"/>
  <c r="M7" i="11"/>
  <c r="H13" i="13"/>
  <c r="R6" i="14"/>
  <c r="Y7" i="5"/>
  <c r="N13" i="13"/>
  <c r="N12" i="7"/>
  <c r="Z8" i="15"/>
  <c r="K6" i="6"/>
  <c r="S13" i="6"/>
  <c r="AA14" i="6"/>
  <c r="V17" i="6"/>
  <c r="H3" i="7"/>
  <c r="F7" i="7"/>
  <c r="H8" i="7"/>
  <c r="R12" i="7"/>
  <c r="AB13" i="7"/>
  <c r="F15" i="7"/>
  <c r="Y7" i="8"/>
  <c r="X12" i="8"/>
  <c r="AA13" i="8"/>
  <c r="Z14" i="8"/>
  <c r="E12" i="9"/>
  <c r="M15" i="9"/>
  <c r="R6" i="10"/>
  <c r="Y13" i="10"/>
  <c r="X8" i="12"/>
  <c r="O15" i="12"/>
  <c r="V13" i="13"/>
  <c r="E17" i="13"/>
  <c r="AB13" i="14"/>
  <c r="X13" i="14"/>
  <c r="R13" i="14"/>
  <c r="K13" i="14"/>
  <c r="E13" i="14"/>
  <c r="N3" i="15"/>
  <c r="X7" i="15"/>
  <c r="M7" i="15"/>
  <c r="L7" i="15"/>
  <c r="J7" i="15"/>
  <c r="H7" i="15"/>
  <c r="AB7" i="15"/>
  <c r="E7" i="15"/>
  <c r="Z7" i="15"/>
  <c r="C7" i="15"/>
  <c r="W7" i="15"/>
  <c r="V7" i="15"/>
  <c r="U7" i="15"/>
  <c r="T7" i="15"/>
  <c r="Q7" i="15"/>
  <c r="P7" i="15"/>
  <c r="AB12" i="16"/>
  <c r="Y12" i="16"/>
  <c r="W12" i="16"/>
  <c r="K12" i="16"/>
  <c r="I12" i="16"/>
  <c r="C12" i="16"/>
  <c r="S2" i="13"/>
  <c r="AB2" i="13"/>
  <c r="U2" i="13"/>
  <c r="Q2" i="13"/>
  <c r="P2" i="13"/>
  <c r="N2" i="13"/>
  <c r="J2" i="13"/>
  <c r="I2" i="13"/>
  <c r="M8" i="12"/>
  <c r="X12" i="6"/>
  <c r="P12" i="6"/>
  <c r="J12" i="6"/>
  <c r="T7" i="8"/>
  <c r="V12" i="8"/>
  <c r="Z6" i="14"/>
  <c r="AB14" i="5"/>
  <c r="L7" i="9"/>
  <c r="X15" i="10"/>
  <c r="O15" i="10"/>
  <c r="I15" i="10"/>
  <c r="F15" i="10"/>
  <c r="Z15" i="10"/>
  <c r="Y15" i="10"/>
  <c r="H7" i="11"/>
  <c r="U14" i="11"/>
  <c r="X15" i="5"/>
  <c r="N15" i="5"/>
  <c r="I15" i="5"/>
  <c r="AA15" i="5"/>
  <c r="L6" i="6"/>
  <c r="L12" i="6"/>
  <c r="T13" i="6"/>
  <c r="W17" i="6"/>
  <c r="J3" i="7"/>
  <c r="H7" i="7"/>
  <c r="I8" i="7"/>
  <c r="S12" i="7"/>
  <c r="Z14" i="7"/>
  <c r="AB14" i="7"/>
  <c r="X14" i="7"/>
  <c r="R14" i="7"/>
  <c r="G15" i="7"/>
  <c r="Z7" i="8"/>
  <c r="Z12" i="8"/>
  <c r="M7" i="9"/>
  <c r="H12" i="9"/>
  <c r="D14" i="9"/>
  <c r="Y6" i="10"/>
  <c r="Z13" i="10"/>
  <c r="C15" i="10"/>
  <c r="I7" i="11"/>
  <c r="W14" i="11"/>
  <c r="E7" i="12"/>
  <c r="Y8" i="12"/>
  <c r="H12" i="12"/>
  <c r="H2" i="13"/>
  <c r="X13" i="13"/>
  <c r="G13" i="14"/>
  <c r="U3" i="15"/>
  <c r="D7" i="15"/>
  <c r="X12" i="16"/>
  <c r="X15" i="12"/>
  <c r="M15" i="12"/>
  <c r="H15" i="12"/>
  <c r="F15" i="12"/>
  <c r="E15" i="12"/>
  <c r="AA15" i="12"/>
  <c r="C15" i="12"/>
  <c r="W15" i="12"/>
  <c r="V15" i="12"/>
  <c r="G15" i="12"/>
  <c r="S13" i="7"/>
  <c r="Q13" i="6"/>
  <c r="D7" i="7"/>
  <c r="D15" i="7"/>
  <c r="C2" i="6"/>
  <c r="Z2" i="6"/>
  <c r="Y13" i="6"/>
  <c r="V12" i="7"/>
  <c r="AA13" i="10"/>
  <c r="D15" i="10"/>
  <c r="J7" i="11"/>
  <c r="X14" i="11"/>
  <c r="Q15" i="12"/>
  <c r="L2" i="13"/>
  <c r="Y13" i="13"/>
  <c r="N13" i="14"/>
  <c r="W3" i="15"/>
  <c r="F7" i="15"/>
  <c r="K7" i="8"/>
  <c r="P6" i="14"/>
  <c r="W14" i="5"/>
  <c r="N13" i="6"/>
  <c r="Q17" i="6"/>
  <c r="C8" i="7"/>
  <c r="E6" i="10"/>
  <c r="C2" i="13"/>
  <c r="N12" i="6"/>
  <c r="X17" i="6"/>
  <c r="U14" i="6"/>
  <c r="Y14" i="6"/>
  <c r="R14" i="6"/>
  <c r="H8" i="8"/>
  <c r="Z15" i="8"/>
  <c r="AA15" i="8"/>
  <c r="P15" i="8"/>
  <c r="K15" i="8"/>
  <c r="P7" i="9"/>
  <c r="O12" i="9"/>
  <c r="X14" i="10"/>
  <c r="R14" i="10"/>
  <c r="M14" i="10"/>
  <c r="J14" i="10"/>
  <c r="AB14" i="10"/>
  <c r="E14" i="10"/>
  <c r="AA14" i="10"/>
  <c r="D14" i="10"/>
  <c r="E15" i="10"/>
  <c r="K7" i="11"/>
  <c r="AA14" i="11"/>
  <c r="AA12" i="12"/>
  <c r="R15" i="12"/>
  <c r="M2" i="13"/>
  <c r="Z13" i="13"/>
  <c r="Q13" i="14"/>
  <c r="X2" i="15"/>
  <c r="M2" i="15"/>
  <c r="J2" i="15"/>
  <c r="H2" i="15"/>
  <c r="E2" i="15"/>
  <c r="AB2" i="15"/>
  <c r="C2" i="15"/>
  <c r="Z2" i="15"/>
  <c r="Y2" i="15"/>
  <c r="V2" i="15"/>
  <c r="U2" i="15"/>
  <c r="Q2" i="15"/>
  <c r="P2" i="15"/>
  <c r="G7" i="15"/>
  <c r="C8" i="12"/>
  <c r="Z8" i="12"/>
  <c r="W8" i="12"/>
  <c r="U8" i="12"/>
  <c r="Q8" i="12"/>
  <c r="P8" i="12"/>
  <c r="J8" i="15"/>
  <c r="H8" i="15"/>
  <c r="F8" i="15"/>
  <c r="D8" i="15"/>
  <c r="AA8" i="15"/>
  <c r="Y8" i="15"/>
  <c r="X8" i="15"/>
  <c r="W8" i="15"/>
  <c r="T8" i="15"/>
  <c r="N8" i="15"/>
  <c r="M8" i="15"/>
  <c r="AB12" i="10"/>
  <c r="Z12" i="10"/>
  <c r="O7" i="8"/>
  <c r="K8" i="15"/>
  <c r="M13" i="6"/>
  <c r="P7" i="8"/>
  <c r="Z2" i="17"/>
  <c r="W2" i="17"/>
  <c r="J2" i="17"/>
  <c r="I2" i="17"/>
  <c r="G2" i="17"/>
  <c r="F2" i="17"/>
  <c r="AB6" i="6"/>
  <c r="M6" i="6"/>
  <c r="L12" i="7"/>
  <c r="D7" i="9"/>
  <c r="D2" i="16"/>
  <c r="I6" i="6"/>
  <c r="AA15" i="9"/>
  <c r="Z15" i="9"/>
  <c r="X14" i="8"/>
  <c r="U14" i="8"/>
  <c r="R14" i="8"/>
  <c r="M14" i="8"/>
  <c r="AB14" i="8"/>
  <c r="O12" i="6"/>
  <c r="K7" i="7"/>
  <c r="X13" i="8"/>
  <c r="U13" i="8"/>
  <c r="P13" i="8"/>
  <c r="C14" i="8"/>
  <c r="E6" i="5"/>
  <c r="Q17" i="5"/>
  <c r="J17" i="5"/>
  <c r="AA2" i="6"/>
  <c r="P6" i="6"/>
  <c r="R12" i="6"/>
  <c r="C14" i="6"/>
  <c r="AA17" i="6"/>
  <c r="M3" i="7"/>
  <c r="AB17" i="7"/>
  <c r="L17" i="7"/>
  <c r="I17" i="7"/>
  <c r="D17" i="7"/>
  <c r="O2" i="8"/>
  <c r="K2" i="8"/>
  <c r="G2" i="8"/>
  <c r="M8" i="8"/>
  <c r="C13" i="8"/>
  <c r="D14" i="8"/>
  <c r="E15" i="8"/>
  <c r="Q7" i="9"/>
  <c r="U12" i="9"/>
  <c r="H14" i="9"/>
  <c r="Q8" i="10"/>
  <c r="Z8" i="10"/>
  <c r="N8" i="10"/>
  <c r="C14" i="10"/>
  <c r="G15" i="10"/>
  <c r="L7" i="11"/>
  <c r="AB14" i="11"/>
  <c r="K7" i="12"/>
  <c r="AB12" i="12"/>
  <c r="S15" i="12"/>
  <c r="O2" i="13"/>
  <c r="AB12" i="13"/>
  <c r="U12" i="13"/>
  <c r="M12" i="13"/>
  <c r="J12" i="13"/>
  <c r="I12" i="13"/>
  <c r="D12" i="13"/>
  <c r="S13" i="14"/>
  <c r="D2" i="15"/>
  <c r="I7" i="15"/>
  <c r="K13" i="6"/>
  <c r="I8" i="12"/>
  <c r="X15" i="7"/>
  <c r="W15" i="7"/>
  <c r="T15" i="7"/>
  <c r="O15" i="7"/>
  <c r="S6" i="14"/>
  <c r="O8" i="15"/>
  <c r="AA7" i="5"/>
  <c r="T17" i="6"/>
  <c r="I7" i="9"/>
  <c r="M13" i="10"/>
  <c r="E2" i="13"/>
  <c r="J7" i="7"/>
  <c r="J8" i="7"/>
  <c r="T2" i="6"/>
  <c r="O6" i="6"/>
  <c r="Z17" i="6"/>
  <c r="L8" i="7"/>
  <c r="I15" i="7"/>
  <c r="AB13" i="5"/>
  <c r="Y13" i="5"/>
  <c r="J13" i="5"/>
  <c r="AA6" i="7"/>
  <c r="R6" i="7"/>
  <c r="O6" i="7"/>
  <c r="F6" i="7"/>
  <c r="L7" i="7"/>
  <c r="M8" i="7"/>
  <c r="X12" i="7"/>
  <c r="J15" i="7"/>
  <c r="D13" i="5"/>
  <c r="D17" i="5"/>
  <c r="AB2" i="6"/>
  <c r="AA6" i="6"/>
  <c r="S12" i="6"/>
  <c r="D14" i="6"/>
  <c r="N3" i="7"/>
  <c r="H6" i="7"/>
  <c r="M7" i="7"/>
  <c r="P8" i="7"/>
  <c r="Y12" i="7"/>
  <c r="K15" i="7"/>
  <c r="C17" i="7"/>
  <c r="C2" i="8"/>
  <c r="E13" i="8"/>
  <c r="E14" i="8"/>
  <c r="F15" i="8"/>
  <c r="R7" i="9"/>
  <c r="W12" i="9"/>
  <c r="I14" i="9"/>
  <c r="C8" i="10"/>
  <c r="F14" i="10"/>
  <c r="H15" i="10"/>
  <c r="AA6" i="11"/>
  <c r="U6" i="11"/>
  <c r="Q6" i="11"/>
  <c r="J6" i="11"/>
  <c r="I6" i="11"/>
  <c r="O7" i="11"/>
  <c r="S7" i="12"/>
  <c r="T15" i="12"/>
  <c r="R2" i="13"/>
  <c r="H12" i="13"/>
  <c r="Y14" i="14"/>
  <c r="S14" i="14"/>
  <c r="F2" i="15"/>
  <c r="K7" i="15"/>
  <c r="G13" i="6"/>
  <c r="F12" i="7"/>
  <c r="AA6" i="10"/>
  <c r="J6" i="10"/>
  <c r="C6" i="10"/>
  <c r="Q7" i="8"/>
  <c r="D13" i="10"/>
  <c r="J15" i="12"/>
  <c r="L2" i="17"/>
  <c r="Z14" i="5"/>
  <c r="E8" i="7"/>
  <c r="F7" i="11"/>
  <c r="R14" i="11"/>
  <c r="S8" i="12"/>
  <c r="L15" i="12"/>
  <c r="R8" i="8"/>
  <c r="L8" i="8"/>
  <c r="N7" i="9"/>
  <c r="AB6" i="5"/>
  <c r="X6" i="5"/>
  <c r="L3" i="7"/>
  <c r="W12" i="7"/>
  <c r="J6" i="5"/>
  <c r="F13" i="5"/>
  <c r="K17" i="5"/>
  <c r="T12" i="6"/>
  <c r="E14" i="6"/>
  <c r="O3" i="7"/>
  <c r="I6" i="7"/>
  <c r="O7" i="7"/>
  <c r="Q8" i="7"/>
  <c r="L15" i="7"/>
  <c r="E17" i="7"/>
  <c r="D2" i="8"/>
  <c r="T8" i="8"/>
  <c r="F13" i="8"/>
  <c r="F14" i="8"/>
  <c r="G15" i="8"/>
  <c r="X12" i="9"/>
  <c r="K14" i="9"/>
  <c r="W2" i="10"/>
  <c r="D2" i="10"/>
  <c r="Y2" i="10"/>
  <c r="N2" i="10"/>
  <c r="M2" i="10"/>
  <c r="G8" i="10"/>
  <c r="G14" i="10"/>
  <c r="K15" i="10"/>
  <c r="G2" i="11"/>
  <c r="C6" i="11"/>
  <c r="P7" i="11"/>
  <c r="W7" i="12"/>
  <c r="Y14" i="12"/>
  <c r="X14" i="12"/>
  <c r="Y15" i="12"/>
  <c r="V2" i="13"/>
  <c r="L12" i="13"/>
  <c r="G2" i="15"/>
  <c r="N7" i="15"/>
  <c r="T12" i="7"/>
  <c r="P12" i="7"/>
  <c r="K12" i="7"/>
  <c r="G7" i="8"/>
  <c r="W13" i="13"/>
  <c r="U13" i="13"/>
  <c r="S13" i="13"/>
  <c r="R13" i="13"/>
  <c r="P13" i="13"/>
  <c r="M13" i="13"/>
  <c r="K13" i="13"/>
  <c r="Y7" i="9"/>
  <c r="G7" i="9"/>
  <c r="X7" i="9"/>
  <c r="S7" i="9"/>
  <c r="AA12" i="10"/>
  <c r="N17" i="6"/>
  <c r="R17" i="6"/>
  <c r="O17" i="6"/>
  <c r="H17" i="6"/>
  <c r="Y6" i="8"/>
  <c r="F6" i="8"/>
  <c r="U7" i="9"/>
  <c r="R7" i="11"/>
  <c r="J12" i="11"/>
  <c r="C12" i="11"/>
  <c r="Y12" i="11"/>
  <c r="X12" i="11"/>
  <c r="Z15" i="12"/>
  <c r="X2" i="13"/>
  <c r="K3" i="14"/>
  <c r="I3" i="14"/>
  <c r="E3" i="14"/>
  <c r="C3" i="14"/>
  <c r="AB3" i="14"/>
  <c r="Z3" i="14"/>
  <c r="X3" i="14"/>
  <c r="U3" i="14"/>
  <c r="T3" i="14"/>
  <c r="O7" i="15"/>
  <c r="U6" i="14"/>
  <c r="X6" i="14"/>
  <c r="T6" i="14"/>
  <c r="Q6" i="14"/>
  <c r="O6" i="14"/>
  <c r="M6" i="14"/>
  <c r="L6" i="14"/>
  <c r="J6" i="14"/>
  <c r="F6" i="14"/>
  <c r="E6" i="14"/>
  <c r="N7" i="5"/>
  <c r="X7" i="5"/>
  <c r="Z13" i="7"/>
  <c r="X13" i="7"/>
  <c r="T13" i="7"/>
  <c r="N13" i="7"/>
  <c r="C8" i="6"/>
  <c r="C17" i="6"/>
  <c r="Y2" i="7"/>
  <c r="Q2" i="7"/>
  <c r="N2" i="7"/>
  <c r="H2" i="7"/>
  <c r="R7" i="7"/>
  <c r="E13" i="7"/>
  <c r="N15" i="7"/>
  <c r="E6" i="8"/>
  <c r="V7" i="9"/>
  <c r="S7" i="11"/>
  <c r="E12" i="11"/>
  <c r="AB15" i="12"/>
  <c r="Y2" i="13"/>
  <c r="D3" i="14"/>
  <c r="X15" i="14"/>
  <c r="V15" i="14"/>
  <c r="S15" i="14"/>
  <c r="Q15" i="14"/>
  <c r="N15" i="14"/>
  <c r="L15" i="14"/>
  <c r="J15" i="14"/>
  <c r="I15" i="14"/>
  <c r="G15" i="14"/>
  <c r="AA15" i="14"/>
  <c r="D15" i="14"/>
  <c r="Z15" i="14"/>
  <c r="C15" i="14"/>
  <c r="R7" i="15"/>
  <c r="Y7" i="17"/>
  <c r="X7" i="17"/>
  <c r="W7" i="17"/>
  <c r="V7" i="17"/>
  <c r="U7" i="17"/>
  <c r="S7" i="17"/>
  <c r="R7" i="17"/>
  <c r="P7" i="17"/>
  <c r="O7" i="17"/>
  <c r="J7" i="17"/>
  <c r="G7" i="17"/>
  <c r="F7" i="17"/>
  <c r="E7" i="17"/>
  <c r="D7" i="17"/>
  <c r="Z7" i="17"/>
  <c r="F8" i="12"/>
  <c r="X8" i="7"/>
  <c r="N8" i="7"/>
  <c r="K8" i="7"/>
  <c r="F8" i="7"/>
  <c r="R8" i="7"/>
  <c r="D8" i="6"/>
  <c r="D17" i="6"/>
  <c r="S7" i="7"/>
  <c r="U8" i="7"/>
  <c r="F13" i="7"/>
  <c r="P15" i="7"/>
  <c r="O6" i="8"/>
  <c r="AB12" i="8"/>
  <c r="Y12" i="8"/>
  <c r="T12" i="8"/>
  <c r="W7" i="9"/>
  <c r="U3" i="11"/>
  <c r="Q3" i="11"/>
  <c r="J3" i="11"/>
  <c r="I3" i="11"/>
  <c r="U7" i="11"/>
  <c r="F12" i="11"/>
  <c r="Y3" i="12"/>
  <c r="M3" i="12"/>
  <c r="J3" i="12"/>
  <c r="G3" i="12"/>
  <c r="Z2" i="13"/>
  <c r="AB6" i="13"/>
  <c r="AA6" i="13"/>
  <c r="P6" i="13"/>
  <c r="K6" i="13"/>
  <c r="J6" i="13"/>
  <c r="F3" i="14"/>
  <c r="E15" i="14"/>
  <c r="L2" i="15"/>
  <c r="S7" i="15"/>
  <c r="H7" i="17"/>
  <c r="X13" i="16"/>
  <c r="D2" i="18"/>
  <c r="J3" i="18"/>
  <c r="AB8" i="18"/>
  <c r="Y12" i="18"/>
  <c r="E15" i="18"/>
  <c r="W17" i="18"/>
  <c r="H2" i="19"/>
  <c r="K3" i="19"/>
  <c r="N6" i="19"/>
  <c r="M8" i="19"/>
  <c r="C12" i="19"/>
  <c r="K13" i="19"/>
  <c r="T14" i="19"/>
  <c r="X7" i="13"/>
  <c r="M15" i="13"/>
  <c r="E7" i="14"/>
  <c r="E7" i="16"/>
  <c r="Z17" i="16"/>
  <c r="L6" i="17"/>
  <c r="F2" i="18"/>
  <c r="K3" i="18"/>
  <c r="C8" i="18"/>
  <c r="Z12" i="18"/>
  <c r="J15" i="18"/>
  <c r="Y17" i="18"/>
  <c r="M2" i="19"/>
  <c r="M3" i="19"/>
  <c r="O6" i="19"/>
  <c r="N8" i="19"/>
  <c r="E12" i="19"/>
  <c r="L13" i="19"/>
  <c r="U14" i="19"/>
  <c r="P15" i="6"/>
  <c r="P8" i="11"/>
  <c r="Z7" i="13"/>
  <c r="O14" i="13"/>
  <c r="N15" i="13"/>
  <c r="G7" i="14"/>
  <c r="V12" i="15"/>
  <c r="F7" i="16"/>
  <c r="C14" i="16"/>
  <c r="AB17" i="16"/>
  <c r="M6" i="17"/>
  <c r="G2" i="18"/>
  <c r="M3" i="18"/>
  <c r="D8" i="18"/>
  <c r="K15" i="18"/>
  <c r="AA17" i="18"/>
  <c r="N2" i="19"/>
  <c r="N3" i="19"/>
  <c r="R6" i="19"/>
  <c r="O8" i="19"/>
  <c r="F12" i="19"/>
  <c r="M13" i="19"/>
  <c r="V14" i="19"/>
  <c r="J2" i="18"/>
  <c r="N3" i="18"/>
  <c r="M15" i="18"/>
  <c r="AB17" i="18"/>
  <c r="O2" i="19"/>
  <c r="P3" i="19"/>
  <c r="W6" i="19"/>
  <c r="P8" i="19"/>
  <c r="G12" i="19"/>
  <c r="O13" i="19"/>
  <c r="AB14" i="19"/>
  <c r="R14" i="13"/>
  <c r="Q15" i="13"/>
  <c r="Y2" i="14"/>
  <c r="J7" i="14"/>
  <c r="W6" i="15"/>
  <c r="Z12" i="15"/>
  <c r="Z13" i="15"/>
  <c r="F6" i="16"/>
  <c r="I7" i="16"/>
  <c r="J14" i="16"/>
  <c r="H8" i="17"/>
  <c r="H15" i="17"/>
  <c r="L17" i="17"/>
  <c r="L2" i="18"/>
  <c r="Q3" i="18"/>
  <c r="I6" i="18"/>
  <c r="G8" i="18"/>
  <c r="H13" i="18"/>
  <c r="S15" i="18"/>
  <c r="C17" i="18"/>
  <c r="R2" i="19"/>
  <c r="R3" i="19"/>
  <c r="C7" i="19"/>
  <c r="R8" i="19"/>
  <c r="I12" i="19"/>
  <c r="Q13" i="19"/>
  <c r="C15" i="19"/>
  <c r="X6" i="15"/>
  <c r="AA12" i="15"/>
  <c r="AA13" i="15"/>
  <c r="G6" i="16"/>
  <c r="J7" i="16"/>
  <c r="Y14" i="16"/>
  <c r="J8" i="17"/>
  <c r="I15" i="17"/>
  <c r="M17" i="17"/>
  <c r="M2" i="18"/>
  <c r="R3" i="18"/>
  <c r="J6" i="18"/>
  <c r="J8" i="18"/>
  <c r="P13" i="18"/>
  <c r="W15" i="18"/>
  <c r="D17" i="18"/>
  <c r="S2" i="19"/>
  <c r="S3" i="19"/>
  <c r="F7" i="19"/>
  <c r="S8" i="19"/>
  <c r="J12" i="19"/>
  <c r="T13" i="19"/>
  <c r="E15" i="19"/>
  <c r="U15" i="6"/>
  <c r="X8" i="11"/>
  <c r="K13" i="11"/>
  <c r="E8" i="13"/>
  <c r="S15" i="13"/>
  <c r="L7" i="14"/>
  <c r="C17" i="14"/>
  <c r="AB13" i="15"/>
  <c r="H6" i="16"/>
  <c r="L7" i="16"/>
  <c r="N8" i="17"/>
  <c r="N15" i="17"/>
  <c r="O17" i="17"/>
  <c r="N2" i="18"/>
  <c r="S3" i="18"/>
  <c r="K6" i="18"/>
  <c r="K8" i="18"/>
  <c r="X15" i="18"/>
  <c r="E17" i="18"/>
  <c r="U2" i="19"/>
  <c r="T3" i="19"/>
  <c r="G7" i="19"/>
  <c r="T8" i="19"/>
  <c r="L12" i="19"/>
  <c r="V13" i="19"/>
  <c r="F15" i="19"/>
  <c r="T15" i="13"/>
  <c r="M7" i="14"/>
  <c r="I6" i="16"/>
  <c r="M7" i="16"/>
  <c r="Q17" i="17"/>
  <c r="O2" i="18"/>
  <c r="V3" i="18"/>
  <c r="O6" i="18"/>
  <c r="Y15" i="18"/>
  <c r="G17" i="18"/>
  <c r="V2" i="19"/>
  <c r="U3" i="19"/>
  <c r="H7" i="19"/>
  <c r="V8" i="19"/>
  <c r="P12" i="19"/>
  <c r="W13" i="19"/>
  <c r="G15" i="19"/>
  <c r="Y15" i="6"/>
  <c r="G17" i="9"/>
  <c r="Q13" i="11"/>
  <c r="D7" i="13"/>
  <c r="I8" i="13"/>
  <c r="Y14" i="13"/>
  <c r="W15" i="13"/>
  <c r="O7" i="14"/>
  <c r="G12" i="15"/>
  <c r="E13" i="15"/>
  <c r="K6" i="16"/>
  <c r="P7" i="16"/>
  <c r="Q8" i="17"/>
  <c r="U17" i="17"/>
  <c r="R2" i="18"/>
  <c r="Y3" i="18"/>
  <c r="Q6" i="18"/>
  <c r="O8" i="18"/>
  <c r="L14" i="18"/>
  <c r="AA15" i="18"/>
  <c r="J17" i="18"/>
  <c r="X2" i="19"/>
  <c r="W3" i="19"/>
  <c r="M7" i="19"/>
  <c r="Y8" i="19"/>
  <c r="R12" i="19"/>
  <c r="Z13" i="19"/>
  <c r="L15" i="19"/>
  <c r="C17" i="19"/>
  <c r="W17" i="17"/>
  <c r="S2" i="18"/>
  <c r="W6" i="18"/>
  <c r="P8" i="18"/>
  <c r="Q14" i="18"/>
  <c r="AB15" i="18"/>
  <c r="L17" i="18"/>
  <c r="Z2" i="19"/>
  <c r="Y3" i="19"/>
  <c r="R7" i="19"/>
  <c r="Z8" i="19"/>
  <c r="T12" i="19"/>
  <c r="AA13" i="19"/>
  <c r="M15" i="19"/>
  <c r="E17" i="19"/>
  <c r="Z15" i="13"/>
  <c r="R7" i="14"/>
  <c r="M6" i="16"/>
  <c r="S7" i="16"/>
  <c r="C13" i="17"/>
  <c r="X17" i="17"/>
  <c r="U2" i="18"/>
  <c r="M17" i="18"/>
  <c r="Z3" i="19"/>
  <c r="U7" i="19"/>
  <c r="O15" i="19"/>
  <c r="F17" i="19"/>
  <c r="N6" i="16"/>
  <c r="D13" i="17"/>
  <c r="V2" i="18"/>
  <c r="N17" i="18"/>
  <c r="AA3" i="19"/>
  <c r="AB8" i="19"/>
  <c r="V12" i="19"/>
  <c r="F14" i="19"/>
  <c r="P15" i="19"/>
  <c r="G17" i="19"/>
  <c r="S3" i="16"/>
  <c r="O6" i="16"/>
  <c r="U7" i="16"/>
  <c r="C17" i="16"/>
  <c r="U8" i="17"/>
  <c r="N13" i="17"/>
  <c r="Z17" i="17"/>
  <c r="X2" i="18"/>
  <c r="S8" i="18"/>
  <c r="V14" i="18"/>
  <c r="O17" i="18"/>
  <c r="C3" i="19"/>
  <c r="AB3" i="19"/>
  <c r="C8" i="19"/>
  <c r="Y12" i="19"/>
  <c r="G14" i="19"/>
  <c r="Q15" i="19"/>
  <c r="M17" i="19"/>
  <c r="I7" i="13"/>
  <c r="T8" i="13"/>
  <c r="E15" i="13"/>
  <c r="W7" i="14"/>
  <c r="K6" i="15"/>
  <c r="L12" i="15"/>
  <c r="J13" i="15"/>
  <c r="L17" i="15"/>
  <c r="Q6" i="16"/>
  <c r="V7" i="16"/>
  <c r="D17" i="16"/>
  <c r="V8" i="17"/>
  <c r="Q13" i="17"/>
  <c r="Y2" i="18"/>
  <c r="T8" i="18"/>
  <c r="X14" i="18"/>
  <c r="P17" i="18"/>
  <c r="D3" i="19"/>
  <c r="D8" i="19"/>
  <c r="AA12" i="19"/>
  <c r="H14" i="19"/>
  <c r="W15" i="19"/>
  <c r="O17" i="19"/>
  <c r="E8" i="19"/>
  <c r="AB12" i="19"/>
  <c r="J14" i="19"/>
  <c r="Y15" i="19"/>
  <c r="Q17" i="19"/>
  <c r="Y7" i="14"/>
  <c r="X17" i="15"/>
  <c r="T6" i="16"/>
  <c r="H17" i="16"/>
  <c r="S13" i="17"/>
  <c r="R17" i="18"/>
  <c r="F3" i="19"/>
  <c r="D6" i="19"/>
  <c r="K14" i="19"/>
  <c r="AA15" i="19"/>
  <c r="R17" i="19"/>
  <c r="J17" i="16"/>
  <c r="AA8" i="17"/>
  <c r="U13" i="17"/>
  <c r="D3" i="18"/>
  <c r="S17" i="18"/>
  <c r="G3" i="19"/>
  <c r="E6" i="19"/>
  <c r="G8" i="19"/>
  <c r="C13" i="19"/>
  <c r="L14" i="19"/>
  <c r="AB15" i="19"/>
  <c r="V17" i="19"/>
  <c r="W6" i="16"/>
  <c r="D13" i="16"/>
  <c r="R17" i="16"/>
  <c r="W13" i="17"/>
  <c r="E3" i="18"/>
  <c r="T17" i="18"/>
  <c r="H3" i="19"/>
  <c r="G6" i="19"/>
  <c r="H8" i="19"/>
  <c r="D13" i="19"/>
  <c r="O14" i="19"/>
  <c r="Y17" i="19"/>
  <c r="X13" i="17"/>
  <c r="H3" i="18"/>
  <c r="C15" i="18"/>
  <c r="U17" i="18"/>
  <c r="C2" i="19"/>
  <c r="I3" i="19"/>
  <c r="H6" i="19"/>
  <c r="J8" i="19"/>
  <c r="E13" i="19"/>
  <c r="Q14" i="19"/>
  <c r="AA17" i="19"/>
  <c r="I3" i="18"/>
  <c r="V17" i="18"/>
  <c r="J3" i="19"/>
  <c r="J6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<sst xmlns="http://schemas.openxmlformats.org/spreadsheetml/2006/main" count="3113" uniqueCount="587">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</sst>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175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WA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1.8245783963123922E-2</v>
      </c>
      <c r="C2" s="7">
        <f>$B2 * IFERROR(VLOOKUP("transport|PM25|Premature mortality", US_national_yearly!$D:$AM, 11, FALSE) / VLOOKUP("transport|PM25|Premature mortality", US_national_yearly!$D:$AM, 10, FALSE), 1)</f>
        <v>1.84719916988841E-2</v>
      </c>
      <c r="D2" s="7">
        <f>$B2 * IFERROR(VLOOKUP("transport|PM25|Premature mortality", US_national_yearly!$D:$AM, 12, FALSE) / VLOOKUP("transport|PM25|Premature mortality", US_national_yearly!$D:$AM, 10, FALSE), 1)</f>
        <v>1.8698199434644278E-2</v>
      </c>
      <c r="E2" s="7">
        <f>$B2 * IFERROR(VLOOKUP("transport|PM25|Premature mortality", US_national_yearly!$D:$AM, 13, FALSE) / VLOOKUP("transport|PM25|Premature mortality", US_national_yearly!$D:$AM, 10, FALSE), 1)</f>
        <v>1.8924407170404452E-2</v>
      </c>
      <c r="F2" s="7">
        <f>$B2 * IFERROR(VLOOKUP("transport|PM25|Premature mortality", US_national_yearly!$D:$AM, 14, FALSE) / VLOOKUP("transport|PM25|Premature mortality", US_national_yearly!$D:$AM, 10, FALSE), 1)</f>
        <v>1.9150614906164626E-2</v>
      </c>
      <c r="G2" s="7">
        <f>$B2 * IFERROR(VLOOKUP("transport|PM25|Premature mortality", US_national_yearly!$D:$AM, 15, FALSE) / VLOOKUP("transport|PM25|Premature mortality", US_national_yearly!$D:$AM, 10, FALSE), 1)</f>
        <v>1.9591152765539209E-2</v>
      </c>
      <c r="H2" s="7">
        <f>$B2 * IFERROR(VLOOKUP("transport|PM25|Premature mortality", US_national_yearly!$D:$AM, 16, FALSE) / VLOOKUP("transport|PM25|Premature mortality", US_national_yearly!$D:$AM, 10, FALSE), 1)</f>
        <v>2.0031690624913792E-2</v>
      </c>
      <c r="I2" s="7">
        <f>$B2 * IFERROR(VLOOKUP("transport|PM25|Premature mortality", US_national_yearly!$D:$AM, 17, FALSE) / VLOOKUP("transport|PM25|Premature mortality", US_national_yearly!$D:$AM, 10, FALSE), 1)</f>
        <v>2.0321054435451874E-2</v>
      </c>
      <c r="J2" s="7">
        <f>$B2 * IFERROR(VLOOKUP("transport|PM25|Premature mortality", US_national_yearly!$D:$AM, 18, FALSE) / VLOOKUP("transport|PM25|Premature mortality", US_national_yearly!$D:$AM, 10, FALSE), 1)</f>
        <v>2.0610418245989963E-2</v>
      </c>
      <c r="K2" s="7">
        <f>$B2 * IFERROR(VLOOKUP("transport|PM25|Premature mortality", US_national_yearly!$D:$AM, 19, FALSE) / VLOOKUP("transport|PM25|Premature mortality", US_national_yearly!$D:$AM, 10, FALSE), 1)</f>
        <v>2.0899782056528045E-2</v>
      </c>
      <c r="L2" s="7">
        <f>$B2 * IFERROR(VLOOKUP("transport|PM25|Premature mortality", US_national_yearly!$D:$AM, 20, FALSE) / VLOOKUP("transport|PM25|Premature mortality", US_national_yearly!$D:$AM, 10, FALSE), 1)</f>
        <v>2.1189145867066134E-2</v>
      </c>
      <c r="M2" s="7">
        <f>$B2 * IFERROR(VLOOKUP("transport|PM25|Premature mortality", US_national_yearly!$D:$AM, 21, FALSE) / VLOOKUP("transport|PM25|Premature mortality", US_national_yearly!$D:$AM, 10, FALSE), 1)</f>
        <v>2.1478509677604216E-2</v>
      </c>
      <c r="N2" s="7">
        <f>$B2 * IFERROR(VLOOKUP("transport|PM25|Premature mortality", US_national_yearly!$D:$AM, 22, FALSE) / VLOOKUP("transport|PM25|Premature mortality", US_national_yearly!$D:$AM, 10, FALSE), 1)</f>
        <v>2.1703182260205279E-2</v>
      </c>
      <c r="O2" s="7">
        <f>$B2 * IFERROR(VLOOKUP("transport|PM25|Premature mortality", US_national_yearly!$D:$AM, 23, FALSE) / VLOOKUP("transport|PM25|Premature mortality", US_national_yearly!$D:$AM, 10, FALSE), 1)</f>
        <v>2.1927854842806339E-2</v>
      </c>
      <c r="P2" s="7">
        <f>$B2 * IFERROR(VLOOKUP("transport|PM25|Premature mortality", US_national_yearly!$D:$AM, 24, FALSE) / VLOOKUP("transport|PM25|Premature mortality", US_national_yearly!$D:$AM, 10, FALSE), 1)</f>
        <v>2.2152527425407399E-2</v>
      </c>
      <c r="Q2" s="7">
        <f>$B2 * IFERROR(VLOOKUP("transport|PM25|Premature mortality", US_national_yearly!$D:$AM, 25, FALSE) / VLOOKUP("transport|PM25|Premature mortality", US_national_yearly!$D:$AM, 10, FALSE), 1)</f>
        <v>2.2377200008008462E-2</v>
      </c>
      <c r="R2" s="7">
        <f>$B2 * IFERROR(VLOOKUP("transport|PM25|Premature mortality", US_national_yearly!$D:$AM, 26, FALSE) / VLOOKUP("transport|PM25|Premature mortality", US_national_yearly!$D:$AM, 10, FALSE), 1)</f>
        <v>2.2601872590609525E-2</v>
      </c>
      <c r="S2" s="7">
        <f>$B2 * IFERROR(VLOOKUP("transport|PM25|Premature mortality", US_national_yearly!$D:$AM, 27, FALSE) / VLOOKUP("transport|PM25|Premature mortality", US_national_yearly!$D:$AM, 10, FALSE), 1)</f>
        <v>2.2720897449626649E-2</v>
      </c>
      <c r="T2" s="7">
        <f>$B2 * IFERROR(VLOOKUP("transport|PM25|Premature mortality", US_national_yearly!$D:$AM, 28, FALSE) / VLOOKUP("transport|PM25|Premature mortality", US_national_yearly!$D:$AM, 10, FALSE), 1)</f>
        <v>2.2839922308643769E-2</v>
      </c>
      <c r="U2" s="7">
        <f>$B2 * IFERROR(VLOOKUP("transport|PM25|Premature mortality", US_national_yearly!$D:$AM, 29, FALSE) / VLOOKUP("transport|PM25|Premature mortality", US_national_yearly!$D:$AM, 10, FALSE), 1)</f>
        <v>2.2958947167660886E-2</v>
      </c>
      <c r="V2" s="7">
        <f>$B2 * IFERROR(VLOOKUP("transport|PM25|Premature mortality", US_national_yearly!$D:$AM, 30, FALSE) / VLOOKUP("transport|PM25|Premature mortality", US_national_yearly!$D:$AM, 10, FALSE), 1)</f>
        <v>2.3077972026678006E-2</v>
      </c>
      <c r="W2" s="7">
        <f>$B2 * IFERROR(VLOOKUP("transport|PM25|Premature mortality", US_national_yearly!$D:$AM, 31, FALSE) / VLOOKUP("transport|PM25|Premature mortality", US_national_yearly!$D:$AM, 10, FALSE), 1)</f>
        <v>2.3196996885695126E-2</v>
      </c>
      <c r="X2" s="7">
        <f>$B2 * IFERROR(VLOOKUP("transport|PM25|Premature mortality", US_national_yearly!$D:$AM, 32, FALSE) / VLOOKUP("transport|PM25|Premature mortality", US_national_yearly!$D:$AM, 10, FALSE), 1)</f>
        <v>2.3217809303015334E-2</v>
      </c>
      <c r="Y2" s="7">
        <f>$B2 * IFERROR(VLOOKUP("transport|PM25|Premature mortality", US_national_yearly!$D:$AM, 33, FALSE) / VLOOKUP("transport|PM25|Premature mortality", US_national_yearly!$D:$AM, 10, FALSE), 1)</f>
        <v>2.3238621720335549E-2</v>
      </c>
      <c r="Z2" s="7">
        <f>$B2 * IFERROR(VLOOKUP("transport|PM25|Premature mortality", US_national_yearly!$D:$AM, 34, FALSE) / VLOOKUP("transport|PM25|Premature mortality", US_national_yearly!$D:$AM, 10, FALSE), 1)</f>
        <v>2.3259434137655761E-2</v>
      </c>
      <c r="AA2" s="7">
        <f>$B2 * IFERROR(VLOOKUP("transport|PM25|Premature mortality", US_national_yearly!$D:$AM, 35, FALSE) / VLOOKUP("transport|PM25|Premature mortality", US_national_yearly!$D:$AM, 10, FALSE), 1)</f>
        <v>2.3280246554975976E-2</v>
      </c>
      <c r="AB2" s="7">
        <f>$B2 * IFERROR(VLOOKUP("transport|PM25|Premature mortality", US_national_yearly!$D:$AM, 36, FALSE) / VLOOKUP("transport|PM25|Premature mortality", US_national_yearly!$D:$AM, 10, FALSE), 1)</f>
        <v>2.3301058972296184E-2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3.8457501812814468E-5</v>
      </c>
      <c r="C3" s="7">
        <f>$B3 * IFERROR(VLOOKUP("transport|PM25|Infant mortality", US_national_yearly!$D:$AM, 11, FALSE) / VLOOKUP("transport|PM25|Infant mortality", US_national_yearly!$D:$AM, 10, FALSE), 1)</f>
        <v>3.8122187489727267E-5</v>
      </c>
      <c r="D3" s="7">
        <f>$B3 * IFERROR(VLOOKUP("transport|PM25|Infant mortality", US_national_yearly!$D:$AM, 12, FALSE) / VLOOKUP("transport|PM25|Infant mortality", US_national_yearly!$D:$AM, 10, FALSE), 1)</f>
        <v>3.778687316664006E-5</v>
      </c>
      <c r="E3" s="7">
        <f>$B3 * IFERROR(VLOOKUP("transport|PM25|Infant mortality", US_national_yearly!$D:$AM, 13, FALSE) / VLOOKUP("transport|PM25|Infant mortality", US_national_yearly!$D:$AM, 10, FALSE), 1)</f>
        <v>3.7451558843552852E-5</v>
      </c>
      <c r="F3" s="7">
        <f>$B3 * IFERROR(VLOOKUP("transport|PM25|Infant mortality", US_national_yearly!$D:$AM, 14, FALSE) / VLOOKUP("transport|PM25|Infant mortality", US_national_yearly!$D:$AM, 10, FALSE), 1)</f>
        <v>3.7116244520465645E-5</v>
      </c>
      <c r="G3" s="7">
        <f>$B3 * IFERROR(VLOOKUP("transport|PM25|Infant mortality", US_national_yearly!$D:$AM, 15, FALSE) / VLOOKUP("transport|PM25|Infant mortality", US_national_yearly!$D:$AM, 10, FALSE), 1)</f>
        <v>2.4684288026631543E-5</v>
      </c>
      <c r="H3" s="7">
        <f>$B3 * IFERROR(VLOOKUP("transport|PM25|Infant mortality", US_national_yearly!$D:$AM, 16, FALSE) / VLOOKUP("transport|PM25|Infant mortality", US_national_yearly!$D:$AM, 10, FALSE), 1)</f>
        <v>1.2252331532797433E-5</v>
      </c>
      <c r="I3" s="7">
        <f>$B3 * IFERROR(VLOOKUP("transport|PM25|Infant mortality", US_national_yearly!$D:$AM, 17, FALSE) / VLOOKUP("transport|PM25|Infant mortality", US_national_yearly!$D:$AM, 10, FALSE), 1)</f>
        <v>1.217224230718383E-5</v>
      </c>
      <c r="J3" s="7">
        <f>$B3 * IFERROR(VLOOKUP("transport|PM25|Infant mortality", US_national_yearly!$D:$AM, 18, FALSE) / VLOOKUP("transport|PM25|Infant mortality", US_national_yearly!$D:$AM, 10, FALSE), 1)</f>
        <v>1.2092153081570224E-5</v>
      </c>
      <c r="K3" s="7">
        <f>$B3 * IFERROR(VLOOKUP("transport|PM25|Infant mortality", US_national_yearly!$D:$AM, 19, FALSE) / VLOOKUP("transport|PM25|Infant mortality", US_national_yearly!$D:$AM, 10, FALSE), 1)</f>
        <v>1.2012063855956619E-5</v>
      </c>
      <c r="L3" s="7">
        <f>$B3 * IFERROR(VLOOKUP("transport|PM25|Infant mortality", US_national_yearly!$D:$AM, 20, FALSE) / VLOOKUP("transport|PM25|Infant mortality", US_national_yearly!$D:$AM, 10, FALSE), 1)</f>
        <v>1.1931974630343014E-5</v>
      </c>
      <c r="M3" s="7">
        <f>$B3 * IFERROR(VLOOKUP("transport|PM25|Infant mortality", US_national_yearly!$D:$AM, 21, FALSE) / VLOOKUP("transport|PM25|Infant mortality", US_national_yearly!$D:$AM, 10, FALSE), 1)</f>
        <v>1.1851885404729411E-5</v>
      </c>
      <c r="N3" s="7">
        <f>$B3 * IFERROR(VLOOKUP("transport|PM25|Infant mortality", US_national_yearly!$D:$AM, 22, FALSE) / VLOOKUP("transport|PM25|Infant mortality", US_national_yearly!$D:$AM, 10, FALSE), 1)</f>
        <v>1.1801580504300826E-5</v>
      </c>
      <c r="O3" s="7">
        <f>$B3 * IFERROR(VLOOKUP("transport|PM25|Infant mortality", US_national_yearly!$D:$AM, 23, FALSE) / VLOOKUP("transport|PM25|Infant mortality", US_national_yearly!$D:$AM, 10, FALSE), 1)</f>
        <v>1.1751275603872243E-5</v>
      </c>
      <c r="P3" s="7">
        <f>$B3 * IFERROR(VLOOKUP("transport|PM25|Infant mortality", US_national_yearly!$D:$AM, 24, FALSE) / VLOOKUP("transport|PM25|Infant mortality", US_national_yearly!$D:$AM, 10, FALSE), 1)</f>
        <v>1.1700970703443656E-5</v>
      </c>
      <c r="Q3" s="7">
        <f>$B3 * IFERROR(VLOOKUP("transport|PM25|Infant mortality", US_national_yearly!$D:$AM, 25, FALSE) / VLOOKUP("transport|PM25|Infant mortality", US_national_yearly!$D:$AM, 10, FALSE), 1)</f>
        <v>1.1650665803015072E-5</v>
      </c>
      <c r="R3" s="7">
        <f>$B3 * IFERROR(VLOOKUP("transport|PM25|Infant mortality", US_national_yearly!$D:$AM, 26, FALSE) / VLOOKUP("transport|PM25|Infant mortality", US_national_yearly!$D:$AM, 10, FALSE), 1)</f>
        <v>1.1600360902586486E-5</v>
      </c>
      <c r="S3" s="7">
        <f>$B3 * IFERROR(VLOOKUP("transport|PM25|Infant mortality", US_national_yearly!$D:$AM, 27, FALSE) / VLOOKUP("transport|PM25|Infant mortality", US_national_yearly!$D:$AM, 10, FALSE), 1)</f>
        <v>1.1537654815638148E-5</v>
      </c>
      <c r="T3" s="7">
        <f>$B3 * IFERROR(VLOOKUP("transport|PM25|Infant mortality", US_national_yearly!$D:$AM, 28, FALSE) / VLOOKUP("transport|PM25|Infant mortality", US_national_yearly!$D:$AM, 10, FALSE), 1)</f>
        <v>1.1474948728689806E-5</v>
      </c>
      <c r="U3" s="7">
        <f>$B3 * IFERROR(VLOOKUP("transport|PM25|Infant mortality", US_national_yearly!$D:$AM, 29, FALSE) / VLOOKUP("transport|PM25|Infant mortality", US_national_yearly!$D:$AM, 10, FALSE), 1)</f>
        <v>1.1412242641741467E-5</v>
      </c>
      <c r="V3" s="7">
        <f>$B3 * IFERROR(VLOOKUP("transport|PM25|Infant mortality", US_national_yearly!$D:$AM, 30, FALSE) / VLOOKUP("transport|PM25|Infant mortality", US_national_yearly!$D:$AM, 10, FALSE), 1)</f>
        <v>1.1349536554793128E-5</v>
      </c>
      <c r="W3" s="7">
        <f>$B3 * IFERROR(VLOOKUP("transport|PM25|Infant mortality", US_national_yearly!$D:$AM, 31, FALSE) / VLOOKUP("transport|PM25|Infant mortality", US_national_yearly!$D:$AM, 10, FALSE), 1)</f>
        <v>1.1286830467844786E-5</v>
      </c>
      <c r="X3" s="7">
        <f>$B3 * IFERROR(VLOOKUP("transport|PM25|Infant mortality", US_national_yearly!$D:$AM, 32, FALSE) / VLOOKUP("transport|PM25|Infant mortality", US_national_yearly!$D:$AM, 10, FALSE), 1)</f>
        <v>1.1219225424786194E-5</v>
      </c>
      <c r="Y3" s="7">
        <f>$B3 * IFERROR(VLOOKUP("transport|PM25|Infant mortality", US_national_yearly!$D:$AM, 33, FALSE) / VLOOKUP("transport|PM25|Infant mortality", US_national_yearly!$D:$AM, 10, FALSE), 1)</f>
        <v>1.1151620381727596E-5</v>
      </c>
      <c r="Z3" s="7">
        <f>$B3 * IFERROR(VLOOKUP("transport|PM25|Infant mortality", US_national_yearly!$D:$AM, 34, FALSE) / VLOOKUP("transport|PM25|Infant mortality", US_national_yearly!$D:$AM, 10, FALSE), 1)</f>
        <v>1.1084015338669004E-5</v>
      </c>
      <c r="AA3" s="7">
        <f>$B3 * IFERROR(VLOOKUP("transport|PM25|Infant mortality", US_national_yearly!$D:$AM, 35, FALSE) / VLOOKUP("transport|PM25|Infant mortality", US_national_yearly!$D:$AM, 10, FALSE), 1)</f>
        <v>1.1016410295610408E-5</v>
      </c>
      <c r="AB3" s="7">
        <f>$B3 * IFERROR(VLOOKUP("transport|PM25|Infant mortality", US_national_yearly!$D:$AM, 36, FALSE) / VLOOKUP("transport|PM25|Infant mortality", US_national_yearly!$D:$AM, 10, FALSE), 1)</f>
        <v>1.0948805252551816E-5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5.1971572170050197E-2</v>
      </c>
      <c r="C6" s="7">
        <f>$B6 * IFERROR(VLOOKUP("transport|PM25|Asthma symptoms cough", US_national_yearly!$D:$AM, 11, FALSE) / VLOOKUP("transport|PM25|Asthma symptoms cough", US_national_yearly!$D:$AM, 10, FALSE), 1)</f>
        <v>5.1971572170050197E-2</v>
      </c>
      <c r="D6" s="7">
        <f>$B6 * IFERROR(VLOOKUP("transport|PM25|Asthma symptoms cough", US_national_yearly!$D:$AM, 12, FALSE) / VLOOKUP("transport|PM25|Asthma symptoms cough", US_national_yearly!$D:$AM, 10, FALSE), 1)</f>
        <v>5.1971572170050197E-2</v>
      </c>
      <c r="E6" s="7">
        <f>$B6 * IFERROR(VLOOKUP("transport|PM25|Asthma symptoms cough", US_national_yearly!$D:$AM, 13, FALSE) / VLOOKUP("transport|PM25|Asthma symptoms cough", US_national_yearly!$D:$AM, 10, FALSE), 1)</f>
        <v>5.1971572170050197E-2</v>
      </c>
      <c r="F6" s="7">
        <f>$B6 * IFERROR(VLOOKUP("transport|PM25|Asthma symptoms cough", US_national_yearly!$D:$AM, 14, FALSE) / VLOOKUP("transport|PM25|Asthma symptoms cough", US_national_yearly!$D:$AM, 10, FALSE), 1)</f>
        <v>5.1971572170050197E-2</v>
      </c>
      <c r="G6" s="7">
        <f>$B6 * IFERROR(VLOOKUP("transport|PM25|Asthma symptoms cough", US_national_yearly!$D:$AM, 15, FALSE) / VLOOKUP("transport|PM25|Asthma symptoms cough", US_national_yearly!$D:$AM, 10, FALSE), 1)</f>
        <v>5.1971572170050197E-2</v>
      </c>
      <c r="H6" s="7">
        <f>$B6 * IFERROR(VLOOKUP("transport|PM25|Asthma symptoms cough", US_national_yearly!$D:$AM, 16, FALSE) / VLOOKUP("transport|PM25|Asthma symptoms cough", US_national_yearly!$D:$AM, 10, FALSE), 1)</f>
        <v>5.1971572170050197E-2</v>
      </c>
      <c r="I6" s="7">
        <f>$B6 * IFERROR(VLOOKUP("transport|PM25|Asthma symptoms cough", US_national_yearly!$D:$AM, 17, FALSE) / VLOOKUP("transport|PM25|Asthma symptoms cough", US_national_yearly!$D:$AM, 10, FALSE), 1)</f>
        <v>5.1971572170050197E-2</v>
      </c>
      <c r="J6" s="7">
        <f>$B6 * IFERROR(VLOOKUP("transport|PM25|Asthma symptoms cough", US_national_yearly!$D:$AM, 18, FALSE) / VLOOKUP("transport|PM25|Asthma symptoms cough", US_national_yearly!$D:$AM, 10, FALSE), 1)</f>
        <v>5.1971572170050197E-2</v>
      </c>
      <c r="K6" s="7">
        <f>$B6 * IFERROR(VLOOKUP("transport|PM25|Asthma symptoms cough", US_national_yearly!$D:$AM, 19, FALSE) / VLOOKUP("transport|PM25|Asthma symptoms cough", US_national_yearly!$D:$AM, 10, FALSE), 1)</f>
        <v>5.1971572170050197E-2</v>
      </c>
      <c r="L6" s="7">
        <f>$B6 * IFERROR(VLOOKUP("transport|PM25|Asthma symptoms cough", US_national_yearly!$D:$AM, 20, FALSE) / VLOOKUP("transport|PM25|Asthma symptoms cough", US_national_yearly!$D:$AM, 10, FALSE), 1)</f>
        <v>5.1971572170050197E-2</v>
      </c>
      <c r="M6" s="7">
        <f>$B6 * IFERROR(VLOOKUP("transport|PM25|Asthma symptoms cough", US_national_yearly!$D:$AM, 21, FALSE) / VLOOKUP("transport|PM25|Asthma symptoms cough", US_national_yearly!$D:$AM, 10, FALSE), 1)</f>
        <v>5.1971572170050197E-2</v>
      </c>
      <c r="N6" s="7">
        <f>$B6 * IFERROR(VLOOKUP("transport|PM25|Asthma symptoms cough", US_national_yearly!$D:$AM, 22, FALSE) / VLOOKUP("transport|PM25|Asthma symptoms cough", US_national_yearly!$D:$AM, 10, FALSE), 1)</f>
        <v>5.1971572170050197E-2</v>
      </c>
      <c r="O6" s="7">
        <f>$B6 * IFERROR(VLOOKUP("transport|PM25|Asthma symptoms cough", US_national_yearly!$D:$AM, 23, FALSE) / VLOOKUP("transport|PM25|Asthma symptoms cough", US_national_yearly!$D:$AM, 10, FALSE), 1)</f>
        <v>5.1971572170050197E-2</v>
      </c>
      <c r="P6" s="7">
        <f>$B6 * IFERROR(VLOOKUP("transport|PM25|Asthma symptoms cough", US_national_yearly!$D:$AM, 24, FALSE) / VLOOKUP("transport|PM25|Asthma symptoms cough", US_national_yearly!$D:$AM, 10, FALSE), 1)</f>
        <v>5.1971572170050197E-2</v>
      </c>
      <c r="Q6" s="7">
        <f>$B6 * IFERROR(VLOOKUP("transport|PM25|Asthma symptoms cough", US_national_yearly!$D:$AM, 25, FALSE) / VLOOKUP("transport|PM25|Asthma symptoms cough", US_national_yearly!$D:$AM, 10, FALSE), 1)</f>
        <v>5.1971572170050197E-2</v>
      </c>
      <c r="R6" s="7">
        <f>$B6 * IFERROR(VLOOKUP("transport|PM25|Asthma symptoms cough", US_national_yearly!$D:$AM, 26, FALSE) / VLOOKUP("transport|PM25|Asthma symptoms cough", US_national_yearly!$D:$AM, 10, FALSE), 1)</f>
        <v>5.1971572170050197E-2</v>
      </c>
      <c r="S6" s="7">
        <f>$B6 * IFERROR(VLOOKUP("transport|PM25|Asthma symptoms cough", US_national_yearly!$D:$AM, 27, FALSE) / VLOOKUP("transport|PM25|Asthma symptoms cough", US_national_yearly!$D:$AM, 10, FALSE), 1)</f>
        <v>5.1971572170050197E-2</v>
      </c>
      <c r="T6" s="7">
        <f>$B6 * IFERROR(VLOOKUP("transport|PM25|Asthma symptoms cough", US_national_yearly!$D:$AM, 28, FALSE) / VLOOKUP("transport|PM25|Asthma symptoms cough", US_national_yearly!$D:$AM, 10, FALSE), 1)</f>
        <v>5.1971572170050197E-2</v>
      </c>
      <c r="U6" s="7">
        <f>$B6 * IFERROR(VLOOKUP("transport|PM25|Asthma symptoms cough", US_national_yearly!$D:$AM, 29, FALSE) / VLOOKUP("transport|PM25|Asthma symptoms cough", US_national_yearly!$D:$AM, 10, FALSE), 1)</f>
        <v>5.1971572170050197E-2</v>
      </c>
      <c r="V6" s="7">
        <f>$B6 * IFERROR(VLOOKUP("transport|PM25|Asthma symptoms cough", US_national_yearly!$D:$AM, 30, FALSE) / VLOOKUP("transport|PM25|Asthma symptoms cough", US_national_yearly!$D:$AM, 10, FALSE), 1)</f>
        <v>5.1971572170050197E-2</v>
      </c>
      <c r="W6" s="7">
        <f>$B6 * IFERROR(VLOOKUP("transport|PM25|Asthma symptoms cough", US_national_yearly!$D:$AM, 31, FALSE) / VLOOKUP("transport|PM25|Asthma symptoms cough", US_national_yearly!$D:$AM, 10, FALSE), 1)</f>
        <v>5.1971572170050197E-2</v>
      </c>
      <c r="X6" s="7">
        <f>$B6 * IFERROR(VLOOKUP("transport|PM25|Asthma symptoms cough", US_national_yearly!$D:$AM, 32, FALSE) / VLOOKUP("transport|PM25|Asthma symptoms cough", US_national_yearly!$D:$AM, 10, FALSE), 1)</f>
        <v>5.1971572170050197E-2</v>
      </c>
      <c r="Y6" s="7">
        <f>$B6 * IFERROR(VLOOKUP("transport|PM25|Asthma symptoms cough", US_national_yearly!$D:$AM, 33, FALSE) / VLOOKUP("transport|PM25|Asthma symptoms cough", US_national_yearly!$D:$AM, 10, FALSE), 1)</f>
        <v>5.1971572170050197E-2</v>
      </c>
      <c r="Z6" s="7">
        <f>$B6 * IFERROR(VLOOKUP("transport|PM25|Asthma symptoms cough", US_national_yearly!$D:$AM, 34, FALSE) / VLOOKUP("transport|PM25|Asthma symptoms cough", US_national_yearly!$D:$AM, 10, FALSE), 1)</f>
        <v>5.1971572170050197E-2</v>
      </c>
      <c r="AA6" s="7">
        <f>$B6 * IFERROR(VLOOKUP("transport|PM25|Asthma symptoms cough", US_national_yearly!$D:$AM, 35, FALSE) / VLOOKUP("transport|PM25|Asthma symptoms cough", US_national_yearly!$D:$AM, 10, FALSE), 1)</f>
        <v>5.1971572170050197E-2</v>
      </c>
      <c r="AB6" s="7">
        <f>$B6 * IFERROR(VLOOKUP("transport|PM25|Asthma symptoms cough", US_national_yearly!$D:$AM, 36, FALSE) / VLOOKUP("transport|PM25|Asthma symptoms cough", US_national_yearly!$D:$AM, 10, FALSE), 1)</f>
        <v>5.1971572170050197E-2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6.9986186638906919E-2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6.9986186638906919E-2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6.9986186638906919E-2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6.9986186638906919E-2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6.9986186638906919E-2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6.9986186638906919E-2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6.9986186638906919E-2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6.9986186638906919E-2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6.9986186638906919E-2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6.9986186638906919E-2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6.9986186638906919E-2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6.9986186638906919E-2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6.9986186638906919E-2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6.9986186638906919E-2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6.9986186638906919E-2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6.9986186638906919E-2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6.9986186638906919E-2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6.9986186638906919E-2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6.9986186638906919E-2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6.9986186638906919E-2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6.9986186638906919E-2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6.9986186638906919E-2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6.9986186638906919E-2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6.9986186638906919E-2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6.9986186638906919E-2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6.9986186638906919E-2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6.9986186638906919E-2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0.10693087163981708</v>
      </c>
      <c r="C8" s="7">
        <f>$B8 * IFERROR(VLOOKUP("transport|PM25|Asthma symptoms wheeze", US_national_yearly!$D:$AM, 11, FALSE) / VLOOKUP("transport|PM25|Asthma symptoms wheeze", US_national_yearly!$D:$AM, 10, FALSE), 1)</f>
        <v>0.10693087163981708</v>
      </c>
      <c r="D8" s="7">
        <f>$B8 * IFERROR(VLOOKUP("transport|PM25|Asthma symptoms wheeze", US_national_yearly!$D:$AM, 12, FALSE) / VLOOKUP("transport|PM25|Asthma symptoms wheeze", US_national_yearly!$D:$AM, 10, FALSE), 1)</f>
        <v>0.10693087163981708</v>
      </c>
      <c r="E8" s="7">
        <f>$B8 * IFERROR(VLOOKUP("transport|PM25|Asthma symptoms wheeze", US_national_yearly!$D:$AM, 13, FALSE) / VLOOKUP("transport|PM25|Asthma symptoms wheeze", US_national_yearly!$D:$AM, 10, FALSE), 1)</f>
        <v>0.10693087163981708</v>
      </c>
      <c r="F8" s="7">
        <f>$B8 * IFERROR(VLOOKUP("transport|PM25|Asthma symptoms wheeze", US_national_yearly!$D:$AM, 14, FALSE) / VLOOKUP("transport|PM25|Asthma symptoms wheeze", US_national_yearly!$D:$AM, 10, FALSE), 1)</f>
        <v>0.10693087163981708</v>
      </c>
      <c r="G8" s="7">
        <f>$B8 * IFERROR(VLOOKUP("transport|PM25|Asthma symptoms wheeze", US_national_yearly!$D:$AM, 15, FALSE) / VLOOKUP("transport|PM25|Asthma symptoms wheeze", US_national_yearly!$D:$AM, 10, FALSE), 1)</f>
        <v>0.10693087163981708</v>
      </c>
      <c r="H8" s="7">
        <f>$B8 * IFERROR(VLOOKUP("transport|PM25|Asthma symptoms wheeze", US_national_yearly!$D:$AM, 16, FALSE) / VLOOKUP("transport|PM25|Asthma symptoms wheeze", US_national_yearly!$D:$AM, 10, FALSE), 1)</f>
        <v>0.10693087163981708</v>
      </c>
      <c r="I8" s="7">
        <f>$B8 * IFERROR(VLOOKUP("transport|PM25|Asthma symptoms wheeze", US_national_yearly!$D:$AM, 17, FALSE) / VLOOKUP("transport|PM25|Asthma symptoms wheeze", US_national_yearly!$D:$AM, 10, FALSE), 1)</f>
        <v>0.10693087163981708</v>
      </c>
      <c r="J8" s="7">
        <f>$B8 * IFERROR(VLOOKUP("transport|PM25|Asthma symptoms wheeze", US_national_yearly!$D:$AM, 18, FALSE) / VLOOKUP("transport|PM25|Asthma symptoms wheeze", US_national_yearly!$D:$AM, 10, FALSE), 1)</f>
        <v>0.10693087163981708</v>
      </c>
      <c r="K8" s="7">
        <f>$B8 * IFERROR(VLOOKUP("transport|PM25|Asthma symptoms wheeze", US_national_yearly!$D:$AM, 19, FALSE) / VLOOKUP("transport|PM25|Asthma symptoms wheeze", US_national_yearly!$D:$AM, 10, FALSE), 1)</f>
        <v>0.10693087163981708</v>
      </c>
      <c r="L8" s="7">
        <f>$B8 * IFERROR(VLOOKUP("transport|PM25|Asthma symptoms wheeze", US_national_yearly!$D:$AM, 20, FALSE) / VLOOKUP("transport|PM25|Asthma symptoms wheeze", US_national_yearly!$D:$AM, 10, FALSE), 1)</f>
        <v>0.10693087163981708</v>
      </c>
      <c r="M8" s="7">
        <f>$B8 * IFERROR(VLOOKUP("transport|PM25|Asthma symptoms wheeze", US_national_yearly!$D:$AM, 21, FALSE) / VLOOKUP("transport|PM25|Asthma symptoms wheeze", US_national_yearly!$D:$AM, 10, FALSE), 1)</f>
        <v>0.10693087163981708</v>
      </c>
      <c r="N8" s="7">
        <f>$B8 * IFERROR(VLOOKUP("transport|PM25|Asthma symptoms wheeze", US_national_yearly!$D:$AM, 22, FALSE) / VLOOKUP("transport|PM25|Asthma symptoms wheeze", US_national_yearly!$D:$AM, 10, FALSE), 1)</f>
        <v>0.10693087163981708</v>
      </c>
      <c r="O8" s="7">
        <f>$B8 * IFERROR(VLOOKUP("transport|PM25|Asthma symptoms wheeze", US_national_yearly!$D:$AM, 23, FALSE) / VLOOKUP("transport|PM25|Asthma symptoms wheeze", US_national_yearly!$D:$AM, 10, FALSE), 1)</f>
        <v>0.10693087163981708</v>
      </c>
      <c r="P8" s="7">
        <f>$B8 * IFERROR(VLOOKUP("transport|PM25|Asthma symptoms wheeze", US_national_yearly!$D:$AM, 24, FALSE) / VLOOKUP("transport|PM25|Asthma symptoms wheeze", US_national_yearly!$D:$AM, 10, FALSE), 1)</f>
        <v>0.10693087163981708</v>
      </c>
      <c r="Q8" s="7">
        <f>$B8 * IFERROR(VLOOKUP("transport|PM25|Asthma symptoms wheeze", US_national_yearly!$D:$AM, 25, FALSE) / VLOOKUP("transport|PM25|Asthma symptoms wheeze", US_national_yearly!$D:$AM, 10, FALSE), 1)</f>
        <v>0.10693087163981708</v>
      </c>
      <c r="R8" s="7">
        <f>$B8 * IFERROR(VLOOKUP("transport|PM25|Asthma symptoms wheeze", US_national_yearly!$D:$AM, 26, FALSE) / VLOOKUP("transport|PM25|Asthma symptoms wheeze", US_national_yearly!$D:$AM, 10, FALSE), 1)</f>
        <v>0.10693087163981708</v>
      </c>
      <c r="S8" s="7">
        <f>$B8 * IFERROR(VLOOKUP("transport|PM25|Asthma symptoms wheeze", US_national_yearly!$D:$AM, 27, FALSE) / VLOOKUP("transport|PM25|Asthma symptoms wheeze", US_national_yearly!$D:$AM, 10, FALSE), 1)</f>
        <v>0.10693087163981708</v>
      </c>
      <c r="T8" s="7">
        <f>$B8 * IFERROR(VLOOKUP("transport|PM25|Asthma symptoms wheeze", US_national_yearly!$D:$AM, 28, FALSE) / VLOOKUP("transport|PM25|Asthma symptoms wheeze", US_national_yearly!$D:$AM, 10, FALSE), 1)</f>
        <v>0.10693087163981708</v>
      </c>
      <c r="U8" s="7">
        <f>$B8 * IFERROR(VLOOKUP("transport|PM25|Asthma symptoms wheeze", US_national_yearly!$D:$AM, 29, FALSE) / VLOOKUP("transport|PM25|Asthma symptoms wheeze", US_national_yearly!$D:$AM, 10, FALSE), 1)</f>
        <v>0.10693087163981708</v>
      </c>
      <c r="V8" s="7">
        <f>$B8 * IFERROR(VLOOKUP("transport|PM25|Asthma symptoms wheeze", US_national_yearly!$D:$AM, 30, FALSE) / VLOOKUP("transport|PM25|Asthma symptoms wheeze", US_national_yearly!$D:$AM, 10, FALSE), 1)</f>
        <v>0.10693087163981708</v>
      </c>
      <c r="W8" s="7">
        <f>$B8 * IFERROR(VLOOKUP("transport|PM25|Asthma symptoms wheeze", US_national_yearly!$D:$AM, 31, FALSE) / VLOOKUP("transport|PM25|Asthma symptoms wheeze", US_national_yearly!$D:$AM, 10, FALSE), 1)</f>
        <v>0.10693087163981708</v>
      </c>
      <c r="X8" s="7">
        <f>$B8 * IFERROR(VLOOKUP("transport|PM25|Asthma symptoms wheeze", US_national_yearly!$D:$AM, 32, FALSE) / VLOOKUP("transport|PM25|Asthma symptoms wheeze", US_national_yearly!$D:$AM, 10, FALSE), 1)</f>
        <v>0.10693087163981708</v>
      </c>
      <c r="Y8" s="7">
        <f>$B8 * IFERROR(VLOOKUP("transport|PM25|Asthma symptoms wheeze", US_national_yearly!$D:$AM, 33, FALSE) / VLOOKUP("transport|PM25|Asthma symptoms wheeze", US_national_yearly!$D:$AM, 10, FALSE), 1)</f>
        <v>0.10693087163981708</v>
      </c>
      <c r="Z8" s="7">
        <f>$B8 * IFERROR(VLOOKUP("transport|PM25|Asthma symptoms wheeze", US_national_yearly!$D:$AM, 34, FALSE) / VLOOKUP("transport|PM25|Asthma symptoms wheeze", US_national_yearly!$D:$AM, 10, FALSE), 1)</f>
        <v>0.10693087163981708</v>
      </c>
      <c r="AA8" s="7">
        <f>$B8 * IFERROR(VLOOKUP("transport|PM25|Asthma symptoms wheeze", US_national_yearly!$D:$AM, 35, FALSE) / VLOOKUP("transport|PM25|Asthma symptoms wheeze", US_national_yearly!$D:$AM, 10, FALSE), 1)</f>
        <v>0.10693087163981708</v>
      </c>
      <c r="AB8" s="7">
        <f>$B8 * IFERROR(VLOOKUP("transport|PM25|Asthma symptoms wheeze", US_national_yearly!$D:$AM, 36, FALSE) / VLOOKUP("transport|PM25|Asthma symptoms wheeze", US_national_yearly!$D:$AM, 10, FALSE), 1)</f>
        <v>0.10693087163981708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9.8431710593339266E-4</v>
      </c>
      <c r="C12" s="7">
        <f>$B12 * IFERROR(VLOOKUP("transport|PM25|Respiratory hospital admissions", US_national_yearly!$D:$AM, 11, FALSE) / VLOOKUP("transport|PM25|Respiratory hospital admissions", US_national_yearly!$D:$AM, 10, FALSE), 1)</f>
        <v>9.8995881484874987E-4</v>
      </c>
      <c r="D12" s="7">
        <f>$B12 * IFERROR(VLOOKUP("transport|PM25|Respiratory hospital admissions", US_national_yearly!$D:$AM, 12, FALSE) / VLOOKUP("transport|PM25|Respiratory hospital admissions", US_national_yearly!$D:$AM, 10, FALSE), 1)</f>
        <v>9.9560052376410709E-4</v>
      </c>
      <c r="E12" s="7">
        <f>$B12 * IFERROR(VLOOKUP("transport|PM25|Respiratory hospital admissions", US_national_yearly!$D:$AM, 13, FALSE) / VLOOKUP("transport|PM25|Respiratory hospital admissions", US_national_yearly!$D:$AM, 10, FALSE), 1)</f>
        <v>1.0012422326794643E-3</v>
      </c>
      <c r="F12" s="7">
        <f>$B12 * IFERROR(VLOOKUP("transport|PM25|Respiratory hospital admissions", US_national_yearly!$D:$AM, 14, FALSE) / VLOOKUP("transport|PM25|Respiratory hospital admissions", US_national_yearly!$D:$AM, 10, FALSE), 1)</f>
        <v>1.0068839415948213E-3</v>
      </c>
      <c r="G12" s="7">
        <f>$B12 * IFERROR(VLOOKUP("transport|PM25|Respiratory hospital admissions", US_national_yearly!$D:$AM, 15, FALSE) / VLOOKUP("transport|PM25|Respiratory hospital admissions", US_national_yearly!$D:$AM, 10, FALSE), 1)</f>
        <v>1.0129772278720563E-3</v>
      </c>
      <c r="H12" s="7">
        <f>$B12 * IFERROR(VLOOKUP("transport|PM25|Respiratory hospital admissions", US_national_yearly!$D:$AM, 16, FALSE) / VLOOKUP("transport|PM25|Respiratory hospital admissions", US_national_yearly!$D:$AM, 10, FALSE), 1)</f>
        <v>1.019070514149291E-3</v>
      </c>
      <c r="I12" s="7">
        <f>$B12 * IFERROR(VLOOKUP("transport|PM25|Respiratory hospital admissions", US_national_yearly!$D:$AM, 17, FALSE) / VLOOKUP("transport|PM25|Respiratory hospital admissions", US_national_yearly!$D:$AM, 10, FALSE), 1)</f>
        <v>1.0248924176818437E-3</v>
      </c>
      <c r="J12" s="7">
        <f>$B12 * IFERROR(VLOOKUP("transport|PM25|Respiratory hospital admissions", US_national_yearly!$D:$AM, 18, FALSE) / VLOOKUP("transport|PM25|Respiratory hospital admissions", US_national_yearly!$D:$AM, 10, FALSE), 1)</f>
        <v>1.0307143212143969E-3</v>
      </c>
      <c r="K12" s="7">
        <f>$B12 * IFERROR(VLOOKUP("transport|PM25|Respiratory hospital admissions", US_national_yearly!$D:$AM, 19, FALSE) / VLOOKUP("transport|PM25|Respiratory hospital admissions", US_national_yearly!$D:$AM, 10, FALSE), 1)</f>
        <v>1.0365362247469498E-3</v>
      </c>
      <c r="L12" s="7">
        <f>$B12 * IFERROR(VLOOKUP("transport|PM25|Respiratory hospital admissions", US_national_yearly!$D:$AM, 20, FALSE) / VLOOKUP("transport|PM25|Respiratory hospital admissions", US_national_yearly!$D:$AM, 10, FALSE), 1)</f>
        <v>1.0423581282795029E-3</v>
      </c>
      <c r="M12" s="7">
        <f>$B12 * IFERROR(VLOOKUP("transport|PM25|Respiratory hospital admissions", US_national_yearly!$D:$AM, 21, FALSE) / VLOOKUP("transport|PM25|Respiratory hospital admissions", US_national_yearly!$D:$AM, 10, FALSE), 1)</f>
        <v>1.0481800318120557E-3</v>
      </c>
      <c r="N12" s="7">
        <f>$B12 * IFERROR(VLOOKUP("transport|PM25|Respiratory hospital admissions", US_national_yearly!$D:$AM, 22, FALSE) / VLOOKUP("transport|PM25|Respiratory hospital admissions", US_national_yearly!$D:$AM, 10, FALSE), 1)</f>
        <v>1.0523585818711623E-3</v>
      </c>
      <c r="O12" s="7">
        <f>$B12 * IFERROR(VLOOKUP("transport|PM25|Respiratory hospital admissions", US_national_yearly!$D:$AM, 23, FALSE) / VLOOKUP("transport|PM25|Respiratory hospital admissions", US_national_yearly!$D:$AM, 10, FALSE), 1)</f>
        <v>1.056537131930269E-3</v>
      </c>
      <c r="P12" s="7">
        <f>$B12 * IFERROR(VLOOKUP("transport|PM25|Respiratory hospital admissions", US_national_yearly!$D:$AM, 24, FALSE) / VLOOKUP("transport|PM25|Respiratory hospital admissions", US_national_yearly!$D:$AM, 10, FALSE), 1)</f>
        <v>1.0607156819893752E-3</v>
      </c>
      <c r="Q12" s="7">
        <f>$B12 * IFERROR(VLOOKUP("transport|PM25|Respiratory hospital admissions", US_national_yearly!$D:$AM, 25, FALSE) / VLOOKUP("transport|PM25|Respiratory hospital admissions", US_national_yearly!$D:$AM, 10, FALSE), 1)</f>
        <v>1.0648942320484816E-3</v>
      </c>
      <c r="R12" s="7">
        <f>$B12 * IFERROR(VLOOKUP("transport|PM25|Respiratory hospital admissions", US_national_yearly!$D:$AM, 26, FALSE) / VLOOKUP("transport|PM25|Respiratory hospital admissions", US_national_yearly!$D:$AM, 10, FALSE), 1)</f>
        <v>1.0690727821075884E-3</v>
      </c>
      <c r="S12" s="7">
        <f>$B12 * IFERROR(VLOOKUP("transport|PM25|Respiratory hospital admissions", US_national_yearly!$D:$AM, 27, FALSE) / VLOOKUP("transport|PM25|Respiratory hospital admissions", US_national_yearly!$D:$AM, 10, FALSE), 1)</f>
        <v>1.0730513123624991E-3</v>
      </c>
      <c r="T12" s="7">
        <f>$B12 * IFERROR(VLOOKUP("transport|PM25|Respiratory hospital admissions", US_national_yearly!$D:$AM, 28, FALSE) / VLOOKUP("transport|PM25|Respiratory hospital admissions", US_national_yearly!$D:$AM, 10, FALSE), 1)</f>
        <v>1.0770298426174103E-3</v>
      </c>
      <c r="U12" s="7">
        <f>$B12 * IFERROR(VLOOKUP("transport|PM25|Respiratory hospital admissions", US_national_yearly!$D:$AM, 29, FALSE) / VLOOKUP("transport|PM25|Respiratory hospital admissions", US_national_yearly!$D:$AM, 10, FALSE), 1)</f>
        <v>1.0810083728723212E-3</v>
      </c>
      <c r="V12" s="7">
        <f>$B12 * IFERROR(VLOOKUP("transport|PM25|Respiratory hospital admissions", US_national_yearly!$D:$AM, 30, FALSE) / VLOOKUP("transport|PM25|Respiratory hospital admissions", US_national_yearly!$D:$AM, 10, FALSE), 1)</f>
        <v>1.0849869031272319E-3</v>
      </c>
      <c r="W12" s="7">
        <f>$B12 * IFERROR(VLOOKUP("transport|PM25|Respiratory hospital admissions", US_national_yearly!$D:$AM, 31, FALSE) / VLOOKUP("transport|PM25|Respiratory hospital admissions", US_national_yearly!$D:$AM, 10, FALSE), 1)</f>
        <v>1.0889654333821428E-3</v>
      </c>
      <c r="X12" s="7">
        <f>$B12 * IFERROR(VLOOKUP("transport|PM25|Respiratory hospital admissions", US_national_yearly!$D:$AM, 32, FALSE) / VLOOKUP("transport|PM25|Respiratory hospital admissions", US_national_yearly!$D:$AM, 10, FALSE), 1)</f>
        <v>1.0927928302381759E-3</v>
      </c>
      <c r="Y12" s="7">
        <f>$B12 * IFERROR(VLOOKUP("transport|PM25|Respiratory hospital admissions", US_national_yearly!$D:$AM, 33, FALSE) / VLOOKUP("transport|PM25|Respiratory hospital admissions", US_national_yearly!$D:$AM, 10, FALSE), 1)</f>
        <v>1.0966202270942089E-3</v>
      </c>
      <c r="Z12" s="7">
        <f>$B12 * IFERROR(VLOOKUP("transport|PM25|Respiratory hospital admissions", US_national_yearly!$D:$AM, 34, FALSE) / VLOOKUP("transport|PM25|Respiratory hospital admissions", US_national_yearly!$D:$AM, 10, FALSE), 1)</f>
        <v>1.1004476239502418E-3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1.1042750208062747E-3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1.1081024176623076E-3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7.2528343188226771E-3</v>
      </c>
      <c r="C13" s="7">
        <f>$B13 * IFERROR(VLOOKUP("transport|PM25|Non-fatal heart attacks", US_national_yearly!$D:$AM, 11, FALSE) / VLOOKUP("transport|PM25|Non-fatal heart attacks", US_national_yearly!$D:$AM, 10, FALSE), 1)</f>
        <v>7.4636934592903371E-3</v>
      </c>
      <c r="D13" s="7">
        <f>$B13 * IFERROR(VLOOKUP("transport|PM25|Non-fatal heart attacks", US_national_yearly!$D:$AM, 12, FALSE) / VLOOKUP("transport|PM25|Non-fatal heart attacks", US_national_yearly!$D:$AM, 10, FALSE), 1)</f>
        <v>7.6745525997579979E-3</v>
      </c>
      <c r="E13" s="7">
        <f>$B13 * IFERROR(VLOOKUP("transport|PM25|Non-fatal heart attacks", US_national_yearly!$D:$AM, 13, FALSE) / VLOOKUP("transport|PM25|Non-fatal heart attacks", US_national_yearly!$D:$AM, 10, FALSE), 1)</f>
        <v>7.885411740225657E-3</v>
      </c>
      <c r="F13" s="7">
        <f>$B13 * IFERROR(VLOOKUP("transport|PM25|Non-fatal heart attacks", US_national_yearly!$D:$AM, 14, FALSE) / VLOOKUP("transport|PM25|Non-fatal heart attacks", US_national_yearly!$D:$AM, 10, FALSE), 1)</f>
        <v>8.0962708806933178E-3</v>
      </c>
      <c r="G13" s="7">
        <f>$B13 * IFERROR(VLOOKUP("transport|PM25|Non-fatal heart attacks", US_national_yearly!$D:$AM, 15, FALSE) / VLOOKUP("transport|PM25|Non-fatal heart attacks", US_national_yearly!$D:$AM, 10, FALSE), 1)</f>
        <v>8.2951243804107472E-3</v>
      </c>
      <c r="H13" s="7">
        <f>$B13 * IFERROR(VLOOKUP("transport|PM25|Non-fatal heart attacks", US_national_yearly!$D:$AM, 16, FALSE) / VLOOKUP("transport|PM25|Non-fatal heart attacks", US_national_yearly!$D:$AM, 10, FALSE), 1)</f>
        <v>8.4939778801281732E-3</v>
      </c>
      <c r="I13" s="7">
        <f>$B13 * IFERROR(VLOOKUP("transport|PM25|Non-fatal heart attacks", US_national_yearly!$D:$AM, 17, FALSE) / VLOOKUP("transport|PM25|Non-fatal heart attacks", US_national_yearly!$D:$AM, 10, FALSE), 1)</f>
        <v>8.6537899244035748E-3</v>
      </c>
      <c r="J13" s="7">
        <f>$B13 * IFERROR(VLOOKUP("transport|PM25|Non-fatal heart attacks", US_national_yearly!$D:$AM, 18, FALSE) / VLOOKUP("transport|PM25|Non-fatal heart attacks", US_national_yearly!$D:$AM, 10, FALSE), 1)</f>
        <v>8.8136019686789763E-3</v>
      </c>
      <c r="K13" s="7">
        <f>$B13 * IFERROR(VLOOKUP("transport|PM25|Non-fatal heart attacks", US_national_yearly!$D:$AM, 19, FALSE) / VLOOKUP("transport|PM25|Non-fatal heart attacks", US_national_yearly!$D:$AM, 10, FALSE), 1)</f>
        <v>8.9734140129543796E-3</v>
      </c>
      <c r="L13" s="7">
        <f>$B13 * IFERROR(VLOOKUP("transport|PM25|Non-fatal heart attacks", US_national_yearly!$D:$AM, 20, FALSE) / VLOOKUP("transport|PM25|Non-fatal heart attacks", US_national_yearly!$D:$AM, 10, FALSE), 1)</f>
        <v>9.1332260572297812E-3</v>
      </c>
      <c r="M13" s="7">
        <f>$B13 * IFERROR(VLOOKUP("transport|PM25|Non-fatal heart attacks", US_national_yearly!$D:$AM, 21, FALSE) / VLOOKUP("transport|PM25|Non-fatal heart attacks", US_national_yearly!$D:$AM, 10, FALSE), 1)</f>
        <v>9.2930381015051845E-3</v>
      </c>
      <c r="N13" s="7">
        <f>$B13 * IFERROR(VLOOKUP("transport|PM25|Non-fatal heart attacks", US_national_yearly!$D:$AM, 22, FALSE) / VLOOKUP("transport|PM25|Non-fatal heart attacks", US_national_yearly!$D:$AM, 10, FALSE), 1)</f>
        <v>9.3961010893458489E-3</v>
      </c>
      <c r="O13" s="7">
        <f>$B13 * IFERROR(VLOOKUP("transport|PM25|Non-fatal heart attacks", US_national_yearly!$D:$AM, 23, FALSE) / VLOOKUP("transport|PM25|Non-fatal heart attacks", US_national_yearly!$D:$AM, 10, FALSE), 1)</f>
        <v>9.4991640771865133E-3</v>
      </c>
      <c r="P13" s="7">
        <f>$B13 * IFERROR(VLOOKUP("transport|PM25|Non-fatal heart attacks", US_national_yearly!$D:$AM, 24, FALSE) / VLOOKUP("transport|PM25|Non-fatal heart attacks", US_national_yearly!$D:$AM, 10, FALSE), 1)</f>
        <v>9.6022270650271795E-3</v>
      </c>
      <c r="Q13" s="7">
        <f>$B13 * IFERROR(VLOOKUP("transport|PM25|Non-fatal heart attacks", US_national_yearly!$D:$AM, 25, FALSE) / VLOOKUP("transport|PM25|Non-fatal heart attacks", US_national_yearly!$D:$AM, 10, FALSE), 1)</f>
        <v>9.7052900528678439E-3</v>
      </c>
      <c r="R13" s="7">
        <f>$B13 * IFERROR(VLOOKUP("transport|PM25|Non-fatal heart attacks", US_national_yearly!$D:$AM, 26, FALSE) / VLOOKUP("transport|PM25|Non-fatal heart attacks", US_national_yearly!$D:$AM, 10, FALSE), 1)</f>
        <v>9.8083530407085083E-3</v>
      </c>
      <c r="S13" s="7">
        <f>$B13 * IFERROR(VLOOKUP("transport|PM25|Non-fatal heart attacks", US_national_yearly!$D:$AM, 27, FALSE) / VLOOKUP("transport|PM25|Non-fatal heart attacks", US_national_yearly!$D:$AM, 10, FALSE), 1)</f>
        <v>9.8626289545924936E-3</v>
      </c>
      <c r="T13" s="7">
        <f>$B13 * IFERROR(VLOOKUP("transport|PM25|Non-fatal heart attacks", US_national_yearly!$D:$AM, 28, FALSE) / VLOOKUP("transport|PM25|Non-fatal heart attacks", US_national_yearly!$D:$AM, 10, FALSE), 1)</f>
        <v>9.9169048684764824E-3</v>
      </c>
      <c r="U13" s="7">
        <f>$B13 * IFERROR(VLOOKUP("transport|PM25|Non-fatal heart attacks", US_national_yearly!$D:$AM, 29, FALSE) / VLOOKUP("transport|PM25|Non-fatal heart attacks", US_national_yearly!$D:$AM, 10, FALSE), 1)</f>
        <v>9.9711807823604694E-3</v>
      </c>
      <c r="V13" s="7">
        <f>$B13 * IFERROR(VLOOKUP("transport|PM25|Non-fatal heart attacks", US_national_yearly!$D:$AM, 30, FALSE) / VLOOKUP("transport|PM25|Non-fatal heart attacks", US_national_yearly!$D:$AM, 10, FALSE), 1)</f>
        <v>1.0025456696244456E-2</v>
      </c>
      <c r="W13" s="7">
        <f>$B13 * IFERROR(VLOOKUP("transport|PM25|Non-fatal heart attacks", US_national_yearly!$D:$AM, 31, FALSE) / VLOOKUP("transport|PM25|Non-fatal heart attacks", US_national_yearly!$D:$AM, 10, FALSE), 1)</f>
        <v>1.0079732610128444E-2</v>
      </c>
      <c r="X13" s="7">
        <f>$B13 * IFERROR(VLOOKUP("transport|PM25|Non-fatal heart attacks", US_national_yearly!$D:$AM, 32, FALSE) / VLOOKUP("transport|PM25|Non-fatal heart attacks", US_national_yearly!$D:$AM, 10, FALSE), 1)</f>
        <v>1.0120935876902241E-2</v>
      </c>
      <c r="Y13" s="7">
        <f>$B13 * IFERROR(VLOOKUP("transport|PM25|Non-fatal heart attacks", US_national_yearly!$D:$AM, 33, FALSE) / VLOOKUP("transport|PM25|Non-fatal heart attacks", US_national_yearly!$D:$AM, 10, FALSE), 1)</f>
        <v>1.016213914367604E-2</v>
      </c>
      <c r="Z13" s="7">
        <f>$B13 * IFERROR(VLOOKUP("transport|PM25|Non-fatal heart attacks", US_national_yearly!$D:$AM, 34, FALSE) / VLOOKUP("transport|PM25|Non-fatal heart attacks", US_national_yearly!$D:$AM, 10, FALSE), 1)</f>
        <v>1.020334241044984E-2</v>
      </c>
      <c r="AA13" s="7">
        <f>$B13 * IFERROR(VLOOKUP("transport|PM25|Non-fatal heart attacks", US_national_yearly!$D:$AM, 35, FALSE) / VLOOKUP("transport|PM25|Non-fatal heart attacks", US_national_yearly!$D:$AM, 10, FALSE), 1)</f>
        <v>1.0244545677223639E-2</v>
      </c>
      <c r="AB13" s="7">
        <f>$B13 * IFERROR(VLOOKUP("transport|PM25|Non-fatal heart attacks", US_national_yearly!$D:$AM, 36, FALSE) / VLOOKUP("transport|PM25|Non-fatal heart attacks", US_national_yearly!$D:$AM, 10, FALSE), 1)</f>
        <v>1.0285748943997438E-2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6.7436691635328065</v>
      </c>
      <c r="C14" s="7">
        <f>$B14 * IFERROR(VLOOKUP("transport|PM25|Minor restricted activity days", US_national_yearly!$D:$AM, 11, FALSE) / VLOOKUP("transport|PM25|Minor restricted activity days", US_national_yearly!$D:$AM, 10, FALSE), 1)</f>
        <v>6.7601380033678398</v>
      </c>
      <c r="D14" s="7">
        <f>$B14 * IFERROR(VLOOKUP("transport|PM25|Minor restricted activity days", US_national_yearly!$D:$AM, 12, FALSE) / VLOOKUP("transport|PM25|Minor restricted activity days", US_national_yearly!$D:$AM, 10, FALSE), 1)</f>
        <v>6.7766068432028739</v>
      </c>
      <c r="E14" s="7">
        <f>$B14 * IFERROR(VLOOKUP("transport|PM25|Minor restricted activity days", US_national_yearly!$D:$AM, 13, FALSE) / VLOOKUP("transport|PM25|Minor restricted activity days", US_national_yearly!$D:$AM, 10, FALSE), 1)</f>
        <v>6.7930756830379089</v>
      </c>
      <c r="F14" s="7">
        <f>$B14 * IFERROR(VLOOKUP("transport|PM25|Minor restricted activity days", US_national_yearly!$D:$AM, 14, FALSE) / VLOOKUP("transport|PM25|Minor restricted activity days", US_national_yearly!$D:$AM, 10, FALSE), 1)</f>
        <v>6.8095445228729403</v>
      </c>
      <c r="G14" s="7">
        <f>$B14 * IFERROR(VLOOKUP("transport|PM25|Minor restricted activity days", US_national_yearly!$D:$AM, 15, FALSE) / VLOOKUP("transport|PM25|Minor restricted activity days", US_national_yearly!$D:$AM, 10, FALSE), 1)</f>
        <v>6.8338438031798674</v>
      </c>
      <c r="H14" s="7">
        <f>$B14 * IFERROR(VLOOKUP("transport|PM25|Minor restricted activity days", US_national_yearly!$D:$AM, 16, FALSE) / VLOOKUP("transport|PM25|Minor restricted activity days", US_national_yearly!$D:$AM, 10, FALSE), 1)</f>
        <v>6.8581430834867945</v>
      </c>
      <c r="I14" s="7">
        <f>$B14 * IFERROR(VLOOKUP("transport|PM25|Minor restricted activity days", US_national_yearly!$D:$AM, 17, FALSE) / VLOOKUP("transport|PM25|Minor restricted activity days", US_national_yearly!$D:$AM, 10, FALSE), 1)</f>
        <v>6.8996837254623946</v>
      </c>
      <c r="J14" s="7">
        <f>$B14 * IFERROR(VLOOKUP("transport|PM25|Minor restricted activity days", US_national_yearly!$D:$AM, 18, FALSE) / VLOOKUP("transport|PM25|Minor restricted activity days", US_national_yearly!$D:$AM, 10, FALSE), 1)</f>
        <v>6.9412243674379921</v>
      </c>
      <c r="K14" s="7">
        <f>$B14 * IFERROR(VLOOKUP("transport|PM25|Minor restricted activity days", US_national_yearly!$D:$AM, 19, FALSE) / VLOOKUP("transport|PM25|Minor restricted activity days", US_national_yearly!$D:$AM, 10, FALSE), 1)</f>
        <v>6.9827650094135931</v>
      </c>
      <c r="L14" s="7">
        <f>$B14 * IFERROR(VLOOKUP("transport|PM25|Minor restricted activity days", US_national_yearly!$D:$AM, 20, FALSE) / VLOOKUP("transport|PM25|Minor restricted activity days", US_national_yearly!$D:$AM, 10, FALSE), 1)</f>
        <v>7.0243056513891924</v>
      </c>
      <c r="M14" s="7">
        <f>$B14 * IFERROR(VLOOKUP("transport|PM25|Minor restricted activity days", US_national_yearly!$D:$AM, 21, FALSE) / VLOOKUP("transport|PM25|Minor restricted activity days", US_national_yearly!$D:$AM, 10, FALSE), 1)</f>
        <v>7.0658462933647916</v>
      </c>
      <c r="N14" s="7">
        <f>$B14 * IFERROR(VLOOKUP("transport|PM25|Minor restricted activity days", US_national_yearly!$D:$AM, 22, FALSE) / VLOOKUP("transport|PM25|Minor restricted activity days", US_national_yearly!$D:$AM, 10, FALSE), 1)</f>
        <v>7.1224329184626667</v>
      </c>
      <c r="O14" s="7">
        <f>$B14 * IFERROR(VLOOKUP("transport|PM25|Minor restricted activity days", US_national_yearly!$D:$AM, 23, FALSE) / VLOOKUP("transport|PM25|Minor restricted activity days", US_national_yearly!$D:$AM, 10, FALSE), 1)</f>
        <v>7.17901954356054</v>
      </c>
      <c r="P14" s="7">
        <f>$B14 * IFERROR(VLOOKUP("transport|PM25|Minor restricted activity days", US_national_yearly!$D:$AM, 24, FALSE) / VLOOKUP("transport|PM25|Minor restricted activity days", US_national_yearly!$D:$AM, 10, FALSE), 1)</f>
        <v>7.235606168658415</v>
      </c>
      <c r="Q14" s="7">
        <f>$B14 * IFERROR(VLOOKUP("transport|PM25|Minor restricted activity days", US_national_yearly!$D:$AM, 25, FALSE) / VLOOKUP("transport|PM25|Minor restricted activity days", US_national_yearly!$D:$AM, 10, FALSE), 1)</f>
        <v>7.2921927937562891</v>
      </c>
      <c r="R14" s="7">
        <f>$B14 * IFERROR(VLOOKUP("transport|PM25|Minor restricted activity days", US_national_yearly!$D:$AM, 26, FALSE) / VLOOKUP("transport|PM25|Minor restricted activity days", US_national_yearly!$D:$AM, 10, FALSE), 1)</f>
        <v>7.3487794188541624</v>
      </c>
      <c r="S14" s="7">
        <f>$B14 * IFERROR(VLOOKUP("transport|PM25|Minor restricted activity days", US_national_yearly!$D:$AM, 27, FALSE) / VLOOKUP("transport|PM25|Minor restricted activity days", US_national_yearly!$D:$AM, 10, FALSE), 1)</f>
        <v>7.4057557374968148</v>
      </c>
      <c r="T14" s="7">
        <f>$B14 * IFERROR(VLOOKUP("transport|PM25|Minor restricted activity days", US_national_yearly!$D:$AM, 28, FALSE) / VLOOKUP("transport|PM25|Minor restricted activity days", US_national_yearly!$D:$AM, 10, FALSE), 1)</f>
        <v>7.4627320561394663</v>
      </c>
      <c r="U14" s="7">
        <f>$B14 * IFERROR(VLOOKUP("transport|PM25|Minor restricted activity days", US_national_yearly!$D:$AM, 29, FALSE) / VLOOKUP("transport|PM25|Minor restricted activity days", US_national_yearly!$D:$AM, 10, FALSE), 1)</f>
        <v>7.5197083747821187</v>
      </c>
      <c r="V14" s="7">
        <f>$B14 * IFERROR(VLOOKUP("transport|PM25|Minor restricted activity days", US_national_yearly!$D:$AM, 30, FALSE) / VLOOKUP("transport|PM25|Minor restricted activity days", US_national_yearly!$D:$AM, 10, FALSE), 1)</f>
        <v>7.5766846934247711</v>
      </c>
      <c r="W14" s="7">
        <f>$B14 * IFERROR(VLOOKUP("transport|PM25|Minor restricted activity days", US_national_yearly!$D:$AM, 31, FALSE) / VLOOKUP("transport|PM25|Minor restricted activity days", US_national_yearly!$D:$AM, 10, FALSE), 1)</f>
        <v>7.6336610120674235</v>
      </c>
      <c r="X14" s="7">
        <f>$B14 * IFERROR(VLOOKUP("transport|PM25|Minor restricted activity days", US_national_yearly!$D:$AM, 32, FALSE) / VLOOKUP("transport|PM25|Minor restricted activity days", US_national_yearly!$D:$AM, 10, FALSE), 1)</f>
        <v>7.6831221885759575</v>
      </c>
      <c r="Y14" s="7">
        <f>$B14 * IFERROR(VLOOKUP("transport|PM25|Minor restricted activity days", US_national_yearly!$D:$AM, 33, FALSE) / VLOOKUP("transport|PM25|Minor restricted activity days", US_national_yearly!$D:$AM, 10, FALSE), 1)</f>
        <v>7.7325833650844915</v>
      </c>
      <c r="Z14" s="7">
        <f>$B14 * IFERROR(VLOOKUP("transport|PM25|Minor restricted activity days", US_national_yearly!$D:$AM, 34, FALSE) / VLOOKUP("transport|PM25|Minor restricted activity days", US_national_yearly!$D:$AM, 10, FALSE), 1)</f>
        <v>7.7820445415930255</v>
      </c>
      <c r="AA14" s="7">
        <f>$B14 * IFERROR(VLOOKUP("transport|PM25|Minor restricted activity days", US_national_yearly!$D:$AM, 35, FALSE) / VLOOKUP("transport|PM25|Minor restricted activity days", US_national_yearly!$D:$AM, 10, FALSE), 1)</f>
        <v>7.8315057181015586</v>
      </c>
      <c r="AB14" s="7">
        <f>$B14 * IFERROR(VLOOKUP("transport|PM25|Minor restricted activity days", US_national_yearly!$D:$AM, 36, FALSE) / VLOOKUP("transport|PM25|Minor restricted activity days", US_national_yearly!$D:$AM, 10, FALSE), 1)</f>
        <v>7.8809668946100926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1.1484683114890295</v>
      </c>
      <c r="C15" s="7">
        <f>$B15 * IFERROR(VLOOKUP("transport|PM25|Work loss days", US_national_yearly!$D:$AM, 11, FALSE) / VLOOKUP("transport|PM25|Work loss days", US_national_yearly!$D:$AM, 10, FALSE), 1)</f>
        <v>1.1520281496099003</v>
      </c>
      <c r="D15" s="7">
        <f>$B15 * IFERROR(VLOOKUP("transport|PM25|Work loss days", US_national_yearly!$D:$AM, 12, FALSE) / VLOOKUP("transport|PM25|Work loss days", US_national_yearly!$D:$AM, 10, FALSE), 1)</f>
        <v>1.1555879877307715</v>
      </c>
      <c r="E15" s="7">
        <f>$B15 * IFERROR(VLOOKUP("transport|PM25|Work loss days", US_national_yearly!$D:$AM, 13, FALSE) / VLOOKUP("transport|PM25|Work loss days", US_national_yearly!$D:$AM, 10, FALSE), 1)</f>
        <v>1.1591478258516423</v>
      </c>
      <c r="F15" s="7">
        <f>$B15 * IFERROR(VLOOKUP("transport|PM25|Work loss days", US_national_yearly!$D:$AM, 14, FALSE) / VLOOKUP("transport|PM25|Work loss days", US_national_yearly!$D:$AM, 10, FALSE), 1)</f>
        <v>1.1627076639725131</v>
      </c>
      <c r="G15" s="7">
        <f>$B15 * IFERROR(VLOOKUP("transport|PM25|Work loss days", US_national_yearly!$D:$AM, 15, FALSE) / VLOOKUP("transport|PM25|Work loss days", US_national_yearly!$D:$AM, 10, FALSE), 1)</f>
        <v>1.1673748389056597</v>
      </c>
      <c r="H15" s="7">
        <f>$B15 * IFERROR(VLOOKUP("transport|PM25|Work loss days", US_national_yearly!$D:$AM, 16, FALSE) / VLOOKUP("transport|PM25|Work loss days", US_national_yearly!$D:$AM, 10, FALSE), 1)</f>
        <v>1.1720420138388064</v>
      </c>
      <c r="I15" s="7">
        <f>$B15 * IFERROR(VLOOKUP("transport|PM25|Work loss days", US_national_yearly!$D:$AM, 17, FALSE) / VLOOKUP("transport|PM25|Work loss days", US_national_yearly!$D:$AM, 10, FALSE), 1)</f>
        <v>1.1789149422466696</v>
      </c>
      <c r="J15" s="7">
        <f>$B15 * IFERROR(VLOOKUP("transport|PM25|Work loss days", US_national_yearly!$D:$AM, 18, FALSE) / VLOOKUP("transport|PM25|Work loss days", US_national_yearly!$D:$AM, 10, FALSE), 1)</f>
        <v>1.1857878706545331</v>
      </c>
      <c r="K15" s="7">
        <f>$B15 * IFERROR(VLOOKUP("transport|PM25|Work loss days", US_national_yearly!$D:$AM, 19, FALSE) / VLOOKUP("transport|PM25|Work loss days", US_national_yearly!$D:$AM, 10, FALSE), 1)</f>
        <v>1.1926607990623963</v>
      </c>
      <c r="L15" s="7">
        <f>$B15 * IFERROR(VLOOKUP("transport|PM25|Work loss days", US_national_yearly!$D:$AM, 20, FALSE) / VLOOKUP("transport|PM25|Work loss days", US_national_yearly!$D:$AM, 10, FALSE), 1)</f>
        <v>1.1995337274702598</v>
      </c>
      <c r="M15" s="7">
        <f>$B15 * IFERROR(VLOOKUP("transport|PM25|Work loss days", US_national_yearly!$D:$AM, 21, FALSE) / VLOOKUP("transport|PM25|Work loss days", US_national_yearly!$D:$AM, 10, FALSE), 1)</f>
        <v>1.206406655878123</v>
      </c>
      <c r="N15" s="7">
        <f>$B15 * IFERROR(VLOOKUP("transport|PM25|Work loss days", US_national_yearly!$D:$AM, 22, FALSE) / VLOOKUP("transport|PM25|Work loss days", US_national_yearly!$D:$AM, 10, FALSE), 1)</f>
        <v>1.2150567564831303</v>
      </c>
      <c r="O15" s="7">
        <f>$B15 * IFERROR(VLOOKUP("transport|PM25|Work loss days", US_national_yearly!$D:$AM, 23, FALSE) / VLOOKUP("transport|PM25|Work loss days", US_national_yearly!$D:$AM, 10, FALSE), 1)</f>
        <v>1.2237068570881371</v>
      </c>
      <c r="P15" s="7">
        <f>$B15 * IFERROR(VLOOKUP("transport|PM25|Work loss days", US_national_yearly!$D:$AM, 24, FALSE) / VLOOKUP("transport|PM25|Work loss days", US_national_yearly!$D:$AM, 10, FALSE), 1)</f>
        <v>1.2323569576931444</v>
      </c>
      <c r="Q15" s="7">
        <f>$B15 * IFERROR(VLOOKUP("transport|PM25|Work loss days", US_national_yearly!$D:$AM, 25, FALSE) / VLOOKUP("transport|PM25|Work loss days", US_national_yearly!$D:$AM, 10, FALSE), 1)</f>
        <v>1.2410070582981512</v>
      </c>
      <c r="R15" s="7">
        <f>$B15 * IFERROR(VLOOKUP("transport|PM25|Work loss days", US_national_yearly!$D:$AM, 26, FALSE) / VLOOKUP("transport|PM25|Work loss days", US_national_yearly!$D:$AM, 10, FALSE), 1)</f>
        <v>1.2496571589031582</v>
      </c>
      <c r="S15" s="7">
        <f>$B15 * IFERROR(VLOOKUP("transport|PM25|Work loss days", US_national_yearly!$D:$AM, 27, FALSE) / VLOOKUP("transport|PM25|Work loss days", US_national_yearly!$D:$AM, 10, FALSE), 1)</f>
        <v>1.2592245394749606</v>
      </c>
      <c r="T15" s="7">
        <f>$B15 * IFERROR(VLOOKUP("transport|PM25|Work loss days", US_national_yearly!$D:$AM, 28, FALSE) / VLOOKUP("transport|PM25|Work loss days", US_national_yearly!$D:$AM, 10, FALSE), 1)</f>
        <v>1.268791920046763</v>
      </c>
      <c r="U15" s="7">
        <f>$B15 * IFERROR(VLOOKUP("transport|PM25|Work loss days", US_national_yearly!$D:$AM, 29, FALSE) / VLOOKUP("transport|PM25|Work loss days", US_national_yearly!$D:$AM, 10, FALSE), 1)</f>
        <v>1.278359300618565</v>
      </c>
      <c r="V15" s="7">
        <f>$B15 * IFERROR(VLOOKUP("transport|PM25|Work loss days", US_national_yearly!$D:$AM, 30, FALSE) / VLOOKUP("transport|PM25|Work loss days", US_national_yearly!$D:$AM, 10, FALSE), 1)</f>
        <v>1.2879266811903674</v>
      </c>
      <c r="W15" s="7">
        <f>$B15 * IFERROR(VLOOKUP("transport|PM25|Work loss days", US_national_yearly!$D:$AM, 31, FALSE) / VLOOKUP("transport|PM25|Work loss days", US_national_yearly!$D:$AM, 10, FALSE), 1)</f>
        <v>1.2974940617621695</v>
      </c>
      <c r="X15" s="7">
        <f>$B15 * IFERROR(VLOOKUP("transport|PM25|Work loss days", US_national_yearly!$D:$AM, 32, FALSE) / VLOOKUP("transport|PM25|Work loss days", US_national_yearly!$D:$AM, 10, FALSE), 1)</f>
        <v>1.3059829086865551</v>
      </c>
      <c r="Y15" s="7">
        <f>$B15 * IFERROR(VLOOKUP("transport|PM25|Work loss days", US_national_yearly!$D:$AM, 33, FALSE) / VLOOKUP("transport|PM25|Work loss days", US_national_yearly!$D:$AM, 10, FALSE), 1)</f>
        <v>1.3144717556109407</v>
      </c>
      <c r="Z15" s="7">
        <f>$B15 * IFERROR(VLOOKUP("transport|PM25|Work loss days", US_national_yearly!$D:$AM, 34, FALSE) / VLOOKUP("transport|PM25|Work loss days", US_national_yearly!$D:$AM, 10, FALSE), 1)</f>
        <v>1.3229606025353264</v>
      </c>
      <c r="AA15" s="7">
        <f>$B15 * IFERROR(VLOOKUP("transport|PM25|Work loss days", US_national_yearly!$D:$AM, 35, FALSE) / VLOOKUP("transport|PM25|Work loss days", US_national_yearly!$D:$AM, 10, FALSE), 1)</f>
        <v>1.3314494494597122</v>
      </c>
      <c r="AB15" s="7">
        <f>$B15 * IFERROR(VLOOKUP("transport|PM25|Work loss days", US_national_yearly!$D:$AM, 36, FALSE) / VLOOKUP("transport|PM25|Work loss days", US_national_yearly!$D:$AM, 10, FALSE), 1)</f>
        <v>1.3399382963840978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1.3525344404130858E-3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1.3929491126376927E-3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1.4333637848622999E-3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1.473778457086907E-3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1.5141931293115142E-3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1.552903166161115E-3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1.5916132030107167E-3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1.6247201517907142E-3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1.6578271005707112E-3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1.6909340493507085E-3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1.7240409981307064E-3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1.7571479469107034E-3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1.7792211055381042E-3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1.8012942641655052E-3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1.8233674227929057E-3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1.8454405814203067E-3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1.8675137400477075E-3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1.8791925017352827E-3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1.8908712634228574E-3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1.902550025110432E-3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1.9142287867980068E-3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1.9259075484855815E-3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1.9337698444757392E-3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1.9416321404658969E-3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1.9494944364560546E-3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1.9573567324462121E-3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1.9652190284363698E-3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9.4830761878113431E-4</v>
      </c>
      <c r="C2" s="7">
        <f>$B2 * IFERROR(VLOOKUP("transport|NOx|Premature mortality", US_national_yearly!$D:$AM, 11, FALSE) / VLOOKUP("transport|NOx|Premature mortality", US_national_yearly!$D:$AM, 10, FALSE), 1)</f>
        <v>9.6223665482097294E-4</v>
      </c>
      <c r="D2" s="7">
        <f>$B2 * IFERROR(VLOOKUP("transport|NOx|Premature mortality", US_national_yearly!$D:$AM, 12, FALSE) / VLOOKUP("transport|NOx|Premature mortality", US_national_yearly!$D:$AM, 10, FALSE), 1)</f>
        <v>9.7616569086081124E-4</v>
      </c>
      <c r="E2" s="7">
        <f>$B2 * IFERROR(VLOOKUP("transport|NOx|Premature mortality", US_national_yearly!$D:$AM, 13, FALSE) / VLOOKUP("transport|NOx|Premature mortality", US_national_yearly!$D:$AM, 10, FALSE), 1)</f>
        <v>9.9009472690064987E-4</v>
      </c>
      <c r="F2" s="7">
        <f>$B2 * IFERROR(VLOOKUP("transport|NOx|Premature mortality", US_national_yearly!$D:$AM, 14, FALSE) / VLOOKUP("transport|NOx|Premature mortality", US_national_yearly!$D:$AM, 10, FALSE), 1)</f>
        <v>1.0040237629404885E-3</v>
      </c>
      <c r="G2" s="7">
        <f>$B2 * IFERROR(VLOOKUP("transport|NOx|Premature mortality", US_national_yearly!$D:$AM, 15, FALSE) / VLOOKUP("transport|NOx|Premature mortality", US_national_yearly!$D:$AM, 10, FALSE), 1)</f>
        <v>1.0290436048293011E-3</v>
      </c>
      <c r="H2" s="7">
        <f>$B2 * IFERROR(VLOOKUP("transport|NOx|Premature mortality", US_national_yearly!$D:$AM, 16, FALSE) / VLOOKUP("transport|NOx|Premature mortality", US_national_yearly!$D:$AM, 10, FALSE), 1)</f>
        <v>1.0540634467181144E-3</v>
      </c>
      <c r="I2" s="7">
        <f>$B2 * IFERROR(VLOOKUP("transport|NOx|Premature mortality", US_national_yearly!$D:$AM, 17, FALSE) / VLOOKUP("transport|NOx|Premature mortality", US_national_yearly!$D:$AM, 10, FALSE), 1)</f>
        <v>1.0702142292495914E-3</v>
      </c>
      <c r="J2" s="7">
        <f>$B2 * IFERROR(VLOOKUP("transport|NOx|Premature mortality", US_national_yearly!$D:$AM, 18, FALSE) / VLOOKUP("transport|NOx|Premature mortality", US_national_yearly!$D:$AM, 10, FALSE), 1)</f>
        <v>1.0863650117810687E-3</v>
      </c>
      <c r="K2" s="7">
        <f>$B2 * IFERROR(VLOOKUP("transport|NOx|Premature mortality", US_national_yearly!$D:$AM, 19, FALSE) / VLOOKUP("transport|NOx|Premature mortality", US_national_yearly!$D:$AM, 10, FALSE), 1)</f>
        <v>1.1025157943125457E-3</v>
      </c>
      <c r="L2" s="7">
        <f>$B2 * IFERROR(VLOOKUP("transport|NOx|Premature mortality", US_national_yearly!$D:$AM, 20, FALSE) / VLOOKUP("transport|NOx|Premature mortality", US_national_yearly!$D:$AM, 10, FALSE), 1)</f>
        <v>1.1186665768440228E-3</v>
      </c>
      <c r="M2" s="7">
        <f>$B2 * IFERROR(VLOOKUP("transport|NOx|Premature mortality", US_national_yearly!$D:$AM, 21, FALSE) / VLOOKUP("transport|NOx|Premature mortality", US_national_yearly!$D:$AM, 10, FALSE), 1)</f>
        <v>1.1348173593755003E-3</v>
      </c>
      <c r="N2" s="7">
        <f>$B2 * IFERROR(VLOOKUP("transport|NOx|Premature mortality", US_national_yearly!$D:$AM, 22, FALSE) / VLOOKUP("transport|NOx|Premature mortality", US_national_yearly!$D:$AM, 10, FALSE), 1)</f>
        <v>1.1467817962879457E-3</v>
      </c>
      <c r="O2" s="7">
        <f>$B2 * IFERROR(VLOOKUP("transport|NOx|Premature mortality", US_national_yearly!$D:$AM, 23, FALSE) / VLOOKUP("transport|NOx|Premature mortality", US_national_yearly!$D:$AM, 10, FALSE), 1)</f>
        <v>1.1587462332003911E-3</v>
      </c>
      <c r="P2" s="7">
        <f>$B2 * IFERROR(VLOOKUP("transport|NOx|Premature mortality", US_national_yearly!$D:$AM, 24, FALSE) / VLOOKUP("transport|NOx|Premature mortality", US_national_yearly!$D:$AM, 10, FALSE), 1)</f>
        <v>1.1707106701128365E-3</v>
      </c>
      <c r="Q2" s="7">
        <f>$B2 * IFERROR(VLOOKUP("transport|NOx|Premature mortality", US_national_yearly!$D:$AM, 25, FALSE) / VLOOKUP("transport|NOx|Premature mortality", US_national_yearly!$D:$AM, 10, FALSE), 1)</f>
        <v>1.1826751070252821E-3</v>
      </c>
      <c r="R2" s="7">
        <f>$B2 * IFERROR(VLOOKUP("transport|NOx|Premature mortality", US_national_yearly!$D:$AM, 26, FALSE) / VLOOKUP("transport|NOx|Premature mortality", US_national_yearly!$D:$AM, 10, FALSE), 1)</f>
        <v>1.1946395439377275E-3</v>
      </c>
      <c r="S2" s="7">
        <f>$B2 * IFERROR(VLOOKUP("transport|NOx|Premature mortality", US_national_yearly!$D:$AM, 27, FALSE) / VLOOKUP("transport|NOx|Premature mortality", US_national_yearly!$D:$AM, 10, FALSE), 1)</f>
        <v>1.2000775009947124E-3</v>
      </c>
      <c r="T2" s="7">
        <f>$B2 * IFERROR(VLOOKUP("transport|NOx|Premature mortality", US_national_yearly!$D:$AM, 28, FALSE) / VLOOKUP("transport|NOx|Premature mortality", US_national_yearly!$D:$AM, 10, FALSE), 1)</f>
        <v>1.2055154580516978E-3</v>
      </c>
      <c r="U2" s="7">
        <f>$B2 * IFERROR(VLOOKUP("transport|NOx|Premature mortality", US_national_yearly!$D:$AM, 29, FALSE) / VLOOKUP("transport|NOx|Premature mortality", US_national_yearly!$D:$AM, 10, FALSE), 1)</f>
        <v>1.2109534151086827E-3</v>
      </c>
      <c r="V2" s="7">
        <f>$B2 * IFERROR(VLOOKUP("transport|NOx|Premature mortality", US_national_yearly!$D:$AM, 30, FALSE) / VLOOKUP("transport|NOx|Premature mortality", US_national_yearly!$D:$AM, 10, FALSE), 1)</f>
        <v>1.2163913721656679E-3</v>
      </c>
      <c r="W2" s="7">
        <f>$B2 * IFERROR(VLOOKUP("transport|NOx|Premature mortality", US_national_yearly!$D:$AM, 31, FALSE) / VLOOKUP("transport|NOx|Premature mortality", US_national_yearly!$D:$AM, 10, FALSE), 1)</f>
        <v>1.2218293292226531E-3</v>
      </c>
      <c r="X2" s="7">
        <f>$B2 * IFERROR(VLOOKUP("transport|NOx|Premature mortality", US_national_yearly!$D:$AM, 32, FALSE) / VLOOKUP("transport|NOx|Premature mortality", US_national_yearly!$D:$AM, 10, FALSE), 1)</f>
        <v>1.2220176969336947E-3</v>
      </c>
      <c r="Y2" s="7">
        <f>$B2 * IFERROR(VLOOKUP("transport|NOx|Premature mortality", US_national_yearly!$D:$AM, 33, FALSE) / VLOOKUP("transport|NOx|Premature mortality", US_national_yearly!$D:$AM, 10, FALSE), 1)</f>
        <v>1.2222060646447364E-3</v>
      </c>
      <c r="Z2" s="7">
        <f>$B2 * IFERROR(VLOOKUP("transport|NOx|Premature mortality", US_national_yearly!$D:$AM, 34, FALSE) / VLOOKUP("transport|NOx|Premature mortality", US_national_yearly!$D:$AM, 10, FALSE), 1)</f>
        <v>1.2223944323557778E-3</v>
      </c>
      <c r="AA2" s="7">
        <f>$B2 * IFERROR(VLOOKUP("transport|NOx|Premature mortality", US_national_yearly!$D:$AM, 35, FALSE) / VLOOKUP("transport|NOx|Premature mortality", US_national_yearly!$D:$AM, 10, FALSE), 1)</f>
        <v>1.2225828000668197E-3</v>
      </c>
      <c r="AB2" s="7">
        <f>$B2 * IFERROR(VLOOKUP("transport|NOx|Premature mortality", US_national_yearly!$D:$AM, 36, FALSE) / VLOOKUP("transport|NOx|Premature mortality", US_national_yearly!$D:$AM, 10, FALSE), 1)</f>
        <v>1.2227711677778614E-3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1.9634412876071427E-6</v>
      </c>
      <c r="C3" s="7">
        <f>$B3 * IFERROR(VLOOKUP("transport|NOx|Infant mortality", US_national_yearly!$D:$AM, 11, FALSE) / VLOOKUP("transport|NOx|Infant mortality", US_national_yearly!$D:$AM, 10, FALSE), 1)</f>
        <v>1.9447345061752187E-6</v>
      </c>
      <c r="D3" s="7">
        <f>$B3 * IFERROR(VLOOKUP("transport|NOx|Infant mortality", US_national_yearly!$D:$AM, 12, FALSE) / VLOOKUP("transport|NOx|Infant mortality", US_national_yearly!$D:$AM, 10, FALSE), 1)</f>
        <v>1.9260277247432943E-6</v>
      </c>
      <c r="E3" s="7">
        <f>$B3 * IFERROR(VLOOKUP("transport|NOx|Infant mortality", US_national_yearly!$D:$AM, 13, FALSE) / VLOOKUP("transport|NOx|Infant mortality", US_national_yearly!$D:$AM, 10, FALSE), 1)</f>
        <v>1.9073209433113706E-6</v>
      </c>
      <c r="F3" s="7">
        <f>$B3 * IFERROR(VLOOKUP("transport|NOx|Infant mortality", US_national_yearly!$D:$AM, 14, FALSE) / VLOOKUP("transport|NOx|Infant mortality", US_national_yearly!$D:$AM, 10, FALSE), 1)</f>
        <v>1.8886141618794466E-6</v>
      </c>
      <c r="G3" s="7">
        <f>$B3 * IFERROR(VLOOKUP("transport|NOx|Infant mortality", US_national_yearly!$D:$AM, 15, FALSE) / VLOOKUP("transport|NOx|Infant mortality", US_national_yearly!$D:$AM, 10, FALSE), 1)</f>
        <v>1.2537553422787257E-6</v>
      </c>
      <c r="H3" s="7">
        <f>$B3 * IFERROR(VLOOKUP("transport|NOx|Infant mortality", US_national_yearly!$D:$AM, 16, FALSE) / VLOOKUP("transport|NOx|Infant mortality", US_national_yearly!$D:$AM, 10, FALSE), 1)</f>
        <v>6.1889652267800488E-7</v>
      </c>
      <c r="I3" s="7">
        <f>$B3 * IFERROR(VLOOKUP("transport|NOx|Infant mortality", US_national_yearly!$D:$AM, 17, FALSE) / VLOOKUP("transport|NOx|Infant mortality", US_national_yearly!$D:$AM, 10, FALSE), 1)</f>
        <v>6.1452033333786362E-7</v>
      </c>
      <c r="J3" s="7">
        <f>$B3 * IFERROR(VLOOKUP("transport|NOx|Infant mortality", US_national_yearly!$D:$AM, 18, FALSE) / VLOOKUP("transport|NOx|Infant mortality", US_national_yearly!$D:$AM, 10, FALSE), 1)</f>
        <v>6.1014414399772215E-7</v>
      </c>
      <c r="K3" s="7">
        <f>$B3 * IFERROR(VLOOKUP("transport|NOx|Infant mortality", US_national_yearly!$D:$AM, 19, FALSE) / VLOOKUP("transport|NOx|Infant mortality", US_national_yearly!$D:$AM, 10, FALSE), 1)</f>
        <v>6.0576795465758079E-7</v>
      </c>
      <c r="L3" s="7">
        <f>$B3 * IFERROR(VLOOKUP("transport|NOx|Infant mortality", US_national_yearly!$D:$AM, 20, FALSE) / VLOOKUP("transport|NOx|Infant mortality", US_national_yearly!$D:$AM, 10, FALSE), 1)</f>
        <v>6.0139176531743942E-7</v>
      </c>
      <c r="M3" s="7">
        <f>$B3 * IFERROR(VLOOKUP("transport|NOx|Infant mortality", US_national_yearly!$D:$AM, 21, FALSE) / VLOOKUP("transport|NOx|Infant mortality", US_national_yearly!$D:$AM, 10, FALSE), 1)</f>
        <v>5.9701557597729796E-7</v>
      </c>
      <c r="N3" s="7">
        <f>$B3 * IFERROR(VLOOKUP("transport|NOx|Infant mortality", US_national_yearly!$D:$AM, 22, FALSE) / VLOOKUP("transport|NOx|Infant mortality", US_national_yearly!$D:$AM, 10, FALSE), 1)</f>
        <v>5.9411084447266165E-7</v>
      </c>
      <c r="O3" s="7">
        <f>$B3 * IFERROR(VLOOKUP("transport|NOx|Infant mortality", US_national_yearly!$D:$AM, 23, FALSE) / VLOOKUP("transport|NOx|Infant mortality", US_national_yearly!$D:$AM, 10, FALSE), 1)</f>
        <v>5.9120611296802535E-7</v>
      </c>
      <c r="P3" s="7">
        <f>$B3 * IFERROR(VLOOKUP("transport|NOx|Infant mortality", US_national_yearly!$D:$AM, 24, FALSE) / VLOOKUP("transport|NOx|Infant mortality", US_national_yearly!$D:$AM, 10, FALSE), 1)</f>
        <v>5.8830138146338894E-7</v>
      </c>
      <c r="Q3" s="7">
        <f>$B3 * IFERROR(VLOOKUP("transport|NOx|Infant mortality", US_national_yearly!$D:$AM, 25, FALSE) / VLOOKUP("transport|NOx|Infant mortality", US_national_yearly!$D:$AM, 10, FALSE), 1)</f>
        <v>5.8539664995875263E-7</v>
      </c>
      <c r="R3" s="7">
        <f>$B3 * IFERROR(VLOOKUP("transport|NOx|Infant mortality", US_national_yearly!$D:$AM, 26, FALSE) / VLOOKUP("transport|NOx|Infant mortality", US_national_yearly!$D:$AM, 10, FALSE), 1)</f>
        <v>5.8249191845411633E-7</v>
      </c>
      <c r="S3" s="7">
        <f>$B3 * IFERROR(VLOOKUP("transport|NOx|Infant mortality", US_national_yearly!$D:$AM, 27, FALSE) / VLOOKUP("transport|NOx|Infant mortality", US_national_yearly!$D:$AM, 10, FALSE), 1)</f>
        <v>5.7899996926402682E-7</v>
      </c>
      <c r="T3" s="7">
        <f>$B3 * IFERROR(VLOOKUP("transport|NOx|Infant mortality", US_national_yearly!$D:$AM, 28, FALSE) / VLOOKUP("transport|NOx|Infant mortality", US_national_yearly!$D:$AM, 10, FALSE), 1)</f>
        <v>5.7550802007393731E-7</v>
      </c>
      <c r="U3" s="7">
        <f>$B3 * IFERROR(VLOOKUP("transport|NOx|Infant mortality", US_national_yearly!$D:$AM, 29, FALSE) / VLOOKUP("transport|NOx|Infant mortality", US_national_yearly!$D:$AM, 10, FALSE), 1)</f>
        <v>5.7201607088384769E-7</v>
      </c>
      <c r="V3" s="7">
        <f>$B3 * IFERROR(VLOOKUP("transport|NOx|Infant mortality", US_national_yearly!$D:$AM, 30, FALSE) / VLOOKUP("transport|NOx|Infant mortality", US_national_yearly!$D:$AM, 10, FALSE), 1)</f>
        <v>5.6852412169375818E-7</v>
      </c>
      <c r="W3" s="7">
        <f>$B3 * IFERROR(VLOOKUP("transport|NOx|Infant mortality", US_national_yearly!$D:$AM, 31, FALSE) / VLOOKUP("transport|NOx|Infant mortality", US_national_yearly!$D:$AM, 10, FALSE), 1)</f>
        <v>5.6503217250366868E-7</v>
      </c>
      <c r="X3" s="7">
        <f>$B3 * IFERROR(VLOOKUP("transport|NOx|Infant mortality", US_national_yearly!$D:$AM, 32, FALSE) / VLOOKUP("transport|NOx|Infant mortality", US_national_yearly!$D:$AM, 10, FALSE), 1)</f>
        <v>5.6133402944759319E-7</v>
      </c>
      <c r="Y3" s="7">
        <f>$B3 * IFERROR(VLOOKUP("transport|NOx|Infant mortality", US_national_yearly!$D:$AM, 33, FALSE) / VLOOKUP("transport|NOx|Infant mortality", US_national_yearly!$D:$AM, 10, FALSE), 1)</f>
        <v>5.576358863915176E-7</v>
      </c>
      <c r="Z3" s="7">
        <f>$B3 * IFERROR(VLOOKUP("transport|NOx|Infant mortality", US_national_yearly!$D:$AM, 34, FALSE) / VLOOKUP("transport|NOx|Infant mortality", US_national_yearly!$D:$AM, 10, FALSE), 1)</f>
        <v>5.53937743335442E-7</v>
      </c>
      <c r="AA3" s="7">
        <f>$B3 * IFERROR(VLOOKUP("transport|NOx|Infant mortality", US_national_yearly!$D:$AM, 35, FALSE) / VLOOKUP("transport|NOx|Infant mortality", US_national_yearly!$D:$AM, 10, FALSE), 1)</f>
        <v>5.502396002793663E-7</v>
      </c>
      <c r="AB3" s="7">
        <f>$B3 * IFERROR(VLOOKUP("transport|NOx|Infant mortality", US_national_yearly!$D:$AM, 36, FALSE) / VLOOKUP("transport|NOx|Infant mortality", US_national_yearly!$D:$AM, 10, FALSE), 1)</f>
        <v>5.4654145722329071E-7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2.6527031716904416E-3</v>
      </c>
      <c r="C6" s="7">
        <f>$B6 * IFERROR(VLOOKUP("transport|NOx|Asthma symptoms cough", US_national_yearly!$D:$AM, 11, FALSE) / VLOOKUP("transport|NOx|Asthma symptoms cough", US_national_yearly!$D:$AM, 10, FALSE), 1)</f>
        <v>2.688969961045457E-3</v>
      </c>
      <c r="D6" s="7">
        <f>$B6 * IFERROR(VLOOKUP("transport|NOx|Asthma symptoms cough", US_national_yearly!$D:$AM, 12, FALSE) / VLOOKUP("transport|NOx|Asthma symptoms cough", US_national_yearly!$D:$AM, 10, FALSE), 1)</f>
        <v>2.7252367504004725E-3</v>
      </c>
      <c r="E6" s="7">
        <f>$B6 * IFERROR(VLOOKUP("transport|NOx|Asthma symptoms cough", US_national_yearly!$D:$AM, 13, FALSE) / VLOOKUP("transport|NOx|Asthma symptoms cough", US_national_yearly!$D:$AM, 10, FALSE), 1)</f>
        <v>2.7615035397554884E-3</v>
      </c>
      <c r="F6" s="7">
        <f>$B6 * IFERROR(VLOOKUP("transport|NOx|Asthma symptoms cough", US_national_yearly!$D:$AM, 14, FALSE) / VLOOKUP("transport|NOx|Asthma symptoms cough", US_national_yearly!$D:$AM, 10, FALSE), 1)</f>
        <v>2.7977703291105038E-3</v>
      </c>
      <c r="G6" s="7">
        <f>$B6 * IFERROR(VLOOKUP("transport|NOx|Asthma symptoms cough", US_national_yearly!$D:$AM, 15, FALSE) / VLOOKUP("transport|NOx|Asthma symptoms cough", US_national_yearly!$D:$AM, 10, FALSE), 1)</f>
        <v>2.826724292469059E-3</v>
      </c>
      <c r="H6" s="7">
        <f>$B6 * IFERROR(VLOOKUP("transport|NOx|Asthma symptoms cough", US_national_yearly!$D:$AM, 16, FALSE) / VLOOKUP("transport|NOx|Asthma symptoms cough", US_national_yearly!$D:$AM, 10, FALSE), 1)</f>
        <v>2.8556782558276151E-3</v>
      </c>
      <c r="I6" s="7">
        <f>$B6 * IFERROR(VLOOKUP("transport|NOx|Asthma symptoms cough", US_national_yearly!$D:$AM, 17, FALSE) / VLOOKUP("transport|NOx|Asthma symptoms cough", US_national_yearly!$D:$AM, 10, FALSE), 1)</f>
        <v>2.8656437960969706E-3</v>
      </c>
      <c r="J6" s="7">
        <f>$B6 * IFERROR(VLOOKUP("transport|NOx|Asthma symptoms cough", US_national_yearly!$D:$AM, 18, FALSE) / VLOOKUP("transport|NOx|Asthma symptoms cough", US_national_yearly!$D:$AM, 10, FALSE), 1)</f>
        <v>2.8756093363663262E-3</v>
      </c>
      <c r="K6" s="7">
        <f>$B6 * IFERROR(VLOOKUP("transport|NOx|Asthma symptoms cough", US_national_yearly!$D:$AM, 19, FALSE) / VLOOKUP("transport|NOx|Asthma symptoms cough", US_national_yearly!$D:$AM, 10, FALSE), 1)</f>
        <v>2.8855748766356813E-3</v>
      </c>
      <c r="L6" s="7">
        <f>$B6 * IFERROR(VLOOKUP("transport|NOx|Asthma symptoms cough", US_national_yearly!$D:$AM, 20, FALSE) / VLOOKUP("transport|NOx|Asthma symptoms cough", US_national_yearly!$D:$AM, 10, FALSE), 1)</f>
        <v>2.8955404169050364E-3</v>
      </c>
      <c r="M6" s="7">
        <f>$B6 * IFERROR(VLOOKUP("transport|NOx|Asthma symptoms cough", US_national_yearly!$D:$AM, 21, FALSE) / VLOOKUP("transport|NOx|Asthma symptoms cough", US_national_yearly!$D:$AM, 10, FALSE), 1)</f>
        <v>2.9055059571743923E-3</v>
      </c>
      <c r="N6" s="7">
        <f>$B6 * IFERROR(VLOOKUP("transport|NOx|Asthma symptoms cough", US_national_yearly!$D:$AM, 22, FALSE) / VLOOKUP("transport|NOx|Asthma symptoms cough", US_national_yearly!$D:$AM, 10, FALSE), 1)</f>
        <v>2.917061743223284E-3</v>
      </c>
      <c r="O6" s="7">
        <f>$B6 * IFERROR(VLOOKUP("transport|NOx|Asthma symptoms cough", US_national_yearly!$D:$AM, 23, FALSE) / VLOOKUP("transport|NOx|Asthma symptoms cough", US_national_yearly!$D:$AM, 10, FALSE), 1)</f>
        <v>2.9286175292721757E-3</v>
      </c>
      <c r="P6" s="7">
        <f>$B6 * IFERROR(VLOOKUP("transport|NOx|Asthma symptoms cough", US_national_yearly!$D:$AM, 24, FALSE) / VLOOKUP("transport|NOx|Asthma symptoms cough", US_national_yearly!$D:$AM, 10, FALSE), 1)</f>
        <v>2.9401733153210674E-3</v>
      </c>
      <c r="Q6" s="7">
        <f>$B6 * IFERROR(VLOOKUP("transport|NOx|Asthma symptoms cough", US_national_yearly!$D:$AM, 25, FALSE) / VLOOKUP("transport|NOx|Asthma symptoms cough", US_national_yearly!$D:$AM, 10, FALSE), 1)</f>
        <v>2.9517291013699595E-3</v>
      </c>
      <c r="R6" s="7">
        <f>$B6 * IFERROR(VLOOKUP("transport|NOx|Asthma symptoms cough", US_national_yearly!$D:$AM, 26, FALSE) / VLOOKUP("transport|NOx|Asthma symptoms cough", US_national_yearly!$D:$AM, 10, FALSE), 1)</f>
        <v>2.9632848874188511E-3</v>
      </c>
      <c r="S6" s="7">
        <f>$B6 * IFERROR(VLOOKUP("transport|NOx|Asthma symptoms cough", US_national_yearly!$D:$AM, 27, FALSE) / VLOOKUP("transport|NOx|Asthma symptoms cough", US_national_yearly!$D:$AM, 10, FALSE), 1)</f>
        <v>2.978380424489288E-3</v>
      </c>
      <c r="T6" s="7">
        <f>$B6 * IFERROR(VLOOKUP("transport|NOx|Asthma symptoms cough", US_national_yearly!$D:$AM, 28, FALSE) / VLOOKUP("transport|NOx|Asthma symptoms cough", US_national_yearly!$D:$AM, 10, FALSE), 1)</f>
        <v>2.9934759615597244E-3</v>
      </c>
      <c r="U6" s="7">
        <f>$B6 * IFERROR(VLOOKUP("transport|NOx|Asthma symptoms cough", US_national_yearly!$D:$AM, 29, FALSE) / VLOOKUP("transport|NOx|Asthma symptoms cough", US_national_yearly!$D:$AM, 10, FALSE), 1)</f>
        <v>3.00857149863016E-3</v>
      </c>
      <c r="V6" s="7">
        <f>$B6 * IFERROR(VLOOKUP("transport|NOx|Asthma symptoms cough", US_national_yearly!$D:$AM, 30, FALSE) / VLOOKUP("transport|NOx|Asthma symptoms cough", US_national_yearly!$D:$AM, 10, FALSE), 1)</f>
        <v>3.0236670357005968E-3</v>
      </c>
      <c r="W6" s="7">
        <f>$B6 * IFERROR(VLOOKUP("transport|NOx|Asthma symptoms cough", US_national_yearly!$D:$AM, 31, FALSE) / VLOOKUP("transport|NOx|Asthma symptoms cough", US_national_yearly!$D:$AM, 10, FALSE), 1)</f>
        <v>3.0387625727710333E-3</v>
      </c>
      <c r="X6" s="7">
        <f>$B6 * IFERROR(VLOOKUP("transport|NOx|Asthma symptoms cough", US_national_yearly!$D:$AM, 32, FALSE) / VLOOKUP("transport|NOx|Asthma symptoms cough", US_national_yearly!$D:$AM, 10, FALSE), 1)</f>
        <v>3.0527884957199805E-3</v>
      </c>
      <c r="Y6" s="7">
        <f>$B6 * IFERROR(VLOOKUP("transport|NOx|Asthma symptoms cough", US_national_yearly!$D:$AM, 33, FALSE) / VLOOKUP("transport|NOx|Asthma symptoms cough", US_national_yearly!$D:$AM, 10, FALSE), 1)</f>
        <v>3.0668144186689274E-3</v>
      </c>
      <c r="Z6" s="7">
        <f>$B6 * IFERROR(VLOOKUP("transport|NOx|Asthma symptoms cough", US_national_yearly!$D:$AM, 34, FALSE) / VLOOKUP("transport|NOx|Asthma symptoms cough", US_national_yearly!$D:$AM, 10, FALSE), 1)</f>
        <v>3.0808403416178747E-3</v>
      </c>
      <c r="AA6" s="7">
        <f>$B6 * IFERROR(VLOOKUP("transport|NOx|Asthma symptoms cough", US_national_yearly!$D:$AM, 35, FALSE) / VLOOKUP("transport|NOx|Asthma symptoms cough", US_national_yearly!$D:$AM, 10, FALSE), 1)</f>
        <v>3.0948662645668219E-3</v>
      </c>
      <c r="AB6" s="7">
        <f>$B6 * IFERROR(VLOOKUP("transport|NOx|Asthma symptoms cough", US_national_yearly!$D:$AM, 36, FALSE) / VLOOKUP("transport|NOx|Asthma symptoms cough", US_national_yearly!$D:$AM, 10, FALSE), 1)</f>
        <v>3.1088921875157697E-3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3.572114554557972E-3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3.6209512006566895E-3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3.6697878467554061E-3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3.7186244928541236E-3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3.7674611389528411E-3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3.8064503763685599E-3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3.8454396137842786E-3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3.858859151855513E-3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3.8722786899267479E-3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3.8856982279979824E-3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3.8991177660692169E-3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3.9125373041404513E-3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3.928098257903084E-3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3.9436592116657157E-3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3.9592201654283475E-3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3.9747811191909793E-3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3.9903420729536111E-3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4.0106696347516234E-3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4.0309971965496356E-3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4.0513247583476479E-3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4.0716523201456585E-3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4.0919798819436708E-3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4.1108671076184287E-3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4.1297543332931867E-3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4.1486415589679464E-3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4.1675287846427043E-3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4.1864160103174623E-3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5.4580676276773359E-3</v>
      </c>
      <c r="C8" s="7">
        <f>$B8 * IFERROR(VLOOKUP("transport|NOx|Asthma symptoms wheeze", US_national_yearly!$D:$AM, 11, FALSE) / VLOOKUP("transport|NOx|Asthma symptoms wheeze", US_national_yearly!$D:$AM, 10, FALSE), 1)</f>
        <v>5.5326883358379174E-3</v>
      </c>
      <c r="D8" s="7">
        <f>$B8 * IFERROR(VLOOKUP("transport|NOx|Asthma symptoms wheeze", US_national_yearly!$D:$AM, 12, FALSE) / VLOOKUP("transport|NOx|Asthma symptoms wheeze", US_national_yearly!$D:$AM, 10, FALSE), 1)</f>
        <v>5.6073090439985014E-3</v>
      </c>
      <c r="E8" s="7">
        <f>$B8 * IFERROR(VLOOKUP("transport|NOx|Asthma symptoms wheeze", US_national_yearly!$D:$AM, 13, FALSE) / VLOOKUP("transport|NOx|Asthma symptoms wheeze", US_national_yearly!$D:$AM, 10, FALSE), 1)</f>
        <v>5.6819297521590829E-3</v>
      </c>
      <c r="F8" s="7">
        <f>$B8 * IFERROR(VLOOKUP("transport|NOx|Asthma symptoms wheeze", US_national_yearly!$D:$AM, 14, FALSE) / VLOOKUP("transport|NOx|Asthma symptoms wheeze", US_national_yearly!$D:$AM, 10, FALSE), 1)</f>
        <v>5.7565504603196644E-3</v>
      </c>
      <c r="G8" s="7">
        <f>$B8 * IFERROR(VLOOKUP("transport|NOx|Asthma symptoms wheeze", US_national_yearly!$D:$AM, 15, FALSE) / VLOOKUP("transport|NOx|Asthma symptoms wheeze", US_national_yearly!$D:$AM, 10, FALSE), 1)</f>
        <v>5.8161246682907853E-3</v>
      </c>
      <c r="H8" s="7">
        <f>$B8 * IFERROR(VLOOKUP("transport|NOx|Asthma symptoms wheeze", US_national_yearly!$D:$AM, 16, FALSE) / VLOOKUP("transport|NOx|Asthma symptoms wheeze", US_national_yearly!$D:$AM, 10, FALSE), 1)</f>
        <v>5.8756988762619072E-3</v>
      </c>
      <c r="I8" s="7">
        <f>$B8 * IFERROR(VLOOKUP("transport|NOx|Asthma symptoms wheeze", US_national_yearly!$D:$AM, 17, FALSE) / VLOOKUP("transport|NOx|Asthma symptoms wheeze", US_national_yearly!$D:$AM, 10, FALSE), 1)</f>
        <v>5.8962034670632345E-3</v>
      </c>
      <c r="J8" s="7">
        <f>$B8 * IFERROR(VLOOKUP("transport|NOx|Asthma symptoms wheeze", US_national_yearly!$D:$AM, 18, FALSE) / VLOOKUP("transport|NOx|Asthma symptoms wheeze", US_national_yearly!$D:$AM, 10, FALSE), 1)</f>
        <v>5.9167080578645635E-3</v>
      </c>
      <c r="K8" s="7">
        <f>$B8 * IFERROR(VLOOKUP("transport|NOx|Asthma symptoms wheeze", US_national_yearly!$D:$AM, 19, FALSE) / VLOOKUP("transport|NOx|Asthma symptoms wheeze", US_national_yearly!$D:$AM, 10, FALSE), 1)</f>
        <v>5.93721264866589E-3</v>
      </c>
      <c r="L8" s="7">
        <f>$B8 * IFERROR(VLOOKUP("transport|NOx|Asthma symptoms wheeze", US_national_yearly!$D:$AM, 20, FALSE) / VLOOKUP("transport|NOx|Asthma symptoms wheeze", US_national_yearly!$D:$AM, 10, FALSE), 1)</f>
        <v>5.9577172394672182E-3</v>
      </c>
      <c r="M8" s="7">
        <f>$B8 * IFERROR(VLOOKUP("transport|NOx|Asthma symptoms wheeze", US_national_yearly!$D:$AM, 21, FALSE) / VLOOKUP("transport|NOx|Asthma symptoms wheeze", US_national_yearly!$D:$AM, 10, FALSE), 1)</f>
        <v>5.9782218302685463E-3</v>
      </c>
      <c r="N8" s="7">
        <f>$B8 * IFERROR(VLOOKUP("transport|NOx|Asthma symptoms wheeze", US_national_yearly!$D:$AM, 22, FALSE) / VLOOKUP("transport|NOx|Asthma symptoms wheeze", US_national_yearly!$D:$AM, 10, FALSE), 1)</f>
        <v>6.0019984302330633E-3</v>
      </c>
      <c r="O8" s="7">
        <f>$B8 * IFERROR(VLOOKUP("transport|NOx|Asthma symptoms wheeze", US_national_yearly!$D:$AM, 23, FALSE) / VLOOKUP("transport|NOx|Asthma symptoms wheeze", US_national_yearly!$D:$AM, 10, FALSE), 1)</f>
        <v>6.0257750301975829E-3</v>
      </c>
      <c r="P8" s="7">
        <f>$B8 * IFERROR(VLOOKUP("transport|NOx|Asthma symptoms wheeze", US_national_yearly!$D:$AM, 24, FALSE) / VLOOKUP("transport|NOx|Asthma symptoms wheeze", US_national_yearly!$D:$AM, 10, FALSE), 1)</f>
        <v>6.0495516301620998E-3</v>
      </c>
      <c r="Q8" s="7">
        <f>$B8 * IFERROR(VLOOKUP("transport|NOx|Asthma symptoms wheeze", US_national_yearly!$D:$AM, 25, FALSE) / VLOOKUP("transport|NOx|Asthma symptoms wheeze", US_national_yearly!$D:$AM, 10, FALSE), 1)</f>
        <v>6.0733282301266194E-3</v>
      </c>
      <c r="R8" s="7">
        <f>$B8 * IFERROR(VLOOKUP("transport|NOx|Asthma symptoms wheeze", US_national_yearly!$D:$AM, 26, FALSE) / VLOOKUP("transport|NOx|Asthma symptoms wheeze", US_national_yearly!$D:$AM, 10, FALSE), 1)</f>
        <v>6.0971048300911363E-3</v>
      </c>
      <c r="S8" s="7">
        <f>$B8 * IFERROR(VLOOKUP("transport|NOx|Asthma symptoms wheeze", US_national_yearly!$D:$AM, 27, FALSE) / VLOOKUP("transport|NOx|Asthma symptoms wheeze", US_national_yearly!$D:$AM, 10, FALSE), 1)</f>
        <v>6.128164642417373E-3</v>
      </c>
      <c r="T8" s="7">
        <f>$B8 * IFERROR(VLOOKUP("transport|NOx|Asthma symptoms wheeze", US_national_yearly!$D:$AM, 28, FALSE) / VLOOKUP("transport|NOx|Asthma symptoms wheeze", US_national_yearly!$D:$AM, 10, FALSE), 1)</f>
        <v>6.1592244547436087E-3</v>
      </c>
      <c r="U8" s="7">
        <f>$B8 * IFERROR(VLOOKUP("transport|NOx|Asthma symptoms wheeze", US_national_yearly!$D:$AM, 29, FALSE) / VLOOKUP("transport|NOx|Asthma symptoms wheeze", US_national_yearly!$D:$AM, 10, FALSE), 1)</f>
        <v>6.1902842670698444E-3</v>
      </c>
      <c r="V8" s="7">
        <f>$B8 * IFERROR(VLOOKUP("transport|NOx|Asthma symptoms wheeze", US_national_yearly!$D:$AM, 30, FALSE) / VLOOKUP("transport|NOx|Asthma symptoms wheeze", US_national_yearly!$D:$AM, 10, FALSE), 1)</f>
        <v>6.221344079396081E-3</v>
      </c>
      <c r="W8" s="7">
        <f>$B8 * IFERROR(VLOOKUP("transport|NOx|Asthma symptoms wheeze", US_national_yearly!$D:$AM, 31, FALSE) / VLOOKUP("transport|NOx|Asthma symptoms wheeze", US_national_yearly!$D:$AM, 10, FALSE), 1)</f>
        <v>6.2524038917223159E-3</v>
      </c>
      <c r="X8" s="7">
        <f>$B8 * IFERROR(VLOOKUP("transport|NOx|Asthma symptoms wheeze", US_national_yearly!$D:$AM, 32, FALSE) / VLOOKUP("transport|NOx|Asthma symptoms wheeze", US_national_yearly!$D:$AM, 10, FALSE), 1)</f>
        <v>6.2812629202097297E-3</v>
      </c>
      <c r="Y8" s="7">
        <f>$B8 * IFERROR(VLOOKUP("transport|NOx|Asthma symptoms wheeze", US_national_yearly!$D:$AM, 33, FALSE) / VLOOKUP("transport|NOx|Asthma symptoms wheeze", US_national_yearly!$D:$AM, 10, FALSE), 1)</f>
        <v>6.3101219486971418E-3</v>
      </c>
      <c r="Z8" s="7">
        <f>$B8 * IFERROR(VLOOKUP("transport|NOx|Asthma symptoms wheeze", US_national_yearly!$D:$AM, 34, FALSE) / VLOOKUP("transport|NOx|Asthma symptoms wheeze", US_national_yearly!$D:$AM, 10, FALSE), 1)</f>
        <v>6.3389809771845548E-3</v>
      </c>
      <c r="AA8" s="7">
        <f>$B8 * IFERROR(VLOOKUP("transport|NOx|Asthma symptoms wheeze", US_national_yearly!$D:$AM, 35, FALSE) / VLOOKUP("transport|NOx|Asthma symptoms wheeze", US_national_yearly!$D:$AM, 10, FALSE), 1)</f>
        <v>6.3678400056719677E-3</v>
      </c>
      <c r="AB8" s="7">
        <f>$B8 * IFERROR(VLOOKUP("transport|NOx|Asthma symptoms wheeze", US_national_yearly!$D:$AM, 36, FALSE) / VLOOKUP("transport|NOx|Asthma symptoms wheeze", US_national_yearly!$D:$AM, 10, FALSE), 1)</f>
        <v>6.3966990341593807E-3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5.1916000565408542E-5</v>
      </c>
      <c r="C12" s="7">
        <f>$B12 * IFERROR(VLOOKUP("transport|NOx|Respiratory hospital admissions", US_national_yearly!$D:$AM, 11, FALSE) / VLOOKUP("transport|NOx|Respiratory hospital admissions", US_national_yearly!$D:$AM, 10, FALSE), 1)</f>
        <v>5.3211027792212253E-5</v>
      </c>
      <c r="D12" s="7">
        <f>$B12 * IFERROR(VLOOKUP("transport|NOx|Respiratory hospital admissions", US_national_yearly!$D:$AM, 12, FALSE) / VLOOKUP("transport|NOx|Respiratory hospital admissions", US_national_yearly!$D:$AM, 10, FALSE), 1)</f>
        <v>5.4506055019015978E-5</v>
      </c>
      <c r="E12" s="7">
        <f>$B12 * IFERROR(VLOOKUP("transport|NOx|Respiratory hospital admissions", US_national_yearly!$D:$AM, 13, FALSE) / VLOOKUP("transport|NOx|Respiratory hospital admissions", US_national_yearly!$D:$AM, 10, FALSE), 1)</f>
        <v>5.5801082245819703E-5</v>
      </c>
      <c r="F12" s="7">
        <f>$B12 * IFERROR(VLOOKUP("transport|NOx|Respiratory hospital admissions", US_national_yearly!$D:$AM, 14, FALSE) / VLOOKUP("transport|NOx|Respiratory hospital admissions", US_national_yearly!$D:$AM, 10, FALSE), 1)</f>
        <v>5.7096109472623427E-5</v>
      </c>
      <c r="G12" s="7">
        <f>$B12 * IFERROR(VLOOKUP("transport|NOx|Respiratory hospital admissions", US_national_yearly!$D:$AM, 15, FALSE) / VLOOKUP("transport|NOx|Respiratory hospital admissions", US_national_yearly!$D:$AM, 10, FALSE), 1)</f>
        <v>5.8334199578927807E-5</v>
      </c>
      <c r="H12" s="7">
        <f>$B12 * IFERROR(VLOOKUP("transport|NOx|Respiratory hospital admissions", US_national_yearly!$D:$AM, 16, FALSE) / VLOOKUP("transport|NOx|Respiratory hospital admissions", US_national_yearly!$D:$AM, 10, FALSE), 1)</f>
        <v>5.9572289685232187E-5</v>
      </c>
      <c r="I12" s="7">
        <f>$B12 * IFERROR(VLOOKUP("transport|NOx|Respiratory hospital admissions", US_national_yearly!$D:$AM, 17, FALSE) / VLOOKUP("transport|NOx|Respiratory hospital admissions", US_national_yearly!$D:$AM, 10, FALSE), 1)</f>
        <v>6.0623453638041375E-5</v>
      </c>
      <c r="J12" s="7">
        <f>$B12 * IFERROR(VLOOKUP("transport|NOx|Respiratory hospital admissions", US_national_yearly!$D:$AM, 18, FALSE) / VLOOKUP("transport|NOx|Respiratory hospital admissions", US_national_yearly!$D:$AM, 10, FALSE), 1)</f>
        <v>6.167461759085055E-5</v>
      </c>
      <c r="K12" s="7">
        <f>$B12 * IFERROR(VLOOKUP("transport|NOx|Respiratory hospital admissions", US_national_yearly!$D:$AM, 19, FALSE) / VLOOKUP("transport|NOx|Respiratory hospital admissions", US_national_yearly!$D:$AM, 10, FALSE), 1)</f>
        <v>6.2725781543659738E-5</v>
      </c>
      <c r="L12" s="7">
        <f>$B12 * IFERROR(VLOOKUP("transport|NOx|Respiratory hospital admissions", US_national_yearly!$D:$AM, 20, FALSE) / VLOOKUP("transport|NOx|Respiratory hospital admissions", US_national_yearly!$D:$AM, 10, FALSE), 1)</f>
        <v>6.3776945496468927E-5</v>
      </c>
      <c r="M12" s="7">
        <f>$B12 * IFERROR(VLOOKUP("transport|NOx|Respiratory hospital admissions", US_national_yearly!$D:$AM, 21, FALSE) / VLOOKUP("transport|NOx|Respiratory hospital admissions", US_national_yearly!$D:$AM, 10, FALSE), 1)</f>
        <v>6.4828109449278101E-5</v>
      </c>
      <c r="N12" s="7">
        <f>$B12 * IFERROR(VLOOKUP("transport|NOx|Respiratory hospital admissions", US_national_yearly!$D:$AM, 22, FALSE) / VLOOKUP("transport|NOx|Respiratory hospital admissions", US_national_yearly!$D:$AM, 10, FALSE), 1)</f>
        <v>6.5530831477474821E-5</v>
      </c>
      <c r="O12" s="7">
        <f>$B12 * IFERROR(VLOOKUP("transport|NOx|Respiratory hospital admissions", US_national_yearly!$D:$AM, 23, FALSE) / VLOOKUP("transport|NOx|Respiratory hospital admissions", US_national_yearly!$D:$AM, 10, FALSE), 1)</f>
        <v>6.6233553505671555E-5</v>
      </c>
      <c r="P12" s="7">
        <f>$B12 * IFERROR(VLOOKUP("transport|NOx|Respiratory hospital admissions", US_national_yearly!$D:$AM, 24, FALSE) / VLOOKUP("transport|NOx|Respiratory hospital admissions", US_national_yearly!$D:$AM, 10, FALSE), 1)</f>
        <v>6.6936275533868275E-5</v>
      </c>
      <c r="Q12" s="7">
        <f>$B12 * IFERROR(VLOOKUP("transport|NOx|Respiratory hospital admissions", US_national_yearly!$D:$AM, 25, FALSE) / VLOOKUP("transport|NOx|Respiratory hospital admissions", US_national_yearly!$D:$AM, 10, FALSE), 1)</f>
        <v>6.7638997562065022E-5</v>
      </c>
      <c r="R12" s="7">
        <f>$B12 * IFERROR(VLOOKUP("transport|NOx|Respiratory hospital admissions", US_national_yearly!$D:$AM, 26, FALSE) / VLOOKUP("transport|NOx|Respiratory hospital admissions", US_national_yearly!$D:$AM, 10, FALSE), 1)</f>
        <v>6.8341719590261742E-5</v>
      </c>
      <c r="S12" s="7">
        <f>$B12 * IFERROR(VLOOKUP("transport|NOx|Respiratory hospital admissions", US_national_yearly!$D:$AM, 27, FALSE) / VLOOKUP("transport|NOx|Respiratory hospital admissions", US_national_yearly!$D:$AM, 10, FALSE), 1)</f>
        <v>6.8718219011408227E-5</v>
      </c>
      <c r="T12" s="7">
        <f>$B12 * IFERROR(VLOOKUP("transport|NOx|Respiratory hospital admissions", US_national_yearly!$D:$AM, 28, FALSE) / VLOOKUP("transport|NOx|Respiratory hospital admissions", US_national_yearly!$D:$AM, 10, FALSE), 1)</f>
        <v>6.9094718432554712E-5</v>
      </c>
      <c r="U12" s="7">
        <f>$B12 * IFERROR(VLOOKUP("transport|NOx|Respiratory hospital admissions", US_national_yearly!$D:$AM, 29, FALSE) / VLOOKUP("transport|NOx|Respiratory hospital admissions", US_national_yearly!$D:$AM, 10, FALSE), 1)</f>
        <v>6.947121785370121E-5</v>
      </c>
      <c r="V12" s="7">
        <f>$B12 * IFERROR(VLOOKUP("transport|NOx|Respiratory hospital admissions", US_national_yearly!$D:$AM, 30, FALSE) / VLOOKUP("transport|NOx|Respiratory hospital admissions", US_national_yearly!$D:$AM, 10, FALSE), 1)</f>
        <v>6.9847717274847682E-5</v>
      </c>
      <c r="W12" s="7">
        <f>$B12 * IFERROR(VLOOKUP("transport|NOx|Respiratory hospital admissions", US_national_yearly!$D:$AM, 31, FALSE) / VLOOKUP("transport|NOx|Respiratory hospital admissions", US_national_yearly!$D:$AM, 10, FALSE), 1)</f>
        <v>7.0224216695994181E-5</v>
      </c>
      <c r="X12" s="7">
        <f>$B12 * IFERROR(VLOOKUP("transport|NOx|Respiratory hospital admissions", US_national_yearly!$D:$AM, 32, FALSE) / VLOOKUP("transport|NOx|Respiratory hospital admissions", US_national_yearly!$D:$AM, 10, FALSE), 1)</f>
        <v>7.0481505136866423E-5</v>
      </c>
      <c r="Y12" s="7">
        <f>$B12 * IFERROR(VLOOKUP("transport|NOx|Respiratory hospital admissions", US_national_yearly!$D:$AM, 33, FALSE) / VLOOKUP("transport|NOx|Respiratory hospital admissions", US_national_yearly!$D:$AM, 10, FALSE), 1)</f>
        <v>7.0738793577738665E-5</v>
      </c>
      <c r="Z12" s="7">
        <f>$B12 * IFERROR(VLOOKUP("transport|NOx|Respiratory hospital admissions", US_national_yearly!$D:$AM, 34, FALSE) / VLOOKUP("transport|NOx|Respiratory hospital admissions", US_national_yearly!$D:$AM, 10, FALSE), 1)</f>
        <v>7.0996082018610907E-5</v>
      </c>
      <c r="AA12" s="7">
        <f>$B12 * IFERROR(VLOOKUP("transport|NOx|Respiratory hospital admissions", US_national_yearly!$D:$AM, 35, FALSE) / VLOOKUP("transport|NOx|Respiratory hospital admissions", US_national_yearly!$D:$AM, 10, FALSE), 1)</f>
        <v>7.1253370459483148E-5</v>
      </c>
      <c r="AB12" s="7">
        <f>$B12 * IFERROR(VLOOKUP("transport|NOx|Respiratory hospital admissions", US_national_yearly!$D:$AM, 36, FALSE) / VLOOKUP("transport|NOx|Respiratory hospital admissions", US_national_yearly!$D:$AM, 10, FALSE), 1)</f>
        <v>7.1510658900355377E-5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3.7720995155107962E-4</v>
      </c>
      <c r="C13" s="7">
        <f>$B13 * IFERROR(VLOOKUP("transport|NOx|Non-fatal heart attacks", US_national_yearly!$D:$AM, 11, FALSE) / VLOOKUP("transport|NOx|Non-fatal heart attacks", US_national_yearly!$D:$AM, 10, FALSE), 1)</f>
        <v>3.8799405172275343E-4</v>
      </c>
      <c r="D13" s="7">
        <f>$B13 * IFERROR(VLOOKUP("transport|NOx|Non-fatal heart attacks", US_national_yearly!$D:$AM, 12, FALSE) / VLOOKUP("transport|NOx|Non-fatal heart attacks", US_national_yearly!$D:$AM, 10, FALSE), 1)</f>
        <v>3.9877815189442718E-4</v>
      </c>
      <c r="E13" s="7">
        <f>$B13 * IFERROR(VLOOKUP("transport|NOx|Non-fatal heart attacks", US_national_yearly!$D:$AM, 13, FALSE) / VLOOKUP("transport|NOx|Non-fatal heart attacks", US_national_yearly!$D:$AM, 10, FALSE), 1)</f>
        <v>4.0956225206610088E-4</v>
      </c>
      <c r="F13" s="7">
        <f>$B13 * IFERROR(VLOOKUP("transport|NOx|Non-fatal heart attacks", US_national_yearly!$D:$AM, 14, FALSE) / VLOOKUP("transport|NOx|Non-fatal heart attacks", US_national_yearly!$D:$AM, 10, FALSE), 1)</f>
        <v>4.2034635223777469E-4</v>
      </c>
      <c r="G13" s="7">
        <f>$B13 * IFERROR(VLOOKUP("transport|NOx|Non-fatal heart attacks", US_national_yearly!$D:$AM, 15, FALSE) / VLOOKUP("transport|NOx|Non-fatal heart attacks", US_national_yearly!$D:$AM, 10, FALSE), 1)</f>
        <v>4.3042407143510035E-4</v>
      </c>
      <c r="H13" s="7">
        <f>$B13 * IFERROR(VLOOKUP("transport|NOx|Non-fatal heart attacks", US_national_yearly!$D:$AM, 16, FALSE) / VLOOKUP("transport|NOx|Non-fatal heart attacks", US_national_yearly!$D:$AM, 10, FALSE), 1)</f>
        <v>4.40501790632426E-4</v>
      </c>
      <c r="I13" s="7">
        <f>$B13 * IFERROR(VLOOKUP("transport|NOx|Non-fatal heart attacks", US_national_yearly!$D:$AM, 17, FALSE) / VLOOKUP("transport|NOx|Non-fatal heart attacks", US_national_yearly!$D:$AM, 10, FALSE), 1)</f>
        <v>4.4844692022621914E-4</v>
      </c>
      <c r="J13" s="7">
        <f>$B13 * IFERROR(VLOOKUP("transport|NOx|Non-fatal heart attacks", US_national_yearly!$D:$AM, 18, FALSE) / VLOOKUP("transport|NOx|Non-fatal heart attacks", US_national_yearly!$D:$AM, 10, FALSE), 1)</f>
        <v>4.5639204982001239E-4</v>
      </c>
      <c r="K13" s="7">
        <f>$B13 * IFERROR(VLOOKUP("transport|NOx|Non-fatal heart attacks", US_national_yearly!$D:$AM, 19, FALSE) / VLOOKUP("transport|NOx|Non-fatal heart attacks", US_national_yearly!$D:$AM, 10, FALSE), 1)</f>
        <v>4.6433717941380526E-4</v>
      </c>
      <c r="L13" s="7">
        <f>$B13 * IFERROR(VLOOKUP("transport|NOx|Non-fatal heart attacks", US_national_yearly!$D:$AM, 20, FALSE) / VLOOKUP("transport|NOx|Non-fatal heart attacks", US_national_yearly!$D:$AM, 10, FALSE), 1)</f>
        <v>4.7228230900759878E-4</v>
      </c>
      <c r="M13" s="7">
        <f>$B13 * IFERROR(VLOOKUP("transport|NOx|Non-fatal heart attacks", US_national_yearly!$D:$AM, 21, FALSE) / VLOOKUP("transport|NOx|Non-fatal heart attacks", US_national_yearly!$D:$AM, 10, FALSE), 1)</f>
        <v>4.8022743860139181E-4</v>
      </c>
      <c r="N13" s="7">
        <f>$B13 * IFERROR(VLOOKUP("transport|NOx|Non-fatal heart attacks", US_national_yearly!$D:$AM, 22, FALSE) / VLOOKUP("transport|NOx|Non-fatal heart attacks", US_national_yearly!$D:$AM, 10, FALSE), 1)</f>
        <v>4.8500746951360809E-4</v>
      </c>
      <c r="O13" s="7">
        <f>$B13 * IFERROR(VLOOKUP("transport|NOx|Non-fatal heart attacks", US_national_yearly!$D:$AM, 23, FALSE) / VLOOKUP("transport|NOx|Non-fatal heart attacks", US_national_yearly!$D:$AM, 10, FALSE), 1)</f>
        <v>4.8978750042582425E-4</v>
      </c>
      <c r="P13" s="7">
        <f>$B13 * IFERROR(VLOOKUP("transport|NOx|Non-fatal heart attacks", US_national_yearly!$D:$AM, 24, FALSE) / VLOOKUP("transport|NOx|Non-fatal heart attacks", US_national_yearly!$D:$AM, 10, FALSE), 1)</f>
        <v>4.9456753133804042E-4</v>
      </c>
      <c r="Q13" s="7">
        <f>$B13 * IFERROR(VLOOKUP("transport|NOx|Non-fatal heart attacks", US_national_yearly!$D:$AM, 25, FALSE) / VLOOKUP("transport|NOx|Non-fatal heart attacks", US_national_yearly!$D:$AM, 10, FALSE), 1)</f>
        <v>4.993475622502568E-4</v>
      </c>
      <c r="R13" s="7">
        <f>$B13 * IFERROR(VLOOKUP("transport|NOx|Non-fatal heart attacks", US_national_yearly!$D:$AM, 26, FALSE) / VLOOKUP("transport|NOx|Non-fatal heart attacks", US_national_yearly!$D:$AM, 10, FALSE), 1)</f>
        <v>5.0412759316247296E-4</v>
      </c>
      <c r="S13" s="7">
        <f>$B13 * IFERROR(VLOOKUP("transport|NOx|Non-fatal heart attacks", US_national_yearly!$D:$AM, 27, FALSE) / VLOOKUP("transport|NOx|Non-fatal heart attacks", US_national_yearly!$D:$AM, 10, FALSE), 1)</f>
        <v>5.0629584824472633E-4</v>
      </c>
      <c r="T13" s="7">
        <f>$B13 * IFERROR(VLOOKUP("transport|NOx|Non-fatal heart attacks", US_national_yearly!$D:$AM, 28, FALSE) / VLOOKUP("transport|NOx|Non-fatal heart attacks", US_national_yearly!$D:$AM, 10, FALSE), 1)</f>
        <v>5.084641033269796E-4</v>
      </c>
      <c r="U13" s="7">
        <f>$B13 * IFERROR(VLOOKUP("transport|NOx|Non-fatal heart attacks", US_national_yearly!$D:$AM, 29, FALSE) / VLOOKUP("transport|NOx|Non-fatal heart attacks", US_national_yearly!$D:$AM, 10, FALSE), 1)</f>
        <v>5.1063235840923286E-4</v>
      </c>
      <c r="V13" s="7">
        <f>$B13 * IFERROR(VLOOKUP("transport|NOx|Non-fatal heart attacks", US_national_yearly!$D:$AM, 30, FALSE) / VLOOKUP("transport|NOx|Non-fatal heart attacks", US_national_yearly!$D:$AM, 10, FALSE), 1)</f>
        <v>5.1280061349148623E-4</v>
      </c>
      <c r="W13" s="7">
        <f>$B13 * IFERROR(VLOOKUP("transport|NOx|Non-fatal heart attacks", US_national_yearly!$D:$AM, 31, FALSE) / VLOOKUP("transport|NOx|Non-fatal heart attacks", US_national_yearly!$D:$AM, 10, FALSE), 1)</f>
        <v>5.149688685737395E-4</v>
      </c>
      <c r="X13" s="7">
        <f>$B13 * IFERROR(VLOOKUP("transport|NOx|Non-fatal heart attacks", US_national_yearly!$D:$AM, 32, FALSE) / VLOOKUP("transport|NOx|Non-fatal heart attacks", US_national_yearly!$D:$AM, 10, FALSE), 1)</f>
        <v>5.164178107094035E-4</v>
      </c>
      <c r="Y13" s="7">
        <f>$B13 * IFERROR(VLOOKUP("transport|NOx|Non-fatal heart attacks", US_national_yearly!$D:$AM, 33, FALSE) / VLOOKUP("transport|NOx|Non-fatal heart attacks", US_national_yearly!$D:$AM, 10, FALSE), 1)</f>
        <v>5.1786675284506761E-4</v>
      </c>
      <c r="Z13" s="7">
        <f>$B13 * IFERROR(VLOOKUP("transport|NOx|Non-fatal heart attacks", US_national_yearly!$D:$AM, 34, FALSE) / VLOOKUP("transport|NOx|Non-fatal heart attacks", US_national_yearly!$D:$AM, 10, FALSE), 1)</f>
        <v>5.193156949807315E-4</v>
      </c>
      <c r="AA13" s="7">
        <f>$B13 * IFERROR(VLOOKUP("transport|NOx|Non-fatal heart attacks", US_national_yearly!$D:$AM, 35, FALSE) / VLOOKUP("transport|NOx|Non-fatal heart attacks", US_national_yearly!$D:$AM, 10, FALSE), 1)</f>
        <v>5.2076463711639551E-4</v>
      </c>
      <c r="AB13" s="7">
        <f>$B13 * IFERROR(VLOOKUP("transport|NOx|Non-fatal heart attacks", US_national_yearly!$D:$AM, 36, FALSE) / VLOOKUP("transport|NOx|Non-fatal heart attacks", US_national_yearly!$D:$AM, 10, FALSE), 1)</f>
        <v>5.2221357925205962E-4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0.34171816704358449</v>
      </c>
      <c r="C14" s="7">
        <f>$B14 * IFERROR(VLOOKUP("transport|NOx|Minor restricted activity days", US_national_yearly!$D:$AM, 11, FALSE) / VLOOKUP("transport|NOx|Minor restricted activity days", US_national_yearly!$D:$AM, 10, FALSE), 1)</f>
        <v>0.34224207834033432</v>
      </c>
      <c r="D14" s="7">
        <f>$B14 * IFERROR(VLOOKUP("transport|NOx|Minor restricted activity days", US_national_yearly!$D:$AM, 12, FALSE) / VLOOKUP("transport|NOx|Minor restricted activity days", US_national_yearly!$D:$AM, 10, FALSE), 1)</f>
        <v>0.34276598963708421</v>
      </c>
      <c r="E14" s="7">
        <f>$B14 * IFERROR(VLOOKUP("transport|NOx|Minor restricted activity days", US_national_yearly!$D:$AM, 13, FALSE) / VLOOKUP("transport|NOx|Minor restricted activity days", US_national_yearly!$D:$AM, 10, FALSE), 1)</f>
        <v>0.34328990093383416</v>
      </c>
      <c r="F14" s="7">
        <f>$B14 * IFERROR(VLOOKUP("transport|NOx|Minor restricted activity days", US_national_yearly!$D:$AM, 14, FALSE) / VLOOKUP("transport|NOx|Minor restricted activity days", US_national_yearly!$D:$AM, 10, FALSE), 1)</f>
        <v>0.34381381223058399</v>
      </c>
      <c r="G14" s="7">
        <f>$B14 * IFERROR(VLOOKUP("transport|NOx|Minor restricted activity days", US_national_yearly!$D:$AM, 15, FALSE) / VLOOKUP("transport|NOx|Minor restricted activity days", US_national_yearly!$D:$AM, 10, FALSE), 1)</f>
        <v>0.34475987133091018</v>
      </c>
      <c r="H14" s="7">
        <f>$B14 * IFERROR(VLOOKUP("transport|NOx|Minor restricted activity days", US_national_yearly!$D:$AM, 16, FALSE) / VLOOKUP("transport|NOx|Minor restricted activity days", US_national_yearly!$D:$AM, 10, FALSE), 1)</f>
        <v>0.34570593043123626</v>
      </c>
      <c r="I14" s="7">
        <f>$B14 * IFERROR(VLOOKUP("transport|NOx|Minor restricted activity days", US_national_yearly!$D:$AM, 17, FALSE) / VLOOKUP("transport|NOx|Minor restricted activity days", US_national_yearly!$D:$AM, 10, FALSE), 1)</f>
        <v>0.34755638462042637</v>
      </c>
      <c r="J14" s="7">
        <f>$B14 * IFERROR(VLOOKUP("transport|NOx|Minor restricted activity days", US_national_yearly!$D:$AM, 18, FALSE) / VLOOKUP("transport|NOx|Minor restricted activity days", US_national_yearly!$D:$AM, 10, FALSE), 1)</f>
        <v>0.34940683880961632</v>
      </c>
      <c r="K14" s="7">
        <f>$B14 * IFERROR(VLOOKUP("transport|NOx|Minor restricted activity days", US_national_yearly!$D:$AM, 19, FALSE) / VLOOKUP("transport|NOx|Minor restricted activity days", US_national_yearly!$D:$AM, 10, FALSE), 1)</f>
        <v>0.35125729299880643</v>
      </c>
      <c r="L14" s="7">
        <f>$B14 * IFERROR(VLOOKUP("transport|NOx|Minor restricted activity days", US_national_yearly!$D:$AM, 20, FALSE) / VLOOKUP("transport|NOx|Minor restricted activity days", US_national_yearly!$D:$AM, 10, FALSE), 1)</f>
        <v>0.35310774718799637</v>
      </c>
      <c r="M14" s="7">
        <f>$B14 * IFERROR(VLOOKUP("transport|NOx|Minor restricted activity days", US_national_yearly!$D:$AM, 21, FALSE) / VLOOKUP("transport|NOx|Minor restricted activity days", US_national_yearly!$D:$AM, 10, FALSE), 1)</f>
        <v>0.35495820137718642</v>
      </c>
      <c r="N14" s="7">
        <f>$B14 * IFERROR(VLOOKUP("transport|NOx|Minor restricted activity days", US_national_yearly!$D:$AM, 22, FALSE) / VLOOKUP("transport|NOx|Minor restricted activity days", US_national_yearly!$D:$AM, 10, FALSE), 1)</f>
        <v>0.35760763219470709</v>
      </c>
      <c r="O14" s="7">
        <f>$B14 * IFERROR(VLOOKUP("transport|NOx|Minor restricted activity days", US_national_yearly!$D:$AM, 23, FALSE) / VLOOKUP("transport|NOx|Minor restricted activity days", US_national_yearly!$D:$AM, 10, FALSE), 1)</f>
        <v>0.36025706301222771</v>
      </c>
      <c r="P14" s="7">
        <f>$B14 * IFERROR(VLOOKUP("transport|NOx|Minor restricted activity days", US_national_yearly!$D:$AM, 24, FALSE) / VLOOKUP("transport|NOx|Minor restricted activity days", US_national_yearly!$D:$AM, 10, FALSE), 1)</f>
        <v>0.36290649382974838</v>
      </c>
      <c r="Q14" s="7">
        <f>$B14 * IFERROR(VLOOKUP("transport|NOx|Minor restricted activity days", US_national_yearly!$D:$AM, 25, FALSE) / VLOOKUP("transport|NOx|Minor restricted activity days", US_national_yearly!$D:$AM, 10, FALSE), 1)</f>
        <v>0.36555592464726899</v>
      </c>
      <c r="R14" s="7">
        <f>$B14 * IFERROR(VLOOKUP("transport|NOx|Minor restricted activity days", US_national_yearly!$D:$AM, 26, FALSE) / VLOOKUP("transport|NOx|Minor restricted activity days", US_national_yearly!$D:$AM, 10, FALSE), 1)</f>
        <v>0.36820535546478966</v>
      </c>
      <c r="S14" s="7">
        <f>$B14 * IFERROR(VLOOKUP("transport|NOx|Minor restricted activity days", US_national_yearly!$D:$AM, 27, FALSE) / VLOOKUP("transport|NOx|Minor restricted activity days", US_national_yearly!$D:$AM, 10, FALSE), 1)</f>
        <v>0.3708542292451516</v>
      </c>
      <c r="T14" s="7">
        <f>$B14 * IFERROR(VLOOKUP("transport|NOx|Minor restricted activity days", US_national_yearly!$D:$AM, 28, FALSE) / VLOOKUP("transport|NOx|Minor restricted activity days", US_national_yearly!$D:$AM, 10, FALSE), 1)</f>
        <v>0.37350310302551348</v>
      </c>
      <c r="U14" s="7">
        <f>$B14 * IFERROR(VLOOKUP("transport|NOx|Minor restricted activity days", US_national_yearly!$D:$AM, 29, FALSE) / VLOOKUP("transport|NOx|Minor restricted activity days", US_national_yearly!$D:$AM, 10, FALSE), 1)</f>
        <v>0.37615197680587542</v>
      </c>
      <c r="V14" s="7">
        <f>$B14 * IFERROR(VLOOKUP("transport|NOx|Minor restricted activity days", US_national_yearly!$D:$AM, 30, FALSE) / VLOOKUP("transport|NOx|Minor restricted activity days", US_national_yearly!$D:$AM, 10, FALSE), 1)</f>
        <v>0.37880085058623736</v>
      </c>
      <c r="W14" s="7">
        <f>$B14 * IFERROR(VLOOKUP("transport|NOx|Minor restricted activity days", US_national_yearly!$D:$AM, 31, FALSE) / VLOOKUP("transport|NOx|Minor restricted activity days", US_national_yearly!$D:$AM, 10, FALSE), 1)</f>
        <v>0.38144972436659924</v>
      </c>
      <c r="X14" s="7">
        <f>$B14 * IFERROR(VLOOKUP("transport|NOx|Minor restricted activity days", US_national_yearly!$D:$AM, 32, FALSE) / VLOOKUP("transport|NOx|Minor restricted activity days", US_national_yearly!$D:$AM, 10, FALSE), 1)</f>
        <v>0.38368924623685041</v>
      </c>
      <c r="Y14" s="7">
        <f>$B14 * IFERROR(VLOOKUP("transport|NOx|Minor restricted activity days", US_national_yearly!$D:$AM, 33, FALSE) / VLOOKUP("transport|NOx|Minor restricted activity days", US_national_yearly!$D:$AM, 10, FALSE), 1)</f>
        <v>0.38592876810710153</v>
      </c>
      <c r="Z14" s="7">
        <f>$B14 * IFERROR(VLOOKUP("transport|NOx|Minor restricted activity days", US_national_yearly!$D:$AM, 34, FALSE) / VLOOKUP("transport|NOx|Minor restricted activity days", US_national_yearly!$D:$AM, 10, FALSE), 1)</f>
        <v>0.38816828997735264</v>
      </c>
      <c r="AA14" s="7">
        <f>$B14 * IFERROR(VLOOKUP("transport|NOx|Minor restricted activity days", US_national_yearly!$D:$AM, 35, FALSE) / VLOOKUP("transport|NOx|Minor restricted activity days", US_national_yearly!$D:$AM, 10, FALSE), 1)</f>
        <v>0.39040781184760381</v>
      </c>
      <c r="AB14" s="7">
        <f>$B14 * IFERROR(VLOOKUP("transport|NOx|Minor restricted activity days", US_national_yearly!$D:$AM, 36, FALSE) / VLOOKUP("transport|NOx|Minor restricted activity days", US_national_yearly!$D:$AM, 10, FALSE), 1)</f>
        <v>0.39264733371785493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5.8175656469587271E-2</v>
      </c>
      <c r="C15" s="7">
        <f>$B15 * IFERROR(VLOOKUP("transport|NOx|Work loss days", US_national_yearly!$D:$AM, 11, FALSE) / VLOOKUP("transport|NOx|Work loss days", US_national_yearly!$D:$AM, 10, FALSE), 1)</f>
        <v>5.8305065087751247E-2</v>
      </c>
      <c r="D15" s="7">
        <f>$B15 * IFERROR(VLOOKUP("transport|NOx|Work loss days", US_national_yearly!$D:$AM, 12, FALSE) / VLOOKUP("transport|NOx|Work loss days", US_national_yearly!$D:$AM, 10, FALSE), 1)</f>
        <v>5.843447370591523E-2</v>
      </c>
      <c r="E15" s="7">
        <f>$B15 * IFERROR(VLOOKUP("transport|NOx|Work loss days", US_national_yearly!$D:$AM, 13, FALSE) / VLOOKUP("transport|NOx|Work loss days", US_national_yearly!$D:$AM, 10, FALSE), 1)</f>
        <v>5.8563882324079206E-2</v>
      </c>
      <c r="F15" s="7">
        <f>$B15 * IFERROR(VLOOKUP("transport|NOx|Work loss days", US_national_yearly!$D:$AM, 14, FALSE) / VLOOKUP("transport|NOx|Work loss days", US_national_yearly!$D:$AM, 10, FALSE), 1)</f>
        <v>5.8693290942243188E-2</v>
      </c>
      <c r="G15" s="7">
        <f>$B15 * IFERROR(VLOOKUP("transport|NOx|Work loss days", US_national_yearly!$D:$AM, 15, FALSE) / VLOOKUP("transport|NOx|Work loss days", US_national_yearly!$D:$AM, 10, FALSE), 1)</f>
        <v>5.8882228628675565E-2</v>
      </c>
      <c r="H15" s="7">
        <f>$B15 * IFERROR(VLOOKUP("transport|NOx|Work loss days", US_national_yearly!$D:$AM, 16, FALSE) / VLOOKUP("transport|NOx|Work loss days", US_national_yearly!$D:$AM, 10, FALSE), 1)</f>
        <v>5.9071166315107955E-2</v>
      </c>
      <c r="I15" s="7">
        <f>$B15 * IFERROR(VLOOKUP("transport|NOx|Work loss days", US_national_yearly!$D:$AM, 17, FALSE) / VLOOKUP("transport|NOx|Work loss days", US_national_yearly!$D:$AM, 10, FALSE), 1)</f>
        <v>5.9377235127420616E-2</v>
      </c>
      <c r="J15" s="7">
        <f>$B15 * IFERROR(VLOOKUP("transport|NOx|Work loss days", US_national_yearly!$D:$AM, 18, FALSE) / VLOOKUP("transport|NOx|Work loss days", US_national_yearly!$D:$AM, 10, FALSE), 1)</f>
        <v>5.9683303939733284E-2</v>
      </c>
      <c r="K15" s="7">
        <f>$B15 * IFERROR(VLOOKUP("transport|NOx|Work loss days", US_national_yearly!$D:$AM, 19, FALSE) / VLOOKUP("transport|NOx|Work loss days", US_national_yearly!$D:$AM, 10, FALSE), 1)</f>
        <v>5.9989372752045945E-2</v>
      </c>
      <c r="L15" s="7">
        <f>$B15 * IFERROR(VLOOKUP("transport|NOx|Work loss days", US_national_yearly!$D:$AM, 20, FALSE) / VLOOKUP("transport|NOx|Work loss days", US_national_yearly!$D:$AM, 10, FALSE), 1)</f>
        <v>6.02954415643586E-2</v>
      </c>
      <c r="M15" s="7">
        <f>$B15 * IFERROR(VLOOKUP("transport|NOx|Work loss days", US_national_yearly!$D:$AM, 21, FALSE) / VLOOKUP("transport|NOx|Work loss days", US_national_yearly!$D:$AM, 10, FALSE), 1)</f>
        <v>6.0601510376671275E-2</v>
      </c>
      <c r="N15" s="7">
        <f>$B15 * IFERROR(VLOOKUP("transport|NOx|Work loss days", US_national_yearly!$D:$AM, 22, FALSE) / VLOOKUP("transport|NOx|Work loss days", US_national_yearly!$D:$AM, 10, FALSE), 1)</f>
        <v>6.0999840154677305E-2</v>
      </c>
      <c r="O15" s="7">
        <f>$B15 * IFERROR(VLOOKUP("transport|NOx|Work loss days", US_national_yearly!$D:$AM, 23, FALSE) / VLOOKUP("transport|NOx|Work loss days", US_national_yearly!$D:$AM, 10, FALSE), 1)</f>
        <v>6.1398169932683336E-2</v>
      </c>
      <c r="P15" s="7">
        <f>$B15 * IFERROR(VLOOKUP("transport|NOx|Work loss days", US_national_yearly!$D:$AM, 24, FALSE) / VLOOKUP("transport|NOx|Work loss days", US_national_yearly!$D:$AM, 10, FALSE), 1)</f>
        <v>6.1796499710689366E-2</v>
      </c>
      <c r="Q15" s="7">
        <f>$B15 * IFERROR(VLOOKUP("transport|NOx|Work loss days", US_national_yearly!$D:$AM, 25, FALSE) / VLOOKUP("transport|NOx|Work loss days", US_national_yearly!$D:$AM, 10, FALSE), 1)</f>
        <v>6.2194829488695383E-2</v>
      </c>
      <c r="R15" s="7">
        <f>$B15 * IFERROR(VLOOKUP("transport|NOx|Work loss days", US_national_yearly!$D:$AM, 26, FALSE) / VLOOKUP("transport|NOx|Work loss days", US_national_yearly!$D:$AM, 10, FALSE), 1)</f>
        <v>6.2593159266701434E-2</v>
      </c>
      <c r="S15" s="7">
        <f>$B15 * IFERROR(VLOOKUP("transport|NOx|Work loss days", US_national_yearly!$D:$AM, 27, FALSE) / VLOOKUP("transport|NOx|Work loss days", US_national_yearly!$D:$AM, 10, FALSE), 1)</f>
        <v>6.3037246037934216E-2</v>
      </c>
      <c r="T15" s="7">
        <f>$B15 * IFERROR(VLOOKUP("transport|NOx|Work loss days", US_national_yearly!$D:$AM, 28, FALSE) / VLOOKUP("transport|NOx|Work loss days", US_national_yearly!$D:$AM, 10, FALSE), 1)</f>
        <v>6.3481332809166999E-2</v>
      </c>
      <c r="U15" s="7">
        <f>$B15 * IFERROR(VLOOKUP("transport|NOx|Work loss days", US_national_yearly!$D:$AM, 29, FALSE) / VLOOKUP("transport|NOx|Work loss days", US_national_yearly!$D:$AM, 10, FALSE), 1)</f>
        <v>6.3925419580399767E-2</v>
      </c>
      <c r="V15" s="7">
        <f>$B15 * IFERROR(VLOOKUP("transport|NOx|Work loss days", US_national_yearly!$D:$AM, 30, FALSE) / VLOOKUP("transport|NOx|Work loss days", US_national_yearly!$D:$AM, 10, FALSE), 1)</f>
        <v>6.4369506351632549E-2</v>
      </c>
      <c r="W15" s="7">
        <f>$B15 * IFERROR(VLOOKUP("transport|NOx|Work loss days", US_national_yearly!$D:$AM, 31, FALSE) / VLOOKUP("transport|NOx|Work loss days", US_national_yearly!$D:$AM, 10, FALSE), 1)</f>
        <v>6.4813593122865332E-2</v>
      </c>
      <c r="X15" s="7">
        <f>$B15 * IFERROR(VLOOKUP("transport|NOx|Work loss days", US_national_yearly!$D:$AM, 32, FALSE) / VLOOKUP("transport|NOx|Work loss days", US_national_yearly!$D:$AM, 10, FALSE), 1)</f>
        <v>6.5199036763036206E-2</v>
      </c>
      <c r="Y15" s="7">
        <f>$B15 * IFERROR(VLOOKUP("transport|NOx|Work loss days", US_national_yearly!$D:$AM, 33, FALSE) / VLOOKUP("transport|NOx|Work loss days", US_national_yearly!$D:$AM, 10, FALSE), 1)</f>
        <v>6.5584480403207093E-2</v>
      </c>
      <c r="Z15" s="7">
        <f>$B15 * IFERROR(VLOOKUP("transport|NOx|Work loss days", US_national_yearly!$D:$AM, 34, FALSE) / VLOOKUP("transport|NOx|Work loss days", US_national_yearly!$D:$AM, 10, FALSE), 1)</f>
        <v>6.5969924043377967E-2</v>
      </c>
      <c r="AA15" s="7">
        <f>$B15 * IFERROR(VLOOKUP("transport|NOx|Work loss days", US_national_yearly!$D:$AM, 35, FALSE) / VLOOKUP("transport|NOx|Work loss days", US_national_yearly!$D:$AM, 10, FALSE), 1)</f>
        <v>6.6355367683548841E-2</v>
      </c>
      <c r="AB15" s="7">
        <f>$B15 * IFERROR(VLOOKUP("transport|NOx|Work loss days", US_national_yearly!$D:$AM, 36, FALSE) / VLOOKUP("transport|NOx|Work loss days", US_national_yearly!$D:$AM, 10, FALSE), 1)</f>
        <v>6.6740811323719729E-2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7.1214750909769084E-5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7.33073701380356E-5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7.5399989366302101E-5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7.7492608594568603E-5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7.9585227822835119E-5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8.1572870023623604E-5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8.3560512224412103E-5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8.5231965977334307E-5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8.690341973025651E-5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8.8574873483178714E-5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9.0246327236100918E-5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9.1917780989023135E-5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9.2962996403987499E-5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9.400821181895189E-5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9.5053427233916254E-5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9.6098642648880631E-5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9.7143858063845009E-5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9.7620761155575516E-5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9.8097664247306037E-5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9.8574567339036544E-5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9.9051470430767052E-5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9.9528373522497573E-5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9.9793786627092116E-5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1.0005919973168665E-4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1.0032461283628119E-4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1.0059002594087573E-4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1.0085543904547026E-4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4.3898589976441955E-3</v>
      </c>
      <c r="C2" s="7">
        <f>$B2 * IFERROR(VLOOKUP("transport|SO2|Premature mortality", US_national_yearly!$D:$AM, 11, FALSE) / VLOOKUP("transport|SO2|Premature mortality", US_national_yearly!$D:$AM, 10, FALSE), 1)</f>
        <v>4.4454541866527988E-3</v>
      </c>
      <c r="D2" s="7">
        <f>$B2 * IFERROR(VLOOKUP("transport|SO2|Premature mortality", US_national_yearly!$D:$AM, 12, FALSE) / VLOOKUP("transport|SO2|Premature mortality", US_national_yearly!$D:$AM, 10, FALSE), 1)</f>
        <v>4.501049375661403E-3</v>
      </c>
      <c r="E2" s="7">
        <f>$B2 * IFERROR(VLOOKUP("transport|SO2|Premature mortality", US_national_yearly!$D:$AM, 13, FALSE) / VLOOKUP("transport|SO2|Premature mortality", US_national_yearly!$D:$AM, 10, FALSE), 1)</f>
        <v>4.5566445646700073E-3</v>
      </c>
      <c r="F2" s="7">
        <f>$B2 * IFERROR(VLOOKUP("transport|SO2|Premature mortality", US_national_yearly!$D:$AM, 14, FALSE) / VLOOKUP("transport|SO2|Premature mortality", US_national_yearly!$D:$AM, 10, FALSE), 1)</f>
        <v>4.6122397536786106E-3</v>
      </c>
      <c r="G2" s="7">
        <f>$B2 * IFERROR(VLOOKUP("transport|SO2|Premature mortality", US_national_yearly!$D:$AM, 15, FALSE) / VLOOKUP("transport|SO2|Premature mortality", US_national_yearly!$D:$AM, 10, FALSE), 1)</f>
        <v>4.71936853210469E-3</v>
      </c>
      <c r="H2" s="7">
        <f>$B2 * IFERROR(VLOOKUP("transport|SO2|Premature mortality", US_national_yearly!$D:$AM, 16, FALSE) / VLOOKUP("transport|SO2|Premature mortality", US_national_yearly!$D:$AM, 10, FALSE), 1)</f>
        <v>4.8264973105307685E-3</v>
      </c>
      <c r="I2" s="7">
        <f>$B2 * IFERROR(VLOOKUP("transport|SO2|Premature mortality", US_national_yearly!$D:$AM, 17, FALSE) / VLOOKUP("transport|SO2|Premature mortality", US_national_yearly!$D:$AM, 10, FALSE), 1)</f>
        <v>4.8972945715255716E-3</v>
      </c>
      <c r="J2" s="7">
        <f>$B2 * IFERROR(VLOOKUP("transport|SO2|Premature mortality", US_national_yearly!$D:$AM, 18, FALSE) / VLOOKUP("transport|SO2|Premature mortality", US_national_yearly!$D:$AM, 10, FALSE), 1)</f>
        <v>4.9680918325203756E-3</v>
      </c>
      <c r="K2" s="7">
        <f>$B2 * IFERROR(VLOOKUP("transport|SO2|Premature mortality", US_national_yearly!$D:$AM, 19, FALSE) / VLOOKUP("transport|SO2|Premature mortality", US_national_yearly!$D:$AM, 10, FALSE), 1)</f>
        <v>5.0388890935151778E-3</v>
      </c>
      <c r="L2" s="7">
        <f>$B2 * IFERROR(VLOOKUP("transport|SO2|Premature mortality", US_national_yearly!$D:$AM, 20, FALSE) / VLOOKUP("transport|SO2|Premature mortality", US_national_yearly!$D:$AM, 10, FALSE), 1)</f>
        <v>5.1096863545099817E-3</v>
      </c>
      <c r="M2" s="7">
        <f>$B2 * IFERROR(VLOOKUP("transport|SO2|Premature mortality", US_national_yearly!$D:$AM, 21, FALSE) / VLOOKUP("transport|SO2|Premature mortality", US_national_yearly!$D:$AM, 10, FALSE), 1)</f>
        <v>5.1804836155047856E-3</v>
      </c>
      <c r="N2" s="7">
        <f>$B2 * IFERROR(VLOOKUP("transport|SO2|Premature mortality", US_national_yearly!$D:$AM, 22, FALSE) / VLOOKUP("transport|SO2|Premature mortality", US_national_yearly!$D:$AM, 10, FALSE), 1)</f>
        <v>5.2358007550096439E-3</v>
      </c>
      <c r="O2" s="7">
        <f>$B2 * IFERROR(VLOOKUP("transport|SO2|Premature mortality", US_national_yearly!$D:$AM, 23, FALSE) / VLOOKUP("transport|SO2|Premature mortality", US_national_yearly!$D:$AM, 10, FALSE), 1)</f>
        <v>5.2911178945145021E-3</v>
      </c>
      <c r="P2" s="7">
        <f>$B2 * IFERROR(VLOOKUP("transport|SO2|Premature mortality", US_national_yearly!$D:$AM, 24, FALSE) / VLOOKUP("transport|SO2|Premature mortality", US_national_yearly!$D:$AM, 10, FALSE), 1)</f>
        <v>5.3464350340193612E-3</v>
      </c>
      <c r="Q2" s="7">
        <f>$B2 * IFERROR(VLOOKUP("transport|SO2|Premature mortality", US_national_yearly!$D:$AM, 25, FALSE) / VLOOKUP("transport|SO2|Premature mortality", US_national_yearly!$D:$AM, 10, FALSE), 1)</f>
        <v>5.4017521735242194E-3</v>
      </c>
      <c r="R2" s="7">
        <f>$B2 * IFERROR(VLOOKUP("transport|SO2|Premature mortality", US_national_yearly!$D:$AM, 26, FALSE) / VLOOKUP("transport|SO2|Premature mortality", US_national_yearly!$D:$AM, 10, FALSE), 1)</f>
        <v>5.4570693130290768E-3</v>
      </c>
      <c r="S2" s="7">
        <f>$B2 * IFERROR(VLOOKUP("transport|SO2|Premature mortality", US_national_yearly!$D:$AM, 27, FALSE) / VLOOKUP("transport|SO2|Premature mortality", US_national_yearly!$D:$AM, 10, FALSE), 1)</f>
        <v>5.4866923777926631E-3</v>
      </c>
      <c r="T2" s="7">
        <f>$B2 * IFERROR(VLOOKUP("transport|SO2|Premature mortality", US_national_yearly!$D:$AM, 28, FALSE) / VLOOKUP("transport|SO2|Premature mortality", US_national_yearly!$D:$AM, 10, FALSE), 1)</f>
        <v>5.5163154425562485E-3</v>
      </c>
      <c r="U2" s="7">
        <f>$B2 * IFERROR(VLOOKUP("transport|SO2|Premature mortality", US_national_yearly!$D:$AM, 29, FALSE) / VLOOKUP("transport|SO2|Premature mortality", US_national_yearly!$D:$AM, 10, FALSE), 1)</f>
        <v>5.545938507319834E-3</v>
      </c>
      <c r="V2" s="7">
        <f>$B2 * IFERROR(VLOOKUP("transport|SO2|Premature mortality", US_national_yearly!$D:$AM, 30, FALSE) / VLOOKUP("transport|SO2|Premature mortality", US_national_yearly!$D:$AM, 10, FALSE), 1)</f>
        <v>5.5755615720834194E-3</v>
      </c>
      <c r="W2" s="7">
        <f>$B2 * IFERROR(VLOOKUP("transport|SO2|Premature mortality", US_national_yearly!$D:$AM, 31, FALSE) / VLOOKUP("transport|SO2|Premature mortality", US_national_yearly!$D:$AM, 10, FALSE), 1)</f>
        <v>5.6051846368470049E-3</v>
      </c>
      <c r="X2" s="7">
        <f>$B2 * IFERROR(VLOOKUP("transport|SO2|Premature mortality", US_national_yearly!$D:$AM, 32, FALSE) / VLOOKUP("transport|SO2|Premature mortality", US_national_yearly!$D:$AM, 10, FALSE), 1)</f>
        <v>5.6112026530638686E-3</v>
      </c>
      <c r="Y2" s="7">
        <f>$B2 * IFERROR(VLOOKUP("transport|SO2|Premature mortality", US_national_yearly!$D:$AM, 33, FALSE) / VLOOKUP("transport|SO2|Premature mortality", US_national_yearly!$D:$AM, 10, FALSE), 1)</f>
        <v>5.6172206692807324E-3</v>
      </c>
      <c r="Z2" s="7">
        <f>$B2 * IFERROR(VLOOKUP("transport|SO2|Premature mortality", US_national_yearly!$D:$AM, 34, FALSE) / VLOOKUP("transport|SO2|Premature mortality", US_national_yearly!$D:$AM, 10, FALSE), 1)</f>
        <v>5.6232386854975962E-3</v>
      </c>
      <c r="AA2" s="7">
        <f>$B2 * IFERROR(VLOOKUP("transport|SO2|Premature mortality", US_national_yearly!$D:$AM, 35, FALSE) / VLOOKUP("transport|SO2|Premature mortality", US_national_yearly!$D:$AM, 10, FALSE), 1)</f>
        <v>5.6292567017144609E-3</v>
      </c>
      <c r="AB2" s="7">
        <f>$B2 * IFERROR(VLOOKUP("transport|SO2|Premature mortality", US_national_yearly!$D:$AM, 36, FALSE) / VLOOKUP("transport|SO2|Premature mortality", US_national_yearly!$D:$AM, 10, FALSE), 1)</f>
        <v>5.6352747179313238E-3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9.3557851226809386E-6</v>
      </c>
      <c r="C3" s="7">
        <f>$B3 * IFERROR(VLOOKUP("transport|SO2|Infant mortality", US_national_yearly!$D:$AM, 11, FALSE) / VLOOKUP("transport|SO2|Infant mortality", US_national_yearly!$D:$AM, 10, FALSE), 1)</f>
        <v>9.275417221929782E-6</v>
      </c>
      <c r="D3" s="7">
        <f>$B3 * IFERROR(VLOOKUP("transport|SO2|Infant mortality", US_national_yearly!$D:$AM, 12, FALSE) / VLOOKUP("transport|SO2|Infant mortality", US_national_yearly!$D:$AM, 10, FALSE), 1)</f>
        <v>9.1950493211786271E-6</v>
      </c>
      <c r="E3" s="7">
        <f>$B3 * IFERROR(VLOOKUP("transport|SO2|Infant mortality", US_national_yearly!$D:$AM, 13, FALSE) / VLOOKUP("transport|SO2|Infant mortality", US_national_yearly!$D:$AM, 10, FALSE), 1)</f>
        <v>9.1146814204274688E-6</v>
      </c>
      <c r="F3" s="7">
        <f>$B3 * IFERROR(VLOOKUP("transport|SO2|Infant mortality", US_national_yearly!$D:$AM, 14, FALSE) / VLOOKUP("transport|SO2|Infant mortality", US_national_yearly!$D:$AM, 10, FALSE), 1)</f>
        <v>9.034313519676314E-6</v>
      </c>
      <c r="G3" s="7">
        <f>$B3 * IFERROR(VLOOKUP("transport|SO2|Infant mortality", US_national_yearly!$D:$AM, 15, FALSE) / VLOOKUP("transport|SO2|Infant mortality", US_national_yearly!$D:$AM, 10, FALSE), 1)</f>
        <v>6.017580441995757E-6</v>
      </c>
      <c r="H3" s="7">
        <f>$B3 * IFERROR(VLOOKUP("transport|SO2|Infant mortality", US_national_yearly!$D:$AM, 16, FALSE) / VLOOKUP("transport|SO2|Infant mortality", US_national_yearly!$D:$AM, 10, FALSE), 1)</f>
        <v>3.0008473643152055E-6</v>
      </c>
      <c r="I3" s="7">
        <f>$B3 * IFERROR(VLOOKUP("transport|SO2|Infant mortality", US_national_yearly!$D:$AM, 17, FALSE) / VLOOKUP("transport|SO2|Infant mortality", US_national_yearly!$D:$AM, 10, FALSE), 1)</f>
        <v>2.9820221426207545E-6</v>
      </c>
      <c r="J3" s="7">
        <f>$B3 * IFERROR(VLOOKUP("transport|SO2|Infant mortality", US_national_yearly!$D:$AM, 18, FALSE) / VLOOKUP("transport|SO2|Infant mortality", US_national_yearly!$D:$AM, 10, FALSE), 1)</f>
        <v>2.9631969209263031E-6</v>
      </c>
      <c r="K3" s="7">
        <f>$B3 * IFERROR(VLOOKUP("transport|SO2|Infant mortality", US_national_yearly!$D:$AM, 19, FALSE) / VLOOKUP("transport|SO2|Infant mortality", US_national_yearly!$D:$AM, 10, FALSE), 1)</f>
        <v>2.944371699231852E-6</v>
      </c>
      <c r="L3" s="7">
        <f>$B3 * IFERROR(VLOOKUP("transport|SO2|Infant mortality", US_national_yearly!$D:$AM, 20, FALSE) / VLOOKUP("transport|SO2|Infant mortality", US_national_yearly!$D:$AM, 10, FALSE), 1)</f>
        <v>2.9255464775374014E-6</v>
      </c>
      <c r="M3" s="7">
        <f>$B3 * IFERROR(VLOOKUP("transport|SO2|Infant mortality", US_national_yearly!$D:$AM, 21, FALSE) / VLOOKUP("transport|SO2|Infant mortality", US_national_yearly!$D:$AM, 10, FALSE), 1)</f>
        <v>2.90672125584295E-6</v>
      </c>
      <c r="N3" s="7">
        <f>$B3 * IFERROR(VLOOKUP("transport|SO2|Infant mortality", US_national_yearly!$D:$AM, 22, FALSE) / VLOOKUP("transport|SO2|Infant mortality", US_national_yearly!$D:$AM, 10, FALSE), 1)</f>
        <v>2.8949048051234195E-6</v>
      </c>
      <c r="O3" s="7">
        <f>$B3 * IFERROR(VLOOKUP("transport|SO2|Infant mortality", US_national_yearly!$D:$AM, 23, FALSE) / VLOOKUP("transport|SO2|Infant mortality", US_national_yearly!$D:$AM, 10, FALSE), 1)</f>
        <v>2.8830883544038885E-6</v>
      </c>
      <c r="P3" s="7">
        <f>$B3 * IFERROR(VLOOKUP("transport|SO2|Infant mortality", US_national_yearly!$D:$AM, 24, FALSE) / VLOOKUP("transport|SO2|Infant mortality", US_national_yearly!$D:$AM, 10, FALSE), 1)</f>
        <v>2.8712719036843571E-6</v>
      </c>
      <c r="Q3" s="7">
        <f>$B3 * IFERROR(VLOOKUP("transport|SO2|Infant mortality", US_national_yearly!$D:$AM, 25, FALSE) / VLOOKUP("transport|SO2|Infant mortality", US_national_yearly!$D:$AM, 10, FALSE), 1)</f>
        <v>2.8594554529648265E-6</v>
      </c>
      <c r="R3" s="7">
        <f>$B3 * IFERROR(VLOOKUP("transport|SO2|Infant mortality", US_national_yearly!$D:$AM, 26, FALSE) / VLOOKUP("transport|SO2|Infant mortality", US_national_yearly!$D:$AM, 10, FALSE), 1)</f>
        <v>2.8476390022452951E-6</v>
      </c>
      <c r="S3" s="7">
        <f>$B3 * IFERROR(VLOOKUP("transport|SO2|Infant mortality", US_national_yearly!$D:$AM, 27, FALSE) / VLOOKUP("transport|SO2|Infant mortality", US_national_yearly!$D:$AM, 10, FALSE), 1)</f>
        <v>2.8328027284933365E-6</v>
      </c>
      <c r="T3" s="7">
        <f>$B3 * IFERROR(VLOOKUP("transport|SO2|Infant mortality", US_national_yearly!$D:$AM, 28, FALSE) / VLOOKUP("transport|SO2|Infant mortality", US_national_yearly!$D:$AM, 10, FALSE), 1)</f>
        <v>2.8179664547413783E-6</v>
      </c>
      <c r="U3" s="7">
        <f>$B3 * IFERROR(VLOOKUP("transport|SO2|Infant mortality", US_national_yearly!$D:$AM, 29, FALSE) / VLOOKUP("transport|SO2|Infant mortality", US_national_yearly!$D:$AM, 10, FALSE), 1)</f>
        <v>2.8031301809894189E-6</v>
      </c>
      <c r="V3" s="7">
        <f>$B3 * IFERROR(VLOOKUP("transport|SO2|Infant mortality", US_national_yearly!$D:$AM, 30, FALSE) / VLOOKUP("transport|SO2|Infant mortality", US_national_yearly!$D:$AM, 10, FALSE), 1)</f>
        <v>2.7882939072374611E-6</v>
      </c>
      <c r="W3" s="7">
        <f>$B3 * IFERROR(VLOOKUP("transport|SO2|Infant mortality", US_national_yearly!$D:$AM, 31, FALSE) / VLOOKUP("transport|SO2|Infant mortality", US_national_yearly!$D:$AM, 10, FALSE), 1)</f>
        <v>2.7734576334855025E-6</v>
      </c>
      <c r="X3" s="7">
        <f>$B3 * IFERROR(VLOOKUP("transport|SO2|Infant mortality", US_national_yearly!$D:$AM, 32, FALSE) / VLOOKUP("transport|SO2|Infant mortality", US_national_yearly!$D:$AM, 10, FALSE), 1)</f>
        <v>2.7572370067312552E-6</v>
      </c>
      <c r="Y3" s="7">
        <f>$B3 * IFERROR(VLOOKUP("transport|SO2|Infant mortality", US_national_yearly!$D:$AM, 33, FALSE) / VLOOKUP("transport|SO2|Infant mortality", US_national_yearly!$D:$AM, 10, FALSE), 1)</f>
        <v>2.7410163799770067E-6</v>
      </c>
      <c r="Z3" s="7">
        <f>$B3 * IFERROR(VLOOKUP("transport|SO2|Infant mortality", US_national_yearly!$D:$AM, 34, FALSE) / VLOOKUP("transport|SO2|Infant mortality", US_national_yearly!$D:$AM, 10, FALSE), 1)</f>
        <v>2.7247957532227598E-6</v>
      </c>
      <c r="AA3" s="7">
        <f>$B3 * IFERROR(VLOOKUP("transport|SO2|Infant mortality", US_national_yearly!$D:$AM, 35, FALSE) / VLOOKUP("transport|SO2|Infant mortality", US_national_yearly!$D:$AM, 10, FALSE), 1)</f>
        <v>2.7085751264685113E-6</v>
      </c>
      <c r="AB3" s="7">
        <f>$B3 * IFERROR(VLOOKUP("transport|SO2|Infant mortality", US_national_yearly!$D:$AM, 36, FALSE) / VLOOKUP("transport|SO2|Infant mortality", US_national_yearly!$D:$AM, 10, FALSE), 1)</f>
        <v>2.6923544997142644E-6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1.2674141272605684E-2</v>
      </c>
      <c r="C6" s="7">
        <f>$B6 * IFERROR(VLOOKUP("transport|SO2|Asthma symptoms cough", US_national_yearly!$D:$AM, 11, FALSE) / VLOOKUP("transport|SO2|Asthma symptoms cough", US_national_yearly!$D:$AM, 10, FALSE), 1)</f>
        <v>1.2674141272605684E-2</v>
      </c>
      <c r="D6" s="7">
        <f>$B6 * IFERROR(VLOOKUP("transport|SO2|Asthma symptoms cough", US_national_yearly!$D:$AM, 12, FALSE) / VLOOKUP("transport|SO2|Asthma symptoms cough", US_national_yearly!$D:$AM, 10, FALSE), 1)</f>
        <v>1.2674141272605684E-2</v>
      </c>
      <c r="E6" s="7">
        <f>$B6 * IFERROR(VLOOKUP("transport|SO2|Asthma symptoms cough", US_national_yearly!$D:$AM, 13, FALSE) / VLOOKUP("transport|SO2|Asthma symptoms cough", US_national_yearly!$D:$AM, 10, FALSE), 1)</f>
        <v>1.2674141272605684E-2</v>
      </c>
      <c r="F6" s="7">
        <f>$B6 * IFERROR(VLOOKUP("transport|SO2|Asthma symptoms cough", US_national_yearly!$D:$AM, 14, FALSE) / VLOOKUP("transport|SO2|Asthma symptoms cough", US_national_yearly!$D:$AM, 10, FALSE), 1)</f>
        <v>1.2674141272605684E-2</v>
      </c>
      <c r="G6" s="7">
        <f>$B6 * IFERROR(VLOOKUP("transport|SO2|Asthma symptoms cough", US_national_yearly!$D:$AM, 15, FALSE) / VLOOKUP("transport|SO2|Asthma symptoms cough", US_national_yearly!$D:$AM, 10, FALSE), 1)</f>
        <v>1.2674141272605684E-2</v>
      </c>
      <c r="H6" s="7">
        <f>$B6 * IFERROR(VLOOKUP("transport|SO2|Asthma symptoms cough", US_national_yearly!$D:$AM, 16, FALSE) / VLOOKUP("transport|SO2|Asthma symptoms cough", US_national_yearly!$D:$AM, 10, FALSE), 1)</f>
        <v>1.2674141272605684E-2</v>
      </c>
      <c r="I6" s="7">
        <f>$B6 * IFERROR(VLOOKUP("transport|SO2|Asthma symptoms cough", US_national_yearly!$D:$AM, 17, FALSE) / VLOOKUP("transport|SO2|Asthma symptoms cough", US_national_yearly!$D:$AM, 10, FALSE), 1)</f>
        <v>1.2674141272605684E-2</v>
      </c>
      <c r="J6" s="7">
        <f>$B6 * IFERROR(VLOOKUP("transport|SO2|Asthma symptoms cough", US_national_yearly!$D:$AM, 18, FALSE) / VLOOKUP("transport|SO2|Asthma symptoms cough", US_national_yearly!$D:$AM, 10, FALSE), 1)</f>
        <v>1.2674141272605684E-2</v>
      </c>
      <c r="K6" s="7">
        <f>$B6 * IFERROR(VLOOKUP("transport|SO2|Asthma symptoms cough", US_national_yearly!$D:$AM, 19, FALSE) / VLOOKUP("transport|SO2|Asthma symptoms cough", US_national_yearly!$D:$AM, 10, FALSE), 1)</f>
        <v>1.2674141272605684E-2</v>
      </c>
      <c r="L6" s="7">
        <f>$B6 * IFERROR(VLOOKUP("transport|SO2|Asthma symptoms cough", US_national_yearly!$D:$AM, 20, FALSE) / VLOOKUP("transport|SO2|Asthma symptoms cough", US_national_yearly!$D:$AM, 10, FALSE), 1)</f>
        <v>1.2674141272605684E-2</v>
      </c>
      <c r="M6" s="7">
        <f>$B6 * IFERROR(VLOOKUP("transport|SO2|Asthma symptoms cough", US_national_yearly!$D:$AM, 21, FALSE) / VLOOKUP("transport|SO2|Asthma symptoms cough", US_national_yearly!$D:$AM, 10, FALSE), 1)</f>
        <v>1.2674141272605684E-2</v>
      </c>
      <c r="N6" s="7">
        <f>$B6 * IFERROR(VLOOKUP("transport|SO2|Asthma symptoms cough", US_national_yearly!$D:$AM, 22, FALSE) / VLOOKUP("transport|SO2|Asthma symptoms cough", US_national_yearly!$D:$AM, 10, FALSE), 1)</f>
        <v>1.2674141272605684E-2</v>
      </c>
      <c r="O6" s="7">
        <f>$B6 * IFERROR(VLOOKUP("transport|SO2|Asthma symptoms cough", US_national_yearly!$D:$AM, 23, FALSE) / VLOOKUP("transport|SO2|Asthma symptoms cough", US_national_yearly!$D:$AM, 10, FALSE), 1)</f>
        <v>1.2674141272605684E-2</v>
      </c>
      <c r="P6" s="7">
        <f>$B6 * IFERROR(VLOOKUP("transport|SO2|Asthma symptoms cough", US_national_yearly!$D:$AM, 24, FALSE) / VLOOKUP("transport|SO2|Asthma symptoms cough", US_national_yearly!$D:$AM, 10, FALSE), 1)</f>
        <v>1.2674141272605684E-2</v>
      </c>
      <c r="Q6" s="7">
        <f>$B6 * IFERROR(VLOOKUP("transport|SO2|Asthma symptoms cough", US_national_yearly!$D:$AM, 25, FALSE) / VLOOKUP("transport|SO2|Asthma symptoms cough", US_national_yearly!$D:$AM, 10, FALSE), 1)</f>
        <v>1.2674141272605684E-2</v>
      </c>
      <c r="R6" s="7">
        <f>$B6 * IFERROR(VLOOKUP("transport|SO2|Asthma symptoms cough", US_national_yearly!$D:$AM, 26, FALSE) / VLOOKUP("transport|SO2|Asthma symptoms cough", US_national_yearly!$D:$AM, 10, FALSE), 1)</f>
        <v>1.2674141272605684E-2</v>
      </c>
      <c r="S6" s="7">
        <f>$B6 * IFERROR(VLOOKUP("transport|SO2|Asthma symptoms cough", US_national_yearly!$D:$AM, 27, FALSE) / VLOOKUP("transport|SO2|Asthma symptoms cough", US_national_yearly!$D:$AM, 10, FALSE), 1)</f>
        <v>1.2674141272605684E-2</v>
      </c>
      <c r="T6" s="7">
        <f>$B6 * IFERROR(VLOOKUP("transport|SO2|Asthma symptoms cough", US_national_yearly!$D:$AM, 28, FALSE) / VLOOKUP("transport|SO2|Asthma symptoms cough", US_national_yearly!$D:$AM, 10, FALSE), 1)</f>
        <v>1.2674141272605684E-2</v>
      </c>
      <c r="U6" s="7">
        <f>$B6 * IFERROR(VLOOKUP("transport|SO2|Asthma symptoms cough", US_national_yearly!$D:$AM, 29, FALSE) / VLOOKUP("transport|SO2|Asthma symptoms cough", US_national_yearly!$D:$AM, 10, FALSE), 1)</f>
        <v>1.2674141272605684E-2</v>
      </c>
      <c r="V6" s="7">
        <f>$B6 * IFERROR(VLOOKUP("transport|SO2|Asthma symptoms cough", US_national_yearly!$D:$AM, 30, FALSE) / VLOOKUP("transport|SO2|Asthma symptoms cough", US_national_yearly!$D:$AM, 10, FALSE), 1)</f>
        <v>1.2674141272605684E-2</v>
      </c>
      <c r="W6" s="7">
        <f>$B6 * IFERROR(VLOOKUP("transport|SO2|Asthma symptoms cough", US_national_yearly!$D:$AM, 31, FALSE) / VLOOKUP("transport|SO2|Asthma symptoms cough", US_national_yearly!$D:$AM, 10, FALSE), 1)</f>
        <v>1.2674141272605684E-2</v>
      </c>
      <c r="X6" s="7">
        <f>$B6 * IFERROR(VLOOKUP("transport|SO2|Asthma symptoms cough", US_national_yearly!$D:$AM, 32, FALSE) / VLOOKUP("transport|SO2|Asthma symptoms cough", US_national_yearly!$D:$AM, 10, FALSE), 1)</f>
        <v>1.2674141272605684E-2</v>
      </c>
      <c r="Y6" s="7">
        <f>$B6 * IFERROR(VLOOKUP("transport|SO2|Asthma symptoms cough", US_national_yearly!$D:$AM, 33, FALSE) / VLOOKUP("transport|SO2|Asthma symptoms cough", US_national_yearly!$D:$AM, 10, FALSE), 1)</f>
        <v>1.2674141272605684E-2</v>
      </c>
      <c r="Z6" s="7">
        <f>$B6 * IFERROR(VLOOKUP("transport|SO2|Asthma symptoms cough", US_national_yearly!$D:$AM, 34, FALSE) / VLOOKUP("transport|SO2|Asthma symptoms cough", US_national_yearly!$D:$AM, 10, FALSE), 1)</f>
        <v>1.2674141272605684E-2</v>
      </c>
      <c r="AA6" s="7">
        <f>$B6 * IFERROR(VLOOKUP("transport|SO2|Asthma symptoms cough", US_national_yearly!$D:$AM, 35, FALSE) / VLOOKUP("transport|SO2|Asthma symptoms cough", US_national_yearly!$D:$AM, 10, FALSE), 1)</f>
        <v>1.2674141272605684E-2</v>
      </c>
      <c r="AB6" s="7">
        <f>$B6 * IFERROR(VLOOKUP("transport|SO2|Asthma symptoms cough", US_national_yearly!$D:$AM, 36, FALSE) / VLOOKUP("transport|SO2|Asthma symptoms cough", US_national_yearly!$D:$AM, 10, FALSE), 1)</f>
        <v>1.2674141272605684E-2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1.7067561070896874E-2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1.7067561070896874E-2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1.7067561070896874E-2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1.7067561070896874E-2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1.7067561070896874E-2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1.7067561070896874E-2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1.7067561070896874E-2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1.7067561070896874E-2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1.7067561070896874E-2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1.7067561070896874E-2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1.7067561070896874E-2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1.7067561070896874E-2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1.7067561070896874E-2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1.7067561070896874E-2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1.7067561070896874E-2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1.7067561070896874E-2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1.7067561070896874E-2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1.7067561070896874E-2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1.7067561070896874E-2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1.7067561070896874E-2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1.7067561070896874E-2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1.7067561070896874E-2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1.7067561070896874E-2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1.7067561070896874E-2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1.7067561070896874E-2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1.7067561070896874E-2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1.7067561070896874E-2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2.6076373680344864E-2</v>
      </c>
      <c r="C8" s="7">
        <f>$B8 * IFERROR(VLOOKUP("transport|SO2|Asthma symptoms wheeze", US_national_yearly!$D:$AM, 11, FALSE) / VLOOKUP("transport|SO2|Asthma symptoms wheeze", US_national_yearly!$D:$AM, 10, FALSE), 1)</f>
        <v>2.6076373680344864E-2</v>
      </c>
      <c r="D8" s="7">
        <f>$B8 * IFERROR(VLOOKUP("transport|SO2|Asthma symptoms wheeze", US_national_yearly!$D:$AM, 12, FALSE) / VLOOKUP("transport|SO2|Asthma symptoms wheeze", US_national_yearly!$D:$AM, 10, FALSE), 1)</f>
        <v>2.6076373680344864E-2</v>
      </c>
      <c r="E8" s="7">
        <f>$B8 * IFERROR(VLOOKUP("transport|SO2|Asthma symptoms wheeze", US_national_yearly!$D:$AM, 13, FALSE) / VLOOKUP("transport|SO2|Asthma symptoms wheeze", US_national_yearly!$D:$AM, 10, FALSE), 1)</f>
        <v>2.6076373680344864E-2</v>
      </c>
      <c r="F8" s="7">
        <f>$B8 * IFERROR(VLOOKUP("transport|SO2|Asthma symptoms wheeze", US_national_yearly!$D:$AM, 14, FALSE) / VLOOKUP("transport|SO2|Asthma symptoms wheeze", US_national_yearly!$D:$AM, 10, FALSE), 1)</f>
        <v>2.6076373680344864E-2</v>
      </c>
      <c r="G8" s="7">
        <f>$B8 * IFERROR(VLOOKUP("transport|SO2|Asthma symptoms wheeze", US_national_yearly!$D:$AM, 15, FALSE) / VLOOKUP("transport|SO2|Asthma symptoms wheeze", US_national_yearly!$D:$AM, 10, FALSE), 1)</f>
        <v>2.6076373680344864E-2</v>
      </c>
      <c r="H8" s="7">
        <f>$B8 * IFERROR(VLOOKUP("transport|SO2|Asthma symptoms wheeze", US_national_yearly!$D:$AM, 16, FALSE) / VLOOKUP("transport|SO2|Asthma symptoms wheeze", US_national_yearly!$D:$AM, 10, FALSE), 1)</f>
        <v>2.6076373680344864E-2</v>
      </c>
      <c r="I8" s="7">
        <f>$B8 * IFERROR(VLOOKUP("transport|SO2|Asthma symptoms wheeze", US_national_yearly!$D:$AM, 17, FALSE) / VLOOKUP("transport|SO2|Asthma symptoms wheeze", US_national_yearly!$D:$AM, 10, FALSE), 1)</f>
        <v>2.6076373680344864E-2</v>
      </c>
      <c r="J8" s="7">
        <f>$B8 * IFERROR(VLOOKUP("transport|SO2|Asthma symptoms wheeze", US_national_yearly!$D:$AM, 18, FALSE) / VLOOKUP("transport|SO2|Asthma symptoms wheeze", US_national_yearly!$D:$AM, 10, FALSE), 1)</f>
        <v>2.6076373680344864E-2</v>
      </c>
      <c r="K8" s="7">
        <f>$B8 * IFERROR(VLOOKUP("transport|SO2|Asthma symptoms wheeze", US_national_yearly!$D:$AM, 19, FALSE) / VLOOKUP("transport|SO2|Asthma symptoms wheeze", US_national_yearly!$D:$AM, 10, FALSE), 1)</f>
        <v>2.6076373680344864E-2</v>
      </c>
      <c r="L8" s="7">
        <f>$B8 * IFERROR(VLOOKUP("transport|SO2|Asthma symptoms wheeze", US_national_yearly!$D:$AM, 20, FALSE) / VLOOKUP("transport|SO2|Asthma symptoms wheeze", US_national_yearly!$D:$AM, 10, FALSE), 1)</f>
        <v>2.6076373680344864E-2</v>
      </c>
      <c r="M8" s="7">
        <f>$B8 * IFERROR(VLOOKUP("transport|SO2|Asthma symptoms wheeze", US_national_yearly!$D:$AM, 21, FALSE) / VLOOKUP("transport|SO2|Asthma symptoms wheeze", US_national_yearly!$D:$AM, 10, FALSE), 1)</f>
        <v>2.6076373680344864E-2</v>
      </c>
      <c r="N8" s="7">
        <f>$B8 * IFERROR(VLOOKUP("transport|SO2|Asthma symptoms wheeze", US_national_yearly!$D:$AM, 22, FALSE) / VLOOKUP("transport|SO2|Asthma symptoms wheeze", US_national_yearly!$D:$AM, 10, FALSE), 1)</f>
        <v>2.6076373680344864E-2</v>
      </c>
      <c r="O8" s="7">
        <f>$B8 * IFERROR(VLOOKUP("transport|SO2|Asthma symptoms wheeze", US_national_yearly!$D:$AM, 23, FALSE) / VLOOKUP("transport|SO2|Asthma symptoms wheeze", US_national_yearly!$D:$AM, 10, FALSE), 1)</f>
        <v>2.6076373680344864E-2</v>
      </c>
      <c r="P8" s="7">
        <f>$B8 * IFERROR(VLOOKUP("transport|SO2|Asthma symptoms wheeze", US_national_yearly!$D:$AM, 24, FALSE) / VLOOKUP("transport|SO2|Asthma symptoms wheeze", US_national_yearly!$D:$AM, 10, FALSE), 1)</f>
        <v>2.6076373680344864E-2</v>
      </c>
      <c r="Q8" s="7">
        <f>$B8 * IFERROR(VLOOKUP("transport|SO2|Asthma symptoms wheeze", US_national_yearly!$D:$AM, 25, FALSE) / VLOOKUP("transport|SO2|Asthma symptoms wheeze", US_national_yearly!$D:$AM, 10, FALSE), 1)</f>
        <v>2.6076373680344864E-2</v>
      </c>
      <c r="R8" s="7">
        <f>$B8 * IFERROR(VLOOKUP("transport|SO2|Asthma symptoms wheeze", US_national_yearly!$D:$AM, 26, FALSE) / VLOOKUP("transport|SO2|Asthma symptoms wheeze", US_national_yearly!$D:$AM, 10, FALSE), 1)</f>
        <v>2.6076373680344864E-2</v>
      </c>
      <c r="S8" s="7">
        <f>$B8 * IFERROR(VLOOKUP("transport|SO2|Asthma symptoms wheeze", US_national_yearly!$D:$AM, 27, FALSE) / VLOOKUP("transport|SO2|Asthma symptoms wheeze", US_national_yearly!$D:$AM, 10, FALSE), 1)</f>
        <v>2.6076373680344864E-2</v>
      </c>
      <c r="T8" s="7">
        <f>$B8 * IFERROR(VLOOKUP("transport|SO2|Asthma symptoms wheeze", US_national_yearly!$D:$AM, 28, FALSE) / VLOOKUP("transport|SO2|Asthma symptoms wheeze", US_national_yearly!$D:$AM, 10, FALSE), 1)</f>
        <v>2.6076373680344864E-2</v>
      </c>
      <c r="U8" s="7">
        <f>$B8 * IFERROR(VLOOKUP("transport|SO2|Asthma symptoms wheeze", US_national_yearly!$D:$AM, 29, FALSE) / VLOOKUP("transport|SO2|Asthma symptoms wheeze", US_national_yearly!$D:$AM, 10, FALSE), 1)</f>
        <v>2.6076373680344864E-2</v>
      </c>
      <c r="V8" s="7">
        <f>$B8 * IFERROR(VLOOKUP("transport|SO2|Asthma symptoms wheeze", US_national_yearly!$D:$AM, 30, FALSE) / VLOOKUP("transport|SO2|Asthma symptoms wheeze", US_national_yearly!$D:$AM, 10, FALSE), 1)</f>
        <v>2.6076373680344864E-2</v>
      </c>
      <c r="W8" s="7">
        <f>$B8 * IFERROR(VLOOKUP("transport|SO2|Asthma symptoms wheeze", US_national_yearly!$D:$AM, 31, FALSE) / VLOOKUP("transport|SO2|Asthma symptoms wheeze", US_national_yearly!$D:$AM, 10, FALSE), 1)</f>
        <v>2.6076373680344864E-2</v>
      </c>
      <c r="X8" s="7">
        <f>$B8 * IFERROR(VLOOKUP("transport|SO2|Asthma symptoms wheeze", US_national_yearly!$D:$AM, 32, FALSE) / VLOOKUP("transport|SO2|Asthma symptoms wheeze", US_national_yearly!$D:$AM, 10, FALSE), 1)</f>
        <v>2.6076373680344864E-2</v>
      </c>
      <c r="Y8" s="7">
        <f>$B8 * IFERROR(VLOOKUP("transport|SO2|Asthma symptoms wheeze", US_national_yearly!$D:$AM, 33, FALSE) / VLOOKUP("transport|SO2|Asthma symptoms wheeze", US_national_yearly!$D:$AM, 10, FALSE), 1)</f>
        <v>2.6076373680344864E-2</v>
      </c>
      <c r="Z8" s="7">
        <f>$B8 * IFERROR(VLOOKUP("transport|SO2|Asthma symptoms wheeze", US_national_yearly!$D:$AM, 34, FALSE) / VLOOKUP("transport|SO2|Asthma symptoms wheeze", US_national_yearly!$D:$AM, 10, FALSE), 1)</f>
        <v>2.6076373680344864E-2</v>
      </c>
      <c r="AA8" s="7">
        <f>$B8 * IFERROR(VLOOKUP("transport|SO2|Asthma symptoms wheeze", US_national_yearly!$D:$AM, 35, FALSE) / VLOOKUP("transport|SO2|Asthma symptoms wheeze", US_national_yearly!$D:$AM, 10, FALSE), 1)</f>
        <v>2.6076373680344864E-2</v>
      </c>
      <c r="AB8" s="7">
        <f>$B8 * IFERROR(VLOOKUP("transport|SO2|Asthma symptoms wheeze", US_national_yearly!$D:$AM, 36, FALSE) / VLOOKUP("transport|SO2|Asthma symptoms wheeze", US_national_yearly!$D:$AM, 10, FALSE), 1)</f>
        <v>2.6076373680344864E-2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2.3156483445850823E-4</v>
      </c>
      <c r="C12" s="7">
        <f>$B12 * IFERROR(VLOOKUP("transport|SO2|Respiratory hospital admissions", US_national_yearly!$D:$AM, 11, FALSE) / VLOOKUP("transport|SO2|Respiratory hospital admissions", US_national_yearly!$D:$AM, 10, FALSE), 1)</f>
        <v>2.3293061535973567E-4</v>
      </c>
      <c r="D12" s="7">
        <f>$B12 * IFERROR(VLOOKUP("transport|SO2|Respiratory hospital admissions", US_national_yearly!$D:$AM, 12, FALSE) / VLOOKUP("transport|SO2|Respiratory hospital admissions", US_national_yearly!$D:$AM, 10, FALSE), 1)</f>
        <v>2.3429639626096314E-4</v>
      </c>
      <c r="E12" s="7">
        <f>$B12 * IFERROR(VLOOKUP("transport|SO2|Respiratory hospital admissions", US_national_yearly!$D:$AM, 13, FALSE) / VLOOKUP("transport|SO2|Respiratory hospital admissions", US_national_yearly!$D:$AM, 10, FALSE), 1)</f>
        <v>2.3566217716219058E-4</v>
      </c>
      <c r="F12" s="7">
        <f>$B12 * IFERROR(VLOOKUP("transport|SO2|Respiratory hospital admissions", US_national_yearly!$D:$AM, 14, FALSE) / VLOOKUP("transport|SO2|Respiratory hospital admissions", US_national_yearly!$D:$AM, 10, FALSE), 1)</f>
        <v>2.3702795806341805E-4</v>
      </c>
      <c r="G12" s="7">
        <f>$B12 * IFERROR(VLOOKUP("transport|SO2|Respiratory hospital admissions", US_national_yearly!$D:$AM, 15, FALSE) / VLOOKUP("transport|SO2|Respiratory hospital admissions", US_national_yearly!$D:$AM, 10, FALSE), 1)</f>
        <v>2.3851688961337917E-4</v>
      </c>
      <c r="H12" s="7">
        <f>$B12 * IFERROR(VLOOKUP("transport|SO2|Respiratory hospital admissions", US_national_yearly!$D:$AM, 16, FALSE) / VLOOKUP("transport|SO2|Respiratory hospital admissions", US_national_yearly!$D:$AM, 10, FALSE), 1)</f>
        <v>2.4000582116334026E-4</v>
      </c>
      <c r="I12" s="7">
        <f>$B12 * IFERROR(VLOOKUP("transport|SO2|Respiratory hospital admissions", US_national_yearly!$D:$AM, 17, FALSE) / VLOOKUP("transport|SO2|Respiratory hospital admissions", US_national_yearly!$D:$AM, 10, FALSE), 1)</f>
        <v>2.414740849499423E-4</v>
      </c>
      <c r="J12" s="7">
        <f>$B12 * IFERROR(VLOOKUP("transport|SO2|Respiratory hospital admissions", US_national_yearly!$D:$AM, 18, FALSE) / VLOOKUP("transport|SO2|Respiratory hospital admissions", US_national_yearly!$D:$AM, 10, FALSE), 1)</f>
        <v>2.4294234873654437E-4</v>
      </c>
      <c r="K12" s="7">
        <f>$B12 * IFERROR(VLOOKUP("transport|SO2|Respiratory hospital admissions", US_national_yearly!$D:$AM, 19, FALSE) / VLOOKUP("transport|SO2|Respiratory hospital admissions", US_national_yearly!$D:$AM, 10, FALSE), 1)</f>
        <v>2.4441061252314633E-4</v>
      </c>
      <c r="L12" s="7">
        <f>$B12 * IFERROR(VLOOKUP("transport|SO2|Respiratory hospital admissions", US_national_yearly!$D:$AM, 20, FALSE) / VLOOKUP("transport|SO2|Respiratory hospital admissions", US_national_yearly!$D:$AM, 10, FALSE), 1)</f>
        <v>2.4587887630974839E-4</v>
      </c>
      <c r="M12" s="7">
        <f>$B12 * IFERROR(VLOOKUP("transport|SO2|Respiratory hospital admissions", US_national_yearly!$D:$AM, 21, FALSE) / VLOOKUP("transport|SO2|Respiratory hospital admissions", US_national_yearly!$D:$AM, 10, FALSE), 1)</f>
        <v>2.4734714009635035E-4</v>
      </c>
      <c r="N12" s="7">
        <f>$B12 * IFERROR(VLOOKUP("transport|SO2|Respiratory hospital admissions", US_national_yearly!$D:$AM, 22, FALSE) / VLOOKUP("transport|SO2|Respiratory hospital admissions", US_national_yearly!$D:$AM, 10, FALSE), 1)</f>
        <v>2.4841892733732572E-4</v>
      </c>
      <c r="O12" s="7">
        <f>$B12 * IFERROR(VLOOKUP("transport|SO2|Respiratory hospital admissions", US_national_yearly!$D:$AM, 23, FALSE) / VLOOKUP("transport|SO2|Respiratory hospital admissions", US_national_yearly!$D:$AM, 10, FALSE), 1)</f>
        <v>2.494907145783011E-4</v>
      </c>
      <c r="P12" s="7">
        <f>$B12 * IFERROR(VLOOKUP("transport|SO2|Respiratory hospital admissions", US_national_yearly!$D:$AM, 24, FALSE) / VLOOKUP("transport|SO2|Respiratory hospital admissions", US_national_yearly!$D:$AM, 10, FALSE), 1)</f>
        <v>2.5056250181927642E-4</v>
      </c>
      <c r="Q12" s="7">
        <f>$B12 * IFERROR(VLOOKUP("transport|SO2|Respiratory hospital admissions", US_national_yearly!$D:$AM, 25, FALSE) / VLOOKUP("transport|SO2|Respiratory hospital admissions", US_national_yearly!$D:$AM, 10, FALSE), 1)</f>
        <v>2.5163428906025179E-4</v>
      </c>
      <c r="R12" s="7">
        <f>$B12 * IFERROR(VLOOKUP("transport|SO2|Respiratory hospital admissions", US_national_yearly!$D:$AM, 26, FALSE) / VLOOKUP("transport|SO2|Respiratory hospital admissions", US_national_yearly!$D:$AM, 10, FALSE), 1)</f>
        <v>2.5270607630122717E-4</v>
      </c>
      <c r="S12" s="7">
        <f>$B12 * IFERROR(VLOOKUP("transport|SO2|Respiratory hospital admissions", US_national_yearly!$D:$AM, 27, FALSE) / VLOOKUP("transport|SO2|Respiratory hospital admissions", US_national_yearly!$D:$AM, 10, FALSE), 1)</f>
        <v>2.5372847954944355E-4</v>
      </c>
      <c r="T12" s="7">
        <f>$B12 * IFERROR(VLOOKUP("transport|SO2|Respiratory hospital admissions", US_national_yearly!$D:$AM, 28, FALSE) / VLOOKUP("transport|SO2|Respiratory hospital admissions", US_national_yearly!$D:$AM, 10, FALSE), 1)</f>
        <v>2.5475088279765983E-4</v>
      </c>
      <c r="U12" s="7">
        <f>$B12 * IFERROR(VLOOKUP("transport|SO2|Respiratory hospital admissions", US_national_yearly!$D:$AM, 29, FALSE) / VLOOKUP("transport|SO2|Respiratory hospital admissions", US_national_yearly!$D:$AM, 10, FALSE), 1)</f>
        <v>2.5577328604587621E-4</v>
      </c>
      <c r="V12" s="7">
        <f>$B12 * IFERROR(VLOOKUP("transport|SO2|Respiratory hospital admissions", US_national_yearly!$D:$AM, 30, FALSE) / VLOOKUP("transport|SO2|Respiratory hospital admissions", US_national_yearly!$D:$AM, 10, FALSE), 1)</f>
        <v>2.567956892940926E-4</v>
      </c>
      <c r="W12" s="7">
        <f>$B12 * IFERROR(VLOOKUP("transport|SO2|Respiratory hospital admissions", US_national_yearly!$D:$AM, 31, FALSE) / VLOOKUP("transport|SO2|Respiratory hospital admissions", US_national_yearly!$D:$AM, 10, FALSE), 1)</f>
        <v>2.5781809254230893E-4</v>
      </c>
      <c r="X12" s="7">
        <f>$B12 * IFERROR(VLOOKUP("transport|SO2|Respiratory hospital admissions", US_national_yearly!$D:$AM, 32, FALSE) / VLOOKUP("transport|SO2|Respiratory hospital admissions", US_national_yearly!$D:$AM, 10, FALSE), 1)</f>
        <v>2.5878818536620115E-4</v>
      </c>
      <c r="Y12" s="7">
        <f>$B12 * IFERROR(VLOOKUP("transport|SO2|Respiratory hospital admissions", US_national_yearly!$D:$AM, 33, FALSE) / VLOOKUP("transport|SO2|Respiratory hospital admissions", US_national_yearly!$D:$AM, 10, FALSE), 1)</f>
        <v>2.5975827819009337E-4</v>
      </c>
      <c r="Z12" s="7">
        <f>$B12 * IFERROR(VLOOKUP("transport|SO2|Respiratory hospital admissions", US_national_yearly!$D:$AM, 34, FALSE) / VLOOKUP("transport|SO2|Respiratory hospital admissions", US_national_yearly!$D:$AM, 10, FALSE), 1)</f>
        <v>2.6072837101398559E-4</v>
      </c>
      <c r="AA12" s="7">
        <f>$B12 * IFERROR(VLOOKUP("transport|SO2|Respiratory hospital admissions", US_national_yearly!$D:$AM, 35, FALSE) / VLOOKUP("transport|SO2|Respiratory hospital admissions", US_national_yearly!$D:$AM, 10, FALSE), 1)</f>
        <v>2.6169846383787776E-4</v>
      </c>
      <c r="AB12" s="7">
        <f>$B12 * IFERROR(VLOOKUP("transport|SO2|Respiratory hospital admissions", US_national_yearly!$D:$AM, 36, FALSE) / VLOOKUP("transport|SO2|Respiratory hospital admissions", US_national_yearly!$D:$AM, 10, FALSE), 1)</f>
        <v>2.6266855666177004E-4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1.737893462745714E-3</v>
      </c>
      <c r="C13" s="7">
        <f>$B13 * IFERROR(VLOOKUP("transport|SO2|Non-fatal heart attacks", US_national_yearly!$D:$AM, 11, FALSE) / VLOOKUP("transport|SO2|Non-fatal heart attacks", US_national_yearly!$D:$AM, 10, FALSE), 1)</f>
        <v>1.7889117024367592E-3</v>
      </c>
      <c r="D13" s="7">
        <f>$B13 * IFERROR(VLOOKUP("transport|SO2|Non-fatal heart attacks", US_national_yearly!$D:$AM, 12, FALSE) / VLOOKUP("transport|SO2|Non-fatal heart attacks", US_national_yearly!$D:$AM, 10, FALSE), 1)</f>
        <v>1.8399299421278043E-3</v>
      </c>
      <c r="E13" s="7">
        <f>$B13 * IFERROR(VLOOKUP("transport|SO2|Non-fatal heart attacks", US_national_yearly!$D:$AM, 13, FALSE) / VLOOKUP("transport|SO2|Non-fatal heart attacks", US_national_yearly!$D:$AM, 10, FALSE), 1)</f>
        <v>1.8909481818188492E-3</v>
      </c>
      <c r="F13" s="7">
        <f>$B13 * IFERROR(VLOOKUP("transport|SO2|Non-fatal heart attacks", US_national_yearly!$D:$AM, 14, FALSE) / VLOOKUP("transport|SO2|Non-fatal heart attacks", US_national_yearly!$D:$AM, 10, FALSE), 1)</f>
        <v>1.9419664215098939E-3</v>
      </c>
      <c r="G13" s="7">
        <f>$B13 * IFERROR(VLOOKUP("transport|SO2|Non-fatal heart attacks", US_national_yearly!$D:$AM, 15, FALSE) / VLOOKUP("transport|SO2|Non-fatal heart attacks", US_national_yearly!$D:$AM, 10, FALSE), 1)</f>
        <v>1.9900813537693722E-3</v>
      </c>
      <c r="H13" s="7">
        <f>$B13 * IFERROR(VLOOKUP("transport|SO2|Non-fatal heart attacks", US_national_yearly!$D:$AM, 16, FALSE) / VLOOKUP("transport|SO2|Non-fatal heart attacks", US_national_yearly!$D:$AM, 10, FALSE), 1)</f>
        <v>2.0381962860288503E-3</v>
      </c>
      <c r="I13" s="7">
        <f>$B13 * IFERROR(VLOOKUP("transport|SO2|Non-fatal heart attacks", US_national_yearly!$D:$AM, 17, FALSE) / VLOOKUP("transport|SO2|Non-fatal heart attacks", US_national_yearly!$D:$AM, 10, FALSE), 1)</f>
        <v>2.0769137231640565E-3</v>
      </c>
      <c r="J13" s="7">
        <f>$B13 * IFERROR(VLOOKUP("transport|SO2|Non-fatal heart attacks", US_national_yearly!$D:$AM, 18, FALSE) / VLOOKUP("transport|SO2|Non-fatal heart attacks", US_national_yearly!$D:$AM, 10, FALSE), 1)</f>
        <v>2.1156311602992632E-3</v>
      </c>
      <c r="K13" s="7">
        <f>$B13 * IFERROR(VLOOKUP("transport|SO2|Non-fatal heart attacks", US_national_yearly!$D:$AM, 19, FALSE) / VLOOKUP("transport|SO2|Non-fatal heart attacks", US_national_yearly!$D:$AM, 10, FALSE), 1)</f>
        <v>2.154348597434469E-3</v>
      </c>
      <c r="L13" s="7">
        <f>$B13 * IFERROR(VLOOKUP("transport|SO2|Non-fatal heart attacks", US_national_yearly!$D:$AM, 20, FALSE) / VLOOKUP("transport|SO2|Non-fatal heart attacks", US_national_yearly!$D:$AM, 10, FALSE), 1)</f>
        <v>2.1930660345696761E-3</v>
      </c>
      <c r="M13" s="7">
        <f>$B13 * IFERROR(VLOOKUP("transport|SO2|Non-fatal heart attacks", US_national_yearly!$D:$AM, 21, FALSE) / VLOOKUP("transport|SO2|Non-fatal heart attacks", US_national_yearly!$D:$AM, 10, FALSE), 1)</f>
        <v>2.2317834717048828E-3</v>
      </c>
      <c r="N13" s="7">
        <f>$B13 * IFERROR(VLOOKUP("transport|SO2|Non-fatal heart attacks", US_national_yearly!$D:$AM, 22, FALSE) / VLOOKUP("transport|SO2|Non-fatal heart attacks", US_national_yearly!$D:$AM, 10, FALSE), 1)</f>
        <v>2.2569231714054737E-3</v>
      </c>
      <c r="O13" s="7">
        <f>$B13 * IFERROR(VLOOKUP("transport|SO2|Non-fatal heart attacks", US_national_yearly!$D:$AM, 23, FALSE) / VLOOKUP("transport|SO2|Non-fatal heart attacks", US_national_yearly!$D:$AM, 10, FALSE), 1)</f>
        <v>2.2820628711060654E-3</v>
      </c>
      <c r="P13" s="7">
        <f>$B13 * IFERROR(VLOOKUP("transport|SO2|Non-fatal heart attacks", US_national_yearly!$D:$AM, 24, FALSE) / VLOOKUP("transport|SO2|Non-fatal heart attacks", US_national_yearly!$D:$AM, 10, FALSE), 1)</f>
        <v>2.3072025708066571E-3</v>
      </c>
      <c r="Q13" s="7">
        <f>$B13 * IFERROR(VLOOKUP("transport|SO2|Non-fatal heart attacks", US_national_yearly!$D:$AM, 25, FALSE) / VLOOKUP("transport|SO2|Non-fatal heart attacks", US_national_yearly!$D:$AM, 10, FALSE), 1)</f>
        <v>2.3323422705072484E-3</v>
      </c>
      <c r="R13" s="7">
        <f>$B13 * IFERROR(VLOOKUP("transport|SO2|Non-fatal heart attacks", US_national_yearly!$D:$AM, 26, FALSE) / VLOOKUP("transport|SO2|Non-fatal heart attacks", US_national_yearly!$D:$AM, 10, FALSE), 1)</f>
        <v>2.3574819702078401E-3</v>
      </c>
      <c r="S13" s="7">
        <f>$B13 * IFERROR(VLOOKUP("transport|SO2|Non-fatal heart attacks", US_national_yearly!$D:$AM, 27, FALSE) / VLOOKUP("transport|SO2|Non-fatal heart attacks", US_national_yearly!$D:$AM, 10, FALSE), 1)</f>
        <v>2.3706072660160111E-3</v>
      </c>
      <c r="T13" s="7">
        <f>$B13 * IFERROR(VLOOKUP("transport|SO2|Non-fatal heart attacks", US_national_yearly!$D:$AM, 28, FALSE) / VLOOKUP("transport|SO2|Non-fatal heart attacks", US_national_yearly!$D:$AM, 10, FALSE), 1)</f>
        <v>2.3837325618241826E-3</v>
      </c>
      <c r="U13" s="7">
        <f>$B13 * IFERROR(VLOOKUP("transport|SO2|Non-fatal heart attacks", US_national_yearly!$D:$AM, 29, FALSE) / VLOOKUP("transport|SO2|Non-fatal heart attacks", US_national_yearly!$D:$AM, 10, FALSE), 1)</f>
        <v>2.3968578576323537E-3</v>
      </c>
      <c r="V13" s="7">
        <f>$B13 * IFERROR(VLOOKUP("transport|SO2|Non-fatal heart attacks", US_national_yearly!$D:$AM, 30, FALSE) / VLOOKUP("transport|SO2|Non-fatal heart attacks", US_national_yearly!$D:$AM, 10, FALSE), 1)</f>
        <v>2.4099831534405247E-3</v>
      </c>
      <c r="W13" s="7">
        <f>$B13 * IFERROR(VLOOKUP("transport|SO2|Non-fatal heart attacks", US_national_yearly!$D:$AM, 31, FALSE) / VLOOKUP("transport|SO2|Non-fatal heart attacks", US_national_yearly!$D:$AM, 10, FALSE), 1)</f>
        <v>2.4231084492486966E-3</v>
      </c>
      <c r="X13" s="7">
        <f>$B13 * IFERROR(VLOOKUP("transport|SO2|Non-fatal heart attacks", US_national_yearly!$D:$AM, 32, FALSE) / VLOOKUP("transport|SO2|Non-fatal heart attacks", US_national_yearly!$D:$AM, 10, FALSE), 1)</f>
        <v>2.4330168994636937E-3</v>
      </c>
      <c r="Y13" s="7">
        <f>$B13 * IFERROR(VLOOKUP("transport|SO2|Non-fatal heart attacks", US_national_yearly!$D:$AM, 33, FALSE) / VLOOKUP("transport|SO2|Non-fatal heart attacks", US_national_yearly!$D:$AM, 10, FALSE), 1)</f>
        <v>2.4429253496786908E-3</v>
      </c>
      <c r="Z13" s="7">
        <f>$B13 * IFERROR(VLOOKUP("transport|SO2|Non-fatal heart attacks", US_national_yearly!$D:$AM, 34, FALSE) / VLOOKUP("transport|SO2|Non-fatal heart attacks", US_national_yearly!$D:$AM, 10, FALSE), 1)</f>
        <v>2.4528337998936875E-3</v>
      </c>
      <c r="AA13" s="7">
        <f>$B13 * IFERROR(VLOOKUP("transport|SO2|Non-fatal heart attacks", US_national_yearly!$D:$AM, 35, FALSE) / VLOOKUP("transport|SO2|Non-fatal heart attacks", US_national_yearly!$D:$AM, 10, FALSE), 1)</f>
        <v>2.4627422501086846E-3</v>
      </c>
      <c r="AB13" s="7">
        <f>$B13 * IFERROR(VLOOKUP("transport|SO2|Non-fatal heart attacks", US_national_yearly!$D:$AM, 36, FALSE) / VLOOKUP("transport|SO2|Non-fatal heart attacks", US_national_yearly!$D:$AM, 10, FALSE), 1)</f>
        <v>2.4726507003236817E-3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1.6836483894713814</v>
      </c>
      <c r="C14" s="7">
        <f>$B14 * IFERROR(VLOOKUP("transport|SO2|Minor restricted activity days", US_national_yearly!$D:$AM, 11, FALSE) / VLOOKUP("transport|SO2|Minor restricted activity days", US_national_yearly!$D:$AM, 10, FALSE), 1)</f>
        <v>1.6878923060825217</v>
      </c>
      <c r="D14" s="7">
        <f>$B14 * IFERROR(VLOOKUP("transport|SO2|Minor restricted activity days", US_national_yearly!$D:$AM, 12, FALSE) / VLOOKUP("transport|SO2|Minor restricted activity days", US_national_yearly!$D:$AM, 10, FALSE), 1)</f>
        <v>1.6921362226936618</v>
      </c>
      <c r="E14" s="7">
        <f>$B14 * IFERROR(VLOOKUP("transport|SO2|Minor restricted activity days", US_national_yearly!$D:$AM, 13, FALSE) / VLOOKUP("transport|SO2|Minor restricted activity days", US_national_yearly!$D:$AM, 10, FALSE), 1)</f>
        <v>1.6963801393048021</v>
      </c>
      <c r="F14" s="7">
        <f>$B14 * IFERROR(VLOOKUP("transport|SO2|Minor restricted activity days", US_national_yearly!$D:$AM, 14, FALSE) / VLOOKUP("transport|SO2|Minor restricted activity days", US_national_yearly!$D:$AM, 10, FALSE), 1)</f>
        <v>1.700624055915942</v>
      </c>
      <c r="G14" s="7">
        <f>$B14 * IFERROR(VLOOKUP("transport|SO2|Minor restricted activity days", US_national_yearly!$D:$AM, 15, FALSE) / VLOOKUP("transport|SO2|Minor restricted activity days", US_national_yearly!$D:$AM, 10, FALSE), 1)</f>
        <v>1.7068706842428445</v>
      </c>
      <c r="H14" s="7">
        <f>$B14 * IFERROR(VLOOKUP("transport|SO2|Minor restricted activity days", US_national_yearly!$D:$AM, 16, FALSE) / VLOOKUP("transport|SO2|Minor restricted activity days", US_national_yearly!$D:$AM, 10, FALSE), 1)</f>
        <v>1.713117312569747</v>
      </c>
      <c r="I14" s="7">
        <f>$B14 * IFERROR(VLOOKUP("transport|SO2|Minor restricted activity days", US_national_yearly!$D:$AM, 17, FALSE) / VLOOKUP("transport|SO2|Minor restricted activity days", US_national_yearly!$D:$AM, 10, FALSE), 1)</f>
        <v>1.7237703549273</v>
      </c>
      <c r="J14" s="7">
        <f>$B14 * IFERROR(VLOOKUP("transport|SO2|Minor restricted activity days", US_national_yearly!$D:$AM, 18, FALSE) / VLOOKUP("transport|SO2|Minor restricted activity days", US_national_yearly!$D:$AM, 10, FALSE), 1)</f>
        <v>1.7344233972848533</v>
      </c>
      <c r="K14" s="7">
        <f>$B14 * IFERROR(VLOOKUP("transport|SO2|Minor restricted activity days", US_national_yearly!$D:$AM, 19, FALSE) / VLOOKUP("transport|SO2|Minor restricted activity days", US_national_yearly!$D:$AM, 10, FALSE), 1)</f>
        <v>1.7450764396424068</v>
      </c>
      <c r="L14" s="7">
        <f>$B14 * IFERROR(VLOOKUP("transport|SO2|Minor restricted activity days", US_national_yearly!$D:$AM, 20, FALSE) / VLOOKUP("transport|SO2|Minor restricted activity days", US_national_yearly!$D:$AM, 10, FALSE), 1)</f>
        <v>1.7557294819999598</v>
      </c>
      <c r="M14" s="7">
        <f>$B14 * IFERROR(VLOOKUP("transport|SO2|Minor restricted activity days", US_national_yearly!$D:$AM, 21, FALSE) / VLOOKUP("transport|SO2|Minor restricted activity days", US_national_yearly!$D:$AM, 10, FALSE), 1)</f>
        <v>1.7663825243575131</v>
      </c>
      <c r="N14" s="7">
        <f>$B14 * IFERROR(VLOOKUP("transport|SO2|Minor restricted activity days", US_national_yearly!$D:$AM, 22, FALSE) / VLOOKUP("transport|SO2|Minor restricted activity days", US_national_yearly!$D:$AM, 10, FALSE), 1)</f>
        <v>1.7809541769263522</v>
      </c>
      <c r="O14" s="7">
        <f>$B14 * IFERROR(VLOOKUP("transport|SO2|Minor restricted activity days", US_national_yearly!$D:$AM, 23, FALSE) / VLOOKUP("transport|SO2|Minor restricted activity days", US_national_yearly!$D:$AM, 10, FALSE), 1)</f>
        <v>1.7955258294951915</v>
      </c>
      <c r="P14" s="7">
        <f>$B14 * IFERROR(VLOOKUP("transport|SO2|Minor restricted activity days", US_national_yearly!$D:$AM, 24, FALSE) / VLOOKUP("transport|SO2|Minor restricted activity days", US_national_yearly!$D:$AM, 10, FALSE), 1)</f>
        <v>1.8100974820640308</v>
      </c>
      <c r="Q14" s="7">
        <f>$B14 * IFERROR(VLOOKUP("transport|SO2|Minor restricted activity days", US_national_yearly!$D:$AM, 25, FALSE) / VLOOKUP("transport|SO2|Minor restricted activity days", US_national_yearly!$D:$AM, 10, FALSE), 1)</f>
        <v>1.8246691346328698</v>
      </c>
      <c r="R14" s="7">
        <f>$B14 * IFERROR(VLOOKUP("transport|SO2|Minor restricted activity days", US_national_yearly!$D:$AM, 26, FALSE) / VLOOKUP("transport|SO2|Minor restricted activity days", US_national_yearly!$D:$AM, 10, FALSE), 1)</f>
        <v>1.8392407872017091</v>
      </c>
      <c r="S14" s="7">
        <f>$B14 * IFERROR(VLOOKUP("transport|SO2|Minor restricted activity days", US_national_yearly!$D:$AM, 27, FALSE) / VLOOKUP("transport|SO2|Minor restricted activity days", US_national_yearly!$D:$AM, 10, FALSE), 1)</f>
        <v>1.8540980131804696</v>
      </c>
      <c r="T14" s="7">
        <f>$B14 * IFERROR(VLOOKUP("transport|SO2|Minor restricted activity days", US_national_yearly!$D:$AM, 28, FALSE) / VLOOKUP("transport|SO2|Minor restricted activity days", US_national_yearly!$D:$AM, 10, FALSE), 1)</f>
        <v>1.8689552391592301</v>
      </c>
      <c r="U14" s="7">
        <f>$B14 * IFERROR(VLOOKUP("transport|SO2|Minor restricted activity days", US_national_yearly!$D:$AM, 29, FALSE) / VLOOKUP("transport|SO2|Minor restricted activity days", US_national_yearly!$D:$AM, 10, FALSE), 1)</f>
        <v>1.8838124651379906</v>
      </c>
      <c r="V14" s="7">
        <f>$B14 * IFERROR(VLOOKUP("transport|SO2|Minor restricted activity days", US_national_yearly!$D:$AM, 30, FALSE) / VLOOKUP("transport|SO2|Minor restricted activity days", US_national_yearly!$D:$AM, 10, FALSE), 1)</f>
        <v>1.8986696911167509</v>
      </c>
      <c r="W14" s="7">
        <f>$B14 * IFERROR(VLOOKUP("transport|SO2|Minor restricted activity days", US_national_yearly!$D:$AM, 31, FALSE) / VLOOKUP("transport|SO2|Minor restricted activity days", US_national_yearly!$D:$AM, 10, FALSE), 1)</f>
        <v>1.9135269170955118</v>
      </c>
      <c r="X14" s="7">
        <f>$B14 * IFERROR(VLOOKUP("transport|SO2|Minor restricted activity days", US_national_yearly!$D:$AM, 32, FALSE) / VLOOKUP("transport|SO2|Minor restricted activity days", US_national_yearly!$D:$AM, 10, FALSE), 1)</f>
        <v>1.9265926633890782</v>
      </c>
      <c r="Y14" s="7">
        <f>$B14 * IFERROR(VLOOKUP("transport|SO2|Minor restricted activity days", US_national_yearly!$D:$AM, 33, FALSE) / VLOOKUP("transport|SO2|Minor restricted activity days", US_national_yearly!$D:$AM, 10, FALSE), 1)</f>
        <v>1.9396584096826448</v>
      </c>
      <c r="Z14" s="7">
        <f>$B14 * IFERROR(VLOOKUP("transport|SO2|Minor restricted activity days", US_national_yearly!$D:$AM, 34, FALSE) / VLOOKUP("transport|SO2|Minor restricted activity days", US_national_yearly!$D:$AM, 10, FALSE), 1)</f>
        <v>1.9527241559762116</v>
      </c>
      <c r="AA14" s="7">
        <f>$B14 * IFERROR(VLOOKUP("transport|SO2|Minor restricted activity days", US_national_yearly!$D:$AM, 35, FALSE) / VLOOKUP("transport|SO2|Minor restricted activity days", US_national_yearly!$D:$AM, 10, FALSE), 1)</f>
        <v>1.965789902269778</v>
      </c>
      <c r="AB14" s="7">
        <f>$B14 * IFERROR(VLOOKUP("transport|SO2|Minor restricted activity days", US_national_yearly!$D:$AM, 36, FALSE) / VLOOKUP("transport|SO2|Minor restricted activity days", US_national_yearly!$D:$AM, 10, FALSE), 1)</f>
        <v>1.9788556485633448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0.28697095621630514</v>
      </c>
      <c r="C15" s="7">
        <f>$B15 * IFERROR(VLOOKUP("transport|SO2|Work loss days", US_national_yearly!$D:$AM, 11, FALSE) / VLOOKUP("transport|SO2|Work loss days", US_national_yearly!$D:$AM, 10, FALSE), 1)</f>
        <v>0.28790069650444688</v>
      </c>
      <c r="D15" s="7">
        <f>$B15 * IFERROR(VLOOKUP("transport|SO2|Work loss days", US_national_yearly!$D:$AM, 12, FALSE) / VLOOKUP("transport|SO2|Work loss days", US_national_yearly!$D:$AM, 10, FALSE), 1)</f>
        <v>0.28883043679258863</v>
      </c>
      <c r="E15" s="7">
        <f>$B15 * IFERROR(VLOOKUP("transport|SO2|Work loss days", US_national_yearly!$D:$AM, 13, FALSE) / VLOOKUP("transport|SO2|Work loss days", US_national_yearly!$D:$AM, 10, FALSE), 1)</f>
        <v>0.28976017708073037</v>
      </c>
      <c r="F15" s="7">
        <f>$B15 * IFERROR(VLOOKUP("transport|SO2|Work loss days", US_national_yearly!$D:$AM, 14, FALSE) / VLOOKUP("transport|SO2|Work loss days", US_national_yearly!$D:$AM, 10, FALSE), 1)</f>
        <v>0.29068991736887212</v>
      </c>
      <c r="G15" s="7">
        <f>$B15 * IFERROR(VLOOKUP("transport|SO2|Work loss days", US_national_yearly!$D:$AM, 15, FALSE) / VLOOKUP("transport|SO2|Work loss days", US_national_yearly!$D:$AM, 10, FALSE), 1)</f>
        <v>0.29190473681632473</v>
      </c>
      <c r="H15" s="7">
        <f>$B15 * IFERROR(VLOOKUP("transport|SO2|Work loss days", US_national_yearly!$D:$AM, 16, FALSE) / VLOOKUP("transport|SO2|Work loss days", US_national_yearly!$D:$AM, 10, FALSE), 1)</f>
        <v>0.29311955626377723</v>
      </c>
      <c r="I15" s="7">
        <f>$B15 * IFERROR(VLOOKUP("transport|SO2|Work loss days", US_national_yearly!$D:$AM, 17, FALSE) / VLOOKUP("transport|SO2|Work loss days", US_national_yearly!$D:$AM, 10, FALSE), 1)</f>
        <v>0.29489667403765463</v>
      </c>
      <c r="J15" s="7">
        <f>$B15 * IFERROR(VLOOKUP("transport|SO2|Work loss days", US_national_yearly!$D:$AM, 18, FALSE) / VLOOKUP("transport|SO2|Work loss days", US_national_yearly!$D:$AM, 10, FALSE), 1)</f>
        <v>0.29667379181153197</v>
      </c>
      <c r="K15" s="7">
        <f>$B15 * IFERROR(VLOOKUP("transport|SO2|Work loss days", US_national_yearly!$D:$AM, 19, FALSE) / VLOOKUP("transport|SO2|Work loss days", US_national_yearly!$D:$AM, 10, FALSE), 1)</f>
        <v>0.29845090958540937</v>
      </c>
      <c r="L15" s="7">
        <f>$B15 * IFERROR(VLOOKUP("transport|SO2|Work loss days", US_national_yearly!$D:$AM, 20, FALSE) / VLOOKUP("transport|SO2|Work loss days", US_national_yearly!$D:$AM, 10, FALSE), 1)</f>
        <v>0.30022802735928683</v>
      </c>
      <c r="M15" s="7">
        <f>$B15 * IFERROR(VLOOKUP("transport|SO2|Work loss days", US_national_yearly!$D:$AM, 21, FALSE) / VLOOKUP("transport|SO2|Work loss days", US_national_yearly!$D:$AM, 10, FALSE), 1)</f>
        <v>0.30200514513316423</v>
      </c>
      <c r="N15" s="7">
        <f>$B15 * IFERROR(VLOOKUP("transport|SO2|Work loss days", US_national_yearly!$D:$AM, 22, FALSE) / VLOOKUP("transport|SO2|Work loss days", US_national_yearly!$D:$AM, 10, FALSE), 1)</f>
        <v>0.30423336283864377</v>
      </c>
      <c r="O15" s="7">
        <f>$B15 * IFERROR(VLOOKUP("transport|SO2|Work loss days", US_national_yearly!$D:$AM, 23, FALSE) / VLOOKUP("transport|SO2|Work loss days", US_national_yearly!$D:$AM, 10, FALSE), 1)</f>
        <v>0.30646158054412337</v>
      </c>
      <c r="P15" s="7">
        <f>$B15 * IFERROR(VLOOKUP("transport|SO2|Work loss days", US_national_yearly!$D:$AM, 24, FALSE) / VLOOKUP("transport|SO2|Work loss days", US_national_yearly!$D:$AM, 10, FALSE), 1)</f>
        <v>0.30868979824960285</v>
      </c>
      <c r="Q15" s="7">
        <f>$B15 * IFERROR(VLOOKUP("transport|SO2|Work loss days", US_national_yearly!$D:$AM, 25, FALSE) / VLOOKUP("transport|SO2|Work loss days", US_national_yearly!$D:$AM, 10, FALSE), 1)</f>
        <v>0.31091801595508245</v>
      </c>
      <c r="R15" s="7">
        <f>$B15 * IFERROR(VLOOKUP("transport|SO2|Work loss days", US_national_yearly!$D:$AM, 26, FALSE) / VLOOKUP("transport|SO2|Work loss days", US_national_yearly!$D:$AM, 10, FALSE), 1)</f>
        <v>0.31314623366056199</v>
      </c>
      <c r="S15" s="7">
        <f>$B15 * IFERROR(VLOOKUP("transport|SO2|Work loss days", US_national_yearly!$D:$AM, 27, FALSE) / VLOOKUP("transport|SO2|Work loss days", US_national_yearly!$D:$AM, 10, FALSE), 1)</f>
        <v>0.31563625960009545</v>
      </c>
      <c r="T15" s="7">
        <f>$B15 * IFERROR(VLOOKUP("transport|SO2|Work loss days", US_national_yearly!$D:$AM, 28, FALSE) / VLOOKUP("transport|SO2|Work loss days", US_national_yearly!$D:$AM, 10, FALSE), 1)</f>
        <v>0.31812628553962896</v>
      </c>
      <c r="U15" s="7">
        <f>$B15 * IFERROR(VLOOKUP("transport|SO2|Work loss days", US_national_yearly!$D:$AM, 29, FALSE) / VLOOKUP("transport|SO2|Work loss days", US_national_yearly!$D:$AM, 10, FALSE), 1)</f>
        <v>0.32061631147916242</v>
      </c>
      <c r="V15" s="7">
        <f>$B15 * IFERROR(VLOOKUP("transport|SO2|Work loss days", US_national_yearly!$D:$AM, 30, FALSE) / VLOOKUP("transport|SO2|Work loss days", US_national_yearly!$D:$AM, 10, FALSE), 1)</f>
        <v>0.32310633741869588</v>
      </c>
      <c r="W15" s="7">
        <f>$B15 * IFERROR(VLOOKUP("transport|SO2|Work loss days", US_national_yearly!$D:$AM, 31, FALSE) / VLOOKUP("transport|SO2|Work loss days", US_national_yearly!$D:$AM, 10, FALSE), 1)</f>
        <v>0.32559636335822945</v>
      </c>
      <c r="X15" s="7">
        <f>$B15 * IFERROR(VLOOKUP("transport|SO2|Work loss days", US_national_yearly!$D:$AM, 32, FALSE) / VLOOKUP("transport|SO2|Work loss days", US_national_yearly!$D:$AM, 10, FALSE), 1)</f>
        <v>0.32783206343518279</v>
      </c>
      <c r="Y15" s="7">
        <f>$B15 * IFERROR(VLOOKUP("transport|SO2|Work loss days", US_national_yearly!$D:$AM, 33, FALSE) / VLOOKUP("transport|SO2|Work loss days", US_national_yearly!$D:$AM, 10, FALSE), 1)</f>
        <v>0.33006776351213618</v>
      </c>
      <c r="Z15" s="7">
        <f>$B15 * IFERROR(VLOOKUP("transport|SO2|Work loss days", US_national_yearly!$D:$AM, 34, FALSE) / VLOOKUP("transport|SO2|Work loss days", US_national_yearly!$D:$AM, 10, FALSE), 1)</f>
        <v>0.33230346358908958</v>
      </c>
      <c r="AA15" s="7">
        <f>$B15 * IFERROR(VLOOKUP("transport|SO2|Work loss days", US_national_yearly!$D:$AM, 35, FALSE) / VLOOKUP("transport|SO2|Work loss days", US_national_yearly!$D:$AM, 10, FALSE), 1)</f>
        <v>0.33453916366604297</v>
      </c>
      <c r="AB15" s="7">
        <f>$B15 * IFERROR(VLOOKUP("transport|SO2|Work loss days", US_national_yearly!$D:$AM, 36, FALSE) / VLOOKUP("transport|SO2|Work loss days", US_national_yearly!$D:$AM, 10, FALSE), 1)</f>
        <v>0.33677486374299642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3.1465459215020657E-4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3.2417095196197445E-4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3.3368731177374229E-4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3.4320367158551017E-4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3.5272003139727806E-4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3.618357992325686E-4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3.7095156706785915E-4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3.7876200117613936E-4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3.8657243528441958E-4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3.9438286939269974E-4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4.0219330350097995E-4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4.1000373760926006E-4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4.1525057019302326E-4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4.2049740277678641E-4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4.257442353605495E-4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4.3099106794431265E-4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4.3623790052807585E-4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4.3899736089230638E-4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4.4175682125653691E-4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4.4451628162076739E-4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4.4727574198499793E-4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4.5003520234922846E-4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4.5188771931252669E-4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4.5374023627582492E-4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4.5559275323912314E-4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4.5744527020242143E-4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4.592977871657196E-4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1.1364291816684132E-2</v>
      </c>
      <c r="C2" s="7">
        <f>$B2 * IFERROR(VLOOKUP("electricity|PM25|Premature mortality", US_national_yearly!$D:$AM, 11, FALSE) / VLOOKUP("electricity|PM25|Premature mortality", US_national_yearly!$D:$AM, 10, FALSE), 1)</f>
        <v>1.1505052636847053E-2</v>
      </c>
      <c r="D2" s="7">
        <f>$B2 * IFERROR(VLOOKUP("electricity|PM25|Premature mortality", US_national_yearly!$D:$AM, 12, FALSE) / VLOOKUP("electricity|PM25|Premature mortality", US_national_yearly!$D:$AM, 10, FALSE), 1)</f>
        <v>1.1645813457009975E-2</v>
      </c>
      <c r="E2" s="7">
        <f>$B2 * IFERROR(VLOOKUP("electricity|PM25|Premature mortality", US_national_yearly!$D:$AM, 13, FALSE) / VLOOKUP("electricity|PM25|Premature mortality", US_national_yearly!$D:$AM, 10, FALSE), 1)</f>
        <v>1.1786574277172895E-2</v>
      </c>
      <c r="F2" s="7">
        <f>$B2 * IFERROR(VLOOKUP("electricity|PM25|Premature mortality", US_national_yearly!$D:$AM, 14, FALSE) / VLOOKUP("electricity|PM25|Premature mortality", US_national_yearly!$D:$AM, 10, FALSE), 1)</f>
        <v>1.1927335097335819E-2</v>
      </c>
      <c r="G2" s="7">
        <f>$B2 * IFERROR(VLOOKUP("electricity|PM25|Premature mortality", US_national_yearly!$D:$AM, 15, FALSE) / VLOOKUP("electricity|PM25|Premature mortality", US_national_yearly!$D:$AM, 10, FALSE), 1)</f>
        <v>1.2203796834031994E-2</v>
      </c>
      <c r="H2" s="7">
        <f>$B2 * IFERROR(VLOOKUP("electricity|PM25|Premature mortality", US_national_yearly!$D:$AM, 16, FALSE) / VLOOKUP("electricity|PM25|Premature mortality", US_national_yearly!$D:$AM, 10, FALSE), 1)</f>
        <v>1.2480258570728171E-2</v>
      </c>
      <c r="I2" s="7">
        <f>$B2 * IFERROR(VLOOKUP("electricity|PM25|Premature mortality", US_national_yearly!$D:$AM, 17, FALSE) / VLOOKUP("electricity|PM25|Premature mortality", US_national_yearly!$D:$AM, 10, FALSE), 1)</f>
        <v>1.2666015559983377E-2</v>
      </c>
      <c r="J2" s="7">
        <f>$B2 * IFERROR(VLOOKUP("electricity|PM25|Premature mortality", US_national_yearly!$D:$AM, 18, FALSE) / VLOOKUP("electricity|PM25|Premature mortality", US_national_yearly!$D:$AM, 10, FALSE), 1)</f>
        <v>1.2851772549238586E-2</v>
      </c>
      <c r="K2" s="7">
        <f>$B2 * IFERROR(VLOOKUP("electricity|PM25|Premature mortality", US_national_yearly!$D:$AM, 19, FALSE) / VLOOKUP("electricity|PM25|Premature mortality", US_national_yearly!$D:$AM, 10, FALSE), 1)</f>
        <v>1.3037529538493792E-2</v>
      </c>
      <c r="L2" s="7">
        <f>$B2 * IFERROR(VLOOKUP("electricity|PM25|Premature mortality", US_national_yearly!$D:$AM, 20, FALSE) / VLOOKUP("electricity|PM25|Premature mortality", US_national_yearly!$D:$AM, 10, FALSE), 1)</f>
        <v>1.3223286527749002E-2</v>
      </c>
      <c r="M2" s="7">
        <f>$B2 * IFERROR(VLOOKUP("electricity|PM25|Premature mortality", US_national_yearly!$D:$AM, 21, FALSE) / VLOOKUP("electricity|PM25|Premature mortality", US_national_yearly!$D:$AM, 10, FALSE), 1)</f>
        <v>1.3409043517004209E-2</v>
      </c>
      <c r="N2" s="7">
        <f>$B2 * IFERROR(VLOOKUP("electricity|PM25|Premature mortality", US_national_yearly!$D:$AM, 22, FALSE) / VLOOKUP("electricity|PM25|Premature mortality", US_national_yearly!$D:$AM, 10, FALSE), 1)</f>
        <v>1.3557112868196905E-2</v>
      </c>
      <c r="O2" s="7">
        <f>$B2 * IFERROR(VLOOKUP("electricity|PM25|Premature mortality", US_national_yearly!$D:$AM, 23, FALSE) / VLOOKUP("electricity|PM25|Premature mortality", US_national_yearly!$D:$AM, 10, FALSE), 1)</f>
        <v>1.3705182219389598E-2</v>
      </c>
      <c r="P2" s="7">
        <f>$B2 * IFERROR(VLOOKUP("electricity|PM25|Premature mortality", US_national_yearly!$D:$AM, 24, FALSE) / VLOOKUP("electricity|PM25|Premature mortality", US_national_yearly!$D:$AM, 10, FALSE), 1)</f>
        <v>1.3853251570582294E-2</v>
      </c>
      <c r="Q2" s="7">
        <f>$B2 * IFERROR(VLOOKUP("electricity|PM25|Premature mortality", US_national_yearly!$D:$AM, 25, FALSE) / VLOOKUP("electricity|PM25|Premature mortality", US_national_yearly!$D:$AM, 10, FALSE), 1)</f>
        <v>1.4001320921774987E-2</v>
      </c>
      <c r="R2" s="7">
        <f>$B2 * IFERROR(VLOOKUP("electricity|PM25|Premature mortality", US_national_yearly!$D:$AM, 26, FALSE) / VLOOKUP("electricity|PM25|Premature mortality", US_national_yearly!$D:$AM, 10, FALSE), 1)</f>
        <v>1.4149390272967683E-2</v>
      </c>
      <c r="S2" s="7">
        <f>$B2 * IFERROR(VLOOKUP("electricity|PM25|Premature mortality", US_national_yearly!$D:$AM, 27, FALSE) / VLOOKUP("electricity|PM25|Premature mortality", US_national_yearly!$D:$AM, 10, FALSE), 1)</f>
        <v>1.4234116349334575E-2</v>
      </c>
      <c r="T2" s="7">
        <f>$B2 * IFERROR(VLOOKUP("electricity|PM25|Premature mortality", US_national_yearly!$D:$AM, 28, FALSE) / VLOOKUP("electricity|PM25|Premature mortality", US_national_yearly!$D:$AM, 10, FALSE), 1)</f>
        <v>1.4318842425701464E-2</v>
      </c>
      <c r="U2" s="7">
        <f>$B2 * IFERROR(VLOOKUP("electricity|PM25|Premature mortality", US_national_yearly!$D:$AM, 29, FALSE) / VLOOKUP("electricity|PM25|Premature mortality", US_national_yearly!$D:$AM, 10, FALSE), 1)</f>
        <v>1.4403568502068358E-2</v>
      </c>
      <c r="V2" s="7">
        <f>$B2 * IFERROR(VLOOKUP("electricity|PM25|Premature mortality", US_national_yearly!$D:$AM, 30, FALSE) / VLOOKUP("electricity|PM25|Premature mortality", US_national_yearly!$D:$AM, 10, FALSE), 1)</f>
        <v>1.4488294578435246E-2</v>
      </c>
      <c r="W2" s="7">
        <f>$B2 * IFERROR(VLOOKUP("electricity|PM25|Premature mortality", US_national_yearly!$D:$AM, 31, FALSE) / VLOOKUP("electricity|PM25|Premature mortality", US_national_yearly!$D:$AM, 10, FALSE), 1)</f>
        <v>1.4573020654802139E-2</v>
      </c>
      <c r="X2" s="7">
        <f>$B2 * IFERROR(VLOOKUP("electricity|PM25|Premature mortality", US_national_yearly!$D:$AM, 32, FALSE) / VLOOKUP("electricity|PM25|Premature mortality", US_national_yearly!$D:$AM, 10, FALSE), 1)</f>
        <v>1.4596557011012557E-2</v>
      </c>
      <c r="Y2" s="7">
        <f>$B2 * IFERROR(VLOOKUP("electricity|PM25|Premature mortality", US_national_yearly!$D:$AM, 33, FALSE) / VLOOKUP("electricity|PM25|Premature mortality", US_national_yearly!$D:$AM, 10, FALSE), 1)</f>
        <v>1.4620093367222975E-2</v>
      </c>
      <c r="Z2" s="7">
        <f>$B2 * IFERROR(VLOOKUP("electricity|PM25|Premature mortality", US_national_yearly!$D:$AM, 34, FALSE) / VLOOKUP("electricity|PM25|Premature mortality", US_national_yearly!$D:$AM, 10, FALSE), 1)</f>
        <v>1.4643629723433395E-2</v>
      </c>
      <c r="AA2" s="7">
        <f>$B2 * IFERROR(VLOOKUP("electricity|PM25|Premature mortality", US_national_yearly!$D:$AM, 35, FALSE) / VLOOKUP("electricity|PM25|Premature mortality", US_national_yearly!$D:$AM, 10, FALSE), 1)</f>
        <v>1.4667166079643815E-2</v>
      </c>
      <c r="AB2" s="7">
        <f>$B2 * IFERROR(VLOOKUP("electricity|PM25|Premature mortality", US_national_yearly!$D:$AM, 36, FALSE) / VLOOKUP("electricity|PM25|Premature mortality", US_national_yearly!$D:$AM, 10, FALSE), 1)</f>
        <v>1.4690702435854235E-2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2.2673641272503308E-5</v>
      </c>
      <c r="C3" s="7">
        <f>$B3 * IFERROR(VLOOKUP("electricity|PM25|Infant mortality", US_national_yearly!$D:$AM, 11, FALSE) / VLOOKUP("electricity|PM25|Infant mortality", US_national_yearly!$D:$AM, 10, FALSE), 1)</f>
        <v>2.2476085893208419E-5</v>
      </c>
      <c r="D3" s="7">
        <f>$B3 * IFERROR(VLOOKUP("electricity|PM25|Infant mortality", US_national_yearly!$D:$AM, 12, FALSE) / VLOOKUP("electricity|PM25|Infant mortality", US_national_yearly!$D:$AM, 10, FALSE), 1)</f>
        <v>2.2278530513913536E-5</v>
      </c>
      <c r="E3" s="7">
        <f>$B3 * IFERROR(VLOOKUP("electricity|PM25|Infant mortality", US_national_yearly!$D:$AM, 13, FALSE) / VLOOKUP("electricity|PM25|Infant mortality", US_national_yearly!$D:$AM, 10, FALSE), 1)</f>
        <v>2.2080975134618651E-5</v>
      </c>
      <c r="F3" s="7">
        <f>$B3 * IFERROR(VLOOKUP("electricity|PM25|Infant mortality", US_national_yearly!$D:$AM, 14, FALSE) / VLOOKUP("electricity|PM25|Infant mortality", US_national_yearly!$D:$AM, 10, FALSE), 1)</f>
        <v>2.1883419755323762E-5</v>
      </c>
      <c r="G3" s="7">
        <f>$B3 * IFERROR(VLOOKUP("electricity|PM25|Infant mortality", US_national_yearly!$D:$AM, 15, FALSE) / VLOOKUP("electricity|PM25|Infant mortality", US_national_yearly!$D:$AM, 10, FALSE), 1)</f>
        <v>1.4512401910207163E-5</v>
      </c>
      <c r="H3" s="7">
        <f>$B3 * IFERROR(VLOOKUP("electricity|PM25|Infant mortality", US_national_yearly!$D:$AM, 16, FALSE) / VLOOKUP("electricity|PM25|Infant mortality", US_national_yearly!$D:$AM, 10, FALSE), 1)</f>
        <v>7.1413840650905631E-6</v>
      </c>
      <c r="I3" s="7">
        <f>$B3 * IFERROR(VLOOKUP("electricity|PM25|Infant mortality", US_national_yearly!$D:$AM, 17, FALSE) / VLOOKUP("electricity|PM25|Infant mortality", US_national_yearly!$D:$AM, 10, FALSE), 1)</f>
        <v>7.0909626212350518E-6</v>
      </c>
      <c r="J3" s="7">
        <f>$B3 * IFERROR(VLOOKUP("electricity|PM25|Infant mortality", US_national_yearly!$D:$AM, 18, FALSE) / VLOOKUP("electricity|PM25|Infant mortality", US_national_yearly!$D:$AM, 10, FALSE), 1)</f>
        <v>7.0405411773795431E-6</v>
      </c>
      <c r="K3" s="7">
        <f>$B3 * IFERROR(VLOOKUP("electricity|PM25|Infant mortality", US_national_yearly!$D:$AM, 19, FALSE) / VLOOKUP("electricity|PM25|Infant mortality", US_national_yearly!$D:$AM, 10, FALSE), 1)</f>
        <v>6.9901197335240319E-6</v>
      </c>
      <c r="L3" s="7">
        <f>$B3 * IFERROR(VLOOKUP("electricity|PM25|Infant mortality", US_national_yearly!$D:$AM, 20, FALSE) / VLOOKUP("electricity|PM25|Infant mortality", US_national_yearly!$D:$AM, 10, FALSE), 1)</f>
        <v>6.9396982896685223E-6</v>
      </c>
      <c r="M3" s="7">
        <f>$B3 * IFERROR(VLOOKUP("electricity|PM25|Infant mortality", US_national_yearly!$D:$AM, 21, FALSE) / VLOOKUP("electricity|PM25|Infant mortality", US_national_yearly!$D:$AM, 10, FALSE), 1)</f>
        <v>6.8892768458130119E-6</v>
      </c>
      <c r="N3" s="7">
        <f>$B3 * IFERROR(VLOOKUP("electricity|PM25|Infant mortality", US_national_yearly!$D:$AM, 22, FALSE) / VLOOKUP("electricity|PM25|Infant mortality", US_national_yearly!$D:$AM, 10, FALSE), 1)</f>
        <v>6.8568491630750902E-6</v>
      </c>
      <c r="O3" s="7">
        <f>$B3 * IFERROR(VLOOKUP("electricity|PM25|Infant mortality", US_national_yearly!$D:$AM, 23, FALSE) / VLOOKUP("electricity|PM25|Infant mortality", US_national_yearly!$D:$AM, 10, FALSE), 1)</f>
        <v>6.8244214803371693E-6</v>
      </c>
      <c r="P3" s="7">
        <f>$B3 * IFERROR(VLOOKUP("electricity|PM25|Infant mortality", US_national_yearly!$D:$AM, 24, FALSE) / VLOOKUP("electricity|PM25|Infant mortality", US_national_yearly!$D:$AM, 10, FALSE), 1)</f>
        <v>6.7919937975992459E-6</v>
      </c>
      <c r="Q3" s="7">
        <f>$B3 * IFERROR(VLOOKUP("electricity|PM25|Infant mortality", US_national_yearly!$D:$AM, 25, FALSE) / VLOOKUP("electricity|PM25|Infant mortality", US_national_yearly!$D:$AM, 10, FALSE), 1)</f>
        <v>6.7595661148613242E-6</v>
      </c>
      <c r="R3" s="7">
        <f>$B3 * IFERROR(VLOOKUP("electricity|PM25|Infant mortality", US_national_yearly!$D:$AM, 26, FALSE) / VLOOKUP("electricity|PM25|Infant mortality", US_national_yearly!$D:$AM, 10, FALSE), 1)</f>
        <v>6.7271384321234017E-6</v>
      </c>
      <c r="S3" s="7">
        <f>$B3 * IFERROR(VLOOKUP("electricity|PM25|Infant mortality", US_national_yearly!$D:$AM, 27, FALSE) / VLOOKUP("electricity|PM25|Infant mortality", US_national_yearly!$D:$AM, 10, FALSE), 1)</f>
        <v>6.6882893435576035E-6</v>
      </c>
      <c r="T3" s="7">
        <f>$B3 * IFERROR(VLOOKUP("electricity|PM25|Infant mortality", US_national_yearly!$D:$AM, 28, FALSE) / VLOOKUP("electricity|PM25|Infant mortality", US_national_yearly!$D:$AM, 10, FALSE), 1)</f>
        <v>6.6494402549918044E-6</v>
      </c>
      <c r="U3" s="7">
        <f>$B3 * IFERROR(VLOOKUP("electricity|PM25|Infant mortality", US_national_yearly!$D:$AM, 29, FALSE) / VLOOKUP("electricity|PM25|Infant mortality", US_national_yearly!$D:$AM, 10, FALSE), 1)</f>
        <v>6.6105911664260078E-6</v>
      </c>
      <c r="V3" s="7">
        <f>$B3 * IFERROR(VLOOKUP("electricity|PM25|Infant mortality", US_national_yearly!$D:$AM, 30, FALSE) / VLOOKUP("electricity|PM25|Infant mortality", US_national_yearly!$D:$AM, 10, FALSE), 1)</f>
        <v>6.5717420778602087E-6</v>
      </c>
      <c r="W3" s="7">
        <f>$B3 * IFERROR(VLOOKUP("electricity|PM25|Infant mortality", US_national_yearly!$D:$AM, 31, FALSE) / VLOOKUP("electricity|PM25|Infant mortality", US_national_yearly!$D:$AM, 10, FALSE), 1)</f>
        <v>6.5328929892944105E-6</v>
      </c>
      <c r="X3" s="7">
        <f>$B3 * IFERROR(VLOOKUP("electricity|PM25|Infant mortality", US_national_yearly!$D:$AM, 32, FALSE) / VLOOKUP("electricity|PM25|Infant mortality", US_national_yearly!$D:$AM, 10, FALSE), 1)</f>
        <v>6.4927473067920757E-6</v>
      </c>
      <c r="Y3" s="7">
        <f>$B3 * IFERROR(VLOOKUP("electricity|PM25|Infant mortality", US_national_yearly!$D:$AM, 33, FALSE) / VLOOKUP("electricity|PM25|Infant mortality", US_national_yearly!$D:$AM, 10, FALSE), 1)</f>
        <v>6.452601624289741E-6</v>
      </c>
      <c r="Z3" s="7">
        <f>$B3 * IFERROR(VLOOKUP("electricity|PM25|Infant mortality", US_national_yearly!$D:$AM, 34, FALSE) / VLOOKUP("electricity|PM25|Infant mortality", US_national_yearly!$D:$AM, 10, FALSE), 1)</f>
        <v>6.4124559417874062E-6</v>
      </c>
      <c r="AA3" s="7">
        <f>$B3 * IFERROR(VLOOKUP("electricity|PM25|Infant mortality", US_national_yearly!$D:$AM, 35, FALSE) / VLOOKUP("electricity|PM25|Infant mortality", US_national_yearly!$D:$AM, 10, FALSE), 1)</f>
        <v>6.3723102592850715E-6</v>
      </c>
      <c r="AB3" s="7">
        <f>$B3 * IFERROR(VLOOKUP("electricity|PM25|Infant mortality", US_national_yearly!$D:$AM, 36, FALSE) / VLOOKUP("electricity|PM25|Infant mortality", US_national_yearly!$D:$AM, 10, FALSE), 1)</f>
        <v>6.3321645767827367E-6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3.073747603282655E-2</v>
      </c>
      <c r="C6" s="7">
        <f>$B6 * IFERROR(VLOOKUP("electricity|PM25|Asthma symptoms cough", US_national_yearly!$D:$AM, 11, FALSE) / VLOOKUP("electricity|PM25|Asthma symptoms cough", US_national_yearly!$D:$AM, 10, FALSE), 1)</f>
        <v>3.073747603282655E-2</v>
      </c>
      <c r="D6" s="7">
        <f>$B6 * IFERROR(VLOOKUP("electricity|PM25|Asthma symptoms cough", US_national_yearly!$D:$AM, 12, FALSE) / VLOOKUP("electricity|PM25|Asthma symptoms cough", US_national_yearly!$D:$AM, 10, FALSE), 1)</f>
        <v>3.073747603282655E-2</v>
      </c>
      <c r="E6" s="7">
        <f>$B6 * IFERROR(VLOOKUP("electricity|PM25|Asthma symptoms cough", US_national_yearly!$D:$AM, 13, FALSE) / VLOOKUP("electricity|PM25|Asthma symptoms cough", US_national_yearly!$D:$AM, 10, FALSE), 1)</f>
        <v>3.073747603282655E-2</v>
      </c>
      <c r="F6" s="7">
        <f>$B6 * IFERROR(VLOOKUP("electricity|PM25|Asthma symptoms cough", US_national_yearly!$D:$AM, 14, FALSE) / VLOOKUP("electricity|PM25|Asthma symptoms cough", US_national_yearly!$D:$AM, 10, FALSE), 1)</f>
        <v>3.073747603282655E-2</v>
      </c>
      <c r="G6" s="7">
        <f>$B6 * IFERROR(VLOOKUP("electricity|PM25|Asthma symptoms cough", US_national_yearly!$D:$AM, 15, FALSE) / VLOOKUP("electricity|PM25|Asthma symptoms cough", US_national_yearly!$D:$AM, 10, FALSE), 1)</f>
        <v>3.073747603282655E-2</v>
      </c>
      <c r="H6" s="7">
        <f>$B6 * IFERROR(VLOOKUP("electricity|PM25|Asthma symptoms cough", US_national_yearly!$D:$AM, 16, FALSE) / VLOOKUP("electricity|PM25|Asthma symptoms cough", US_national_yearly!$D:$AM, 10, FALSE), 1)</f>
        <v>3.073747603282655E-2</v>
      </c>
      <c r="I6" s="7">
        <f>$B6 * IFERROR(VLOOKUP("electricity|PM25|Asthma symptoms cough", US_national_yearly!$D:$AM, 17, FALSE) / VLOOKUP("electricity|PM25|Asthma symptoms cough", US_national_yearly!$D:$AM, 10, FALSE), 1)</f>
        <v>3.073747603282655E-2</v>
      </c>
      <c r="J6" s="7">
        <f>$B6 * IFERROR(VLOOKUP("electricity|PM25|Asthma symptoms cough", US_national_yearly!$D:$AM, 18, FALSE) / VLOOKUP("electricity|PM25|Asthma symptoms cough", US_national_yearly!$D:$AM, 10, FALSE), 1)</f>
        <v>3.073747603282655E-2</v>
      </c>
      <c r="K6" s="7">
        <f>$B6 * IFERROR(VLOOKUP("electricity|PM25|Asthma symptoms cough", US_national_yearly!$D:$AM, 19, FALSE) / VLOOKUP("electricity|PM25|Asthma symptoms cough", US_national_yearly!$D:$AM, 10, FALSE), 1)</f>
        <v>3.073747603282655E-2</v>
      </c>
      <c r="L6" s="7">
        <f>$B6 * IFERROR(VLOOKUP("electricity|PM25|Asthma symptoms cough", US_national_yearly!$D:$AM, 20, FALSE) / VLOOKUP("electricity|PM25|Asthma symptoms cough", US_national_yearly!$D:$AM, 10, FALSE), 1)</f>
        <v>3.073747603282655E-2</v>
      </c>
      <c r="M6" s="7">
        <f>$B6 * IFERROR(VLOOKUP("electricity|PM25|Asthma symptoms cough", US_national_yearly!$D:$AM, 21, FALSE) / VLOOKUP("electricity|PM25|Asthma symptoms cough", US_national_yearly!$D:$AM, 10, FALSE), 1)</f>
        <v>3.073747603282655E-2</v>
      </c>
      <c r="N6" s="7">
        <f>$B6 * IFERROR(VLOOKUP("electricity|PM25|Asthma symptoms cough", US_national_yearly!$D:$AM, 22, FALSE) / VLOOKUP("electricity|PM25|Asthma symptoms cough", US_national_yearly!$D:$AM, 10, FALSE), 1)</f>
        <v>3.073747603282655E-2</v>
      </c>
      <c r="O6" s="7">
        <f>$B6 * IFERROR(VLOOKUP("electricity|PM25|Asthma symptoms cough", US_national_yearly!$D:$AM, 23, FALSE) / VLOOKUP("electricity|PM25|Asthma symptoms cough", US_national_yearly!$D:$AM, 10, FALSE), 1)</f>
        <v>3.073747603282655E-2</v>
      </c>
      <c r="P6" s="7">
        <f>$B6 * IFERROR(VLOOKUP("electricity|PM25|Asthma symptoms cough", US_national_yearly!$D:$AM, 24, FALSE) / VLOOKUP("electricity|PM25|Asthma symptoms cough", US_national_yearly!$D:$AM, 10, FALSE), 1)</f>
        <v>3.073747603282655E-2</v>
      </c>
      <c r="Q6" s="7">
        <f>$B6 * IFERROR(VLOOKUP("electricity|PM25|Asthma symptoms cough", US_national_yearly!$D:$AM, 25, FALSE) / VLOOKUP("electricity|PM25|Asthma symptoms cough", US_national_yearly!$D:$AM, 10, FALSE), 1)</f>
        <v>3.073747603282655E-2</v>
      </c>
      <c r="R6" s="7">
        <f>$B6 * IFERROR(VLOOKUP("electricity|PM25|Asthma symptoms cough", US_national_yearly!$D:$AM, 26, FALSE) / VLOOKUP("electricity|PM25|Asthma symptoms cough", US_national_yearly!$D:$AM, 10, FALSE), 1)</f>
        <v>3.073747603282655E-2</v>
      </c>
      <c r="S6" s="7">
        <f>$B6 * IFERROR(VLOOKUP("electricity|PM25|Asthma symptoms cough", US_national_yearly!$D:$AM, 27, FALSE) / VLOOKUP("electricity|PM25|Asthma symptoms cough", US_national_yearly!$D:$AM, 10, FALSE), 1)</f>
        <v>3.073747603282655E-2</v>
      </c>
      <c r="T6" s="7">
        <f>$B6 * IFERROR(VLOOKUP("electricity|PM25|Asthma symptoms cough", US_national_yearly!$D:$AM, 28, FALSE) / VLOOKUP("electricity|PM25|Asthma symptoms cough", US_national_yearly!$D:$AM, 10, FALSE), 1)</f>
        <v>3.073747603282655E-2</v>
      </c>
      <c r="U6" s="7">
        <f>$B6 * IFERROR(VLOOKUP("electricity|PM25|Asthma symptoms cough", US_national_yearly!$D:$AM, 29, FALSE) / VLOOKUP("electricity|PM25|Asthma symptoms cough", US_national_yearly!$D:$AM, 10, FALSE), 1)</f>
        <v>3.073747603282655E-2</v>
      </c>
      <c r="V6" s="7">
        <f>$B6 * IFERROR(VLOOKUP("electricity|PM25|Asthma symptoms cough", US_national_yearly!$D:$AM, 30, FALSE) / VLOOKUP("electricity|PM25|Asthma symptoms cough", US_national_yearly!$D:$AM, 10, FALSE), 1)</f>
        <v>3.073747603282655E-2</v>
      </c>
      <c r="W6" s="7">
        <f>$B6 * IFERROR(VLOOKUP("electricity|PM25|Asthma symptoms cough", US_national_yearly!$D:$AM, 31, FALSE) / VLOOKUP("electricity|PM25|Asthma symptoms cough", US_national_yearly!$D:$AM, 10, FALSE), 1)</f>
        <v>3.073747603282655E-2</v>
      </c>
      <c r="X6" s="7">
        <f>$B6 * IFERROR(VLOOKUP("electricity|PM25|Asthma symptoms cough", US_national_yearly!$D:$AM, 32, FALSE) / VLOOKUP("electricity|PM25|Asthma symptoms cough", US_national_yearly!$D:$AM, 10, FALSE), 1)</f>
        <v>3.073747603282655E-2</v>
      </c>
      <c r="Y6" s="7">
        <f>$B6 * IFERROR(VLOOKUP("electricity|PM25|Asthma symptoms cough", US_national_yearly!$D:$AM, 33, FALSE) / VLOOKUP("electricity|PM25|Asthma symptoms cough", US_national_yearly!$D:$AM, 10, FALSE), 1)</f>
        <v>3.073747603282655E-2</v>
      </c>
      <c r="Z6" s="7">
        <f>$B6 * IFERROR(VLOOKUP("electricity|PM25|Asthma symptoms cough", US_national_yearly!$D:$AM, 34, FALSE) / VLOOKUP("electricity|PM25|Asthma symptoms cough", US_national_yearly!$D:$AM, 10, FALSE), 1)</f>
        <v>3.073747603282655E-2</v>
      </c>
      <c r="AA6" s="7">
        <f>$B6 * IFERROR(VLOOKUP("electricity|PM25|Asthma symptoms cough", US_national_yearly!$D:$AM, 35, FALSE) / VLOOKUP("electricity|PM25|Asthma symptoms cough", US_national_yearly!$D:$AM, 10, FALSE), 1)</f>
        <v>3.073747603282655E-2</v>
      </c>
      <c r="AB6" s="7">
        <f>$B6 * IFERROR(VLOOKUP("electricity|PM25|Asthma symptoms cough", US_national_yearly!$D:$AM, 36, FALSE) / VLOOKUP("electricity|PM25|Asthma symptoms cough", US_national_yearly!$D:$AM, 10, FALSE), 1)</f>
        <v>3.073747603282655E-2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4.1392474887541657E-2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4.1392474887541657E-2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4.1392474887541657E-2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4.1392474887541657E-2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4.1392474887541657E-2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4.1392474887541657E-2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4.1392474887541657E-2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4.1392474887541657E-2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4.1392474887541657E-2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4.1392474887541657E-2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4.1392474887541657E-2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4.1392474887541657E-2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4.1392474887541657E-2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4.1392474887541657E-2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4.1392474887541657E-2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4.1392474887541657E-2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4.1392474887541657E-2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4.1392474887541657E-2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4.1392474887541657E-2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4.1392474887541657E-2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4.1392474887541657E-2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4.1392474887541657E-2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4.1392474887541657E-2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4.1392474887541657E-2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4.1392474887541657E-2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4.1392474887541657E-2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4.1392474887541657E-2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6.3240674904151625E-2</v>
      </c>
      <c r="C8" s="7">
        <f>$B8 * IFERROR(VLOOKUP("electricity|PM25|Asthma symptoms wheeze", US_national_yearly!$D:$AM, 11, FALSE) / VLOOKUP("electricity|PM25|Asthma symptoms wheeze", US_national_yearly!$D:$AM, 10, FALSE), 1)</f>
        <v>6.3240674904151625E-2</v>
      </c>
      <c r="D8" s="7">
        <f>$B8 * IFERROR(VLOOKUP("electricity|PM25|Asthma symptoms wheeze", US_national_yearly!$D:$AM, 12, FALSE) / VLOOKUP("electricity|PM25|Asthma symptoms wheeze", US_national_yearly!$D:$AM, 10, FALSE), 1)</f>
        <v>6.3240674904151625E-2</v>
      </c>
      <c r="E8" s="7">
        <f>$B8 * IFERROR(VLOOKUP("electricity|PM25|Asthma symptoms wheeze", US_national_yearly!$D:$AM, 13, FALSE) / VLOOKUP("electricity|PM25|Asthma symptoms wheeze", US_national_yearly!$D:$AM, 10, FALSE), 1)</f>
        <v>6.3240674904151625E-2</v>
      </c>
      <c r="F8" s="7">
        <f>$B8 * IFERROR(VLOOKUP("electricity|PM25|Asthma symptoms wheeze", US_national_yearly!$D:$AM, 14, FALSE) / VLOOKUP("electricity|PM25|Asthma symptoms wheeze", US_national_yearly!$D:$AM, 10, FALSE), 1)</f>
        <v>6.3240674904151625E-2</v>
      </c>
      <c r="G8" s="7">
        <f>$B8 * IFERROR(VLOOKUP("electricity|PM25|Asthma symptoms wheeze", US_national_yearly!$D:$AM, 15, FALSE) / VLOOKUP("electricity|PM25|Asthma symptoms wheeze", US_national_yearly!$D:$AM, 10, FALSE), 1)</f>
        <v>6.3240674904151625E-2</v>
      </c>
      <c r="H8" s="7">
        <f>$B8 * IFERROR(VLOOKUP("electricity|PM25|Asthma symptoms wheeze", US_national_yearly!$D:$AM, 16, FALSE) / VLOOKUP("electricity|PM25|Asthma symptoms wheeze", US_national_yearly!$D:$AM, 10, FALSE), 1)</f>
        <v>6.3240674904151625E-2</v>
      </c>
      <c r="I8" s="7">
        <f>$B8 * IFERROR(VLOOKUP("electricity|PM25|Asthma symptoms wheeze", US_national_yearly!$D:$AM, 17, FALSE) / VLOOKUP("electricity|PM25|Asthma symptoms wheeze", US_national_yearly!$D:$AM, 10, FALSE), 1)</f>
        <v>6.3240674904151625E-2</v>
      </c>
      <c r="J8" s="7">
        <f>$B8 * IFERROR(VLOOKUP("electricity|PM25|Asthma symptoms wheeze", US_national_yearly!$D:$AM, 18, FALSE) / VLOOKUP("electricity|PM25|Asthma symptoms wheeze", US_national_yearly!$D:$AM, 10, FALSE), 1)</f>
        <v>6.3240674904151625E-2</v>
      </c>
      <c r="K8" s="7">
        <f>$B8 * IFERROR(VLOOKUP("electricity|PM25|Asthma symptoms wheeze", US_national_yearly!$D:$AM, 19, FALSE) / VLOOKUP("electricity|PM25|Asthma symptoms wheeze", US_national_yearly!$D:$AM, 10, FALSE), 1)</f>
        <v>6.3240674904151625E-2</v>
      </c>
      <c r="L8" s="7">
        <f>$B8 * IFERROR(VLOOKUP("electricity|PM25|Asthma symptoms wheeze", US_national_yearly!$D:$AM, 20, FALSE) / VLOOKUP("electricity|PM25|Asthma symptoms wheeze", US_national_yearly!$D:$AM, 10, FALSE), 1)</f>
        <v>6.3240674904151625E-2</v>
      </c>
      <c r="M8" s="7">
        <f>$B8 * IFERROR(VLOOKUP("electricity|PM25|Asthma symptoms wheeze", US_national_yearly!$D:$AM, 21, FALSE) / VLOOKUP("electricity|PM25|Asthma symptoms wheeze", US_national_yearly!$D:$AM, 10, FALSE), 1)</f>
        <v>6.3240674904151625E-2</v>
      </c>
      <c r="N8" s="7">
        <f>$B8 * IFERROR(VLOOKUP("electricity|PM25|Asthma symptoms wheeze", US_national_yearly!$D:$AM, 22, FALSE) / VLOOKUP("electricity|PM25|Asthma symptoms wheeze", US_national_yearly!$D:$AM, 10, FALSE), 1)</f>
        <v>6.3240674904151625E-2</v>
      </c>
      <c r="O8" s="7">
        <f>$B8 * IFERROR(VLOOKUP("electricity|PM25|Asthma symptoms wheeze", US_national_yearly!$D:$AM, 23, FALSE) / VLOOKUP("electricity|PM25|Asthma symptoms wheeze", US_national_yearly!$D:$AM, 10, FALSE), 1)</f>
        <v>6.3240674904151625E-2</v>
      </c>
      <c r="P8" s="7">
        <f>$B8 * IFERROR(VLOOKUP("electricity|PM25|Asthma symptoms wheeze", US_national_yearly!$D:$AM, 24, FALSE) / VLOOKUP("electricity|PM25|Asthma symptoms wheeze", US_national_yearly!$D:$AM, 10, FALSE), 1)</f>
        <v>6.3240674904151625E-2</v>
      </c>
      <c r="Q8" s="7">
        <f>$B8 * IFERROR(VLOOKUP("electricity|PM25|Asthma symptoms wheeze", US_national_yearly!$D:$AM, 25, FALSE) / VLOOKUP("electricity|PM25|Asthma symptoms wheeze", US_national_yearly!$D:$AM, 10, FALSE), 1)</f>
        <v>6.3240674904151625E-2</v>
      </c>
      <c r="R8" s="7">
        <f>$B8 * IFERROR(VLOOKUP("electricity|PM25|Asthma symptoms wheeze", US_national_yearly!$D:$AM, 26, FALSE) / VLOOKUP("electricity|PM25|Asthma symptoms wheeze", US_national_yearly!$D:$AM, 10, FALSE), 1)</f>
        <v>6.3240674904151625E-2</v>
      </c>
      <c r="S8" s="7">
        <f>$B8 * IFERROR(VLOOKUP("electricity|PM25|Asthma symptoms wheeze", US_national_yearly!$D:$AM, 27, FALSE) / VLOOKUP("electricity|PM25|Asthma symptoms wheeze", US_national_yearly!$D:$AM, 10, FALSE), 1)</f>
        <v>6.3240674904151625E-2</v>
      </c>
      <c r="T8" s="7">
        <f>$B8 * IFERROR(VLOOKUP("electricity|PM25|Asthma symptoms wheeze", US_national_yearly!$D:$AM, 28, FALSE) / VLOOKUP("electricity|PM25|Asthma symptoms wheeze", US_national_yearly!$D:$AM, 10, FALSE), 1)</f>
        <v>6.3240674904151625E-2</v>
      </c>
      <c r="U8" s="7">
        <f>$B8 * IFERROR(VLOOKUP("electricity|PM25|Asthma symptoms wheeze", US_national_yearly!$D:$AM, 29, FALSE) / VLOOKUP("electricity|PM25|Asthma symptoms wheeze", US_national_yearly!$D:$AM, 10, FALSE), 1)</f>
        <v>6.3240674904151625E-2</v>
      </c>
      <c r="V8" s="7">
        <f>$B8 * IFERROR(VLOOKUP("electricity|PM25|Asthma symptoms wheeze", US_national_yearly!$D:$AM, 30, FALSE) / VLOOKUP("electricity|PM25|Asthma symptoms wheeze", US_national_yearly!$D:$AM, 10, FALSE), 1)</f>
        <v>6.3240674904151625E-2</v>
      </c>
      <c r="W8" s="7">
        <f>$B8 * IFERROR(VLOOKUP("electricity|PM25|Asthma symptoms wheeze", US_national_yearly!$D:$AM, 31, FALSE) / VLOOKUP("electricity|PM25|Asthma symptoms wheeze", US_national_yearly!$D:$AM, 10, FALSE), 1)</f>
        <v>6.3240674904151625E-2</v>
      </c>
      <c r="X8" s="7">
        <f>$B8 * IFERROR(VLOOKUP("electricity|PM25|Asthma symptoms wheeze", US_national_yearly!$D:$AM, 32, FALSE) / VLOOKUP("electricity|PM25|Asthma symptoms wheeze", US_national_yearly!$D:$AM, 10, FALSE), 1)</f>
        <v>6.3240674904151625E-2</v>
      </c>
      <c r="Y8" s="7">
        <f>$B8 * IFERROR(VLOOKUP("electricity|PM25|Asthma symptoms wheeze", US_national_yearly!$D:$AM, 33, FALSE) / VLOOKUP("electricity|PM25|Asthma symptoms wheeze", US_national_yearly!$D:$AM, 10, FALSE), 1)</f>
        <v>6.3240674904151625E-2</v>
      </c>
      <c r="Z8" s="7">
        <f>$B8 * IFERROR(VLOOKUP("electricity|PM25|Asthma symptoms wheeze", US_national_yearly!$D:$AM, 34, FALSE) / VLOOKUP("electricity|PM25|Asthma symptoms wheeze", US_national_yearly!$D:$AM, 10, FALSE), 1)</f>
        <v>6.3240674904151625E-2</v>
      </c>
      <c r="AA8" s="7">
        <f>$B8 * IFERROR(VLOOKUP("electricity|PM25|Asthma symptoms wheeze", US_national_yearly!$D:$AM, 35, FALSE) / VLOOKUP("electricity|PM25|Asthma symptoms wheeze", US_national_yearly!$D:$AM, 10, FALSE), 1)</f>
        <v>6.3240674904151625E-2</v>
      </c>
      <c r="AB8" s="7">
        <f>$B8 * IFERROR(VLOOKUP("electricity|PM25|Asthma symptoms wheeze", US_national_yearly!$D:$AM, 36, FALSE) / VLOOKUP("electricity|PM25|Asthma symptoms wheeze", US_national_yearly!$D:$AM, 10, FALSE), 1)</f>
        <v>6.3240674904151625E-2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6.2929731528940137E-4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6.3275585672260327E-4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6.3621439815580506E-4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6.3967293958900717E-4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6.4313148102220895E-4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6.4683895242516212E-4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6.505464238281154E-4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6.5385867077537676E-4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6.5717091772263801E-4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6.6048316466989915E-4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6.637954116171604E-4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6.6710765856442175E-4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6.6934188674601879E-4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6.7157611492761594E-4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6.7381034310921308E-4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6.7604457129081012E-4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6.7827879947240737E-4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6.8036078767672308E-4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6.8244277588103868E-4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6.8452476408535428E-4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6.8660675228966999E-4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6.8868874049398548E-4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6.9074743034358739E-4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6.9280612019318919E-4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6.9486481004279099E-4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6.9692349989239279E-4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6.989821897419948E-4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4.1981199183927804E-3</v>
      </c>
      <c r="C13" s="7">
        <f>$B13 * IFERROR(VLOOKUP("electricity|PM25|Non-fatal heart attacks", US_national_yearly!$D:$AM, 11, FALSE) / VLOOKUP("electricity|PM25|Non-fatal heart attacks", US_national_yearly!$D:$AM, 10, FALSE), 1)</f>
        <v>4.3197177138182405E-3</v>
      </c>
      <c r="D13" s="7">
        <f>$B13 * IFERROR(VLOOKUP("electricity|PM25|Non-fatal heart attacks", US_national_yearly!$D:$AM, 12, FALSE) / VLOOKUP("electricity|PM25|Non-fatal heart attacks", US_national_yearly!$D:$AM, 10, FALSE), 1)</f>
        <v>4.4413155092437014E-3</v>
      </c>
      <c r="E13" s="7">
        <f>$B13 * IFERROR(VLOOKUP("electricity|PM25|Non-fatal heart attacks", US_national_yearly!$D:$AM, 13, FALSE) / VLOOKUP("electricity|PM25|Non-fatal heart attacks", US_national_yearly!$D:$AM, 10, FALSE), 1)</f>
        <v>4.5629133046691606E-3</v>
      </c>
      <c r="F13" s="7">
        <f>$B13 * IFERROR(VLOOKUP("electricity|PM25|Non-fatal heart attacks", US_national_yearly!$D:$AM, 14, FALSE) / VLOOKUP("electricity|PM25|Non-fatal heart attacks", US_national_yearly!$D:$AM, 10, FALSE), 1)</f>
        <v>4.6845111000946207E-3</v>
      </c>
      <c r="G13" s="7">
        <f>$B13 * IFERROR(VLOOKUP("electricity|PM25|Non-fatal heart attacks", US_national_yearly!$D:$AM, 15, FALSE) / VLOOKUP("electricity|PM25|Non-fatal heart attacks", US_national_yearly!$D:$AM, 10, FALSE), 1)</f>
        <v>4.7999277142776482E-3</v>
      </c>
      <c r="H13" s="7">
        <f>$B13 * IFERROR(VLOOKUP("electricity|PM25|Non-fatal heart attacks", US_national_yearly!$D:$AM, 16, FALSE) / VLOOKUP("electricity|PM25|Non-fatal heart attacks", US_national_yearly!$D:$AM, 10, FALSE), 1)</f>
        <v>4.9153443284606748E-3</v>
      </c>
      <c r="I13" s="7">
        <f>$B13 * IFERROR(VLOOKUP("electricity|PM25|Non-fatal heart attacks", US_national_yearly!$D:$AM, 17, FALSE) / VLOOKUP("electricity|PM25|Non-fatal heart attacks", US_national_yearly!$D:$AM, 10, FALSE), 1)</f>
        <v>5.0095106600574245E-3</v>
      </c>
      <c r="J13" s="7">
        <f>$B13 * IFERROR(VLOOKUP("electricity|PM25|Non-fatal heart attacks", US_national_yearly!$D:$AM, 18, FALSE) / VLOOKUP("electricity|PM25|Non-fatal heart attacks", US_national_yearly!$D:$AM, 10, FALSE), 1)</f>
        <v>5.1036769916541751E-3</v>
      </c>
      <c r="K13" s="7">
        <f>$B13 * IFERROR(VLOOKUP("electricity|PM25|Non-fatal heart attacks", US_national_yearly!$D:$AM, 19, FALSE) / VLOOKUP("electricity|PM25|Non-fatal heart attacks", US_national_yearly!$D:$AM, 10, FALSE), 1)</f>
        <v>5.197843323250924E-3</v>
      </c>
      <c r="L13" s="7">
        <f>$B13 * IFERROR(VLOOKUP("electricity|PM25|Non-fatal heart attacks", US_national_yearly!$D:$AM, 20, FALSE) / VLOOKUP("electricity|PM25|Non-fatal heart attacks", US_national_yearly!$D:$AM, 10, FALSE), 1)</f>
        <v>5.2920096548476729E-3</v>
      </c>
      <c r="M13" s="7">
        <f>$B13 * IFERROR(VLOOKUP("electricity|PM25|Non-fatal heart attacks", US_national_yearly!$D:$AM, 21, FALSE) / VLOOKUP("electricity|PM25|Non-fatal heart attacks", US_national_yearly!$D:$AM, 10, FALSE), 1)</f>
        <v>5.3861759864444244E-3</v>
      </c>
      <c r="N13" s="7">
        <f>$B13 * IFERROR(VLOOKUP("electricity|PM25|Non-fatal heart attacks", US_national_yearly!$D:$AM, 22, FALSE) / VLOOKUP("electricity|PM25|Non-fatal heart attacks", US_national_yearly!$D:$AM, 10, FALSE), 1)</f>
        <v>5.4472777794521187E-3</v>
      </c>
      <c r="O13" s="7">
        <f>$B13 * IFERROR(VLOOKUP("electricity|PM25|Non-fatal heart attacks", US_national_yearly!$D:$AM, 23, FALSE) / VLOOKUP("electricity|PM25|Non-fatal heart attacks", US_national_yearly!$D:$AM, 10, FALSE), 1)</f>
        <v>5.5083795724598129E-3</v>
      </c>
      <c r="P13" s="7">
        <f>$B13 * IFERROR(VLOOKUP("electricity|PM25|Non-fatal heart attacks", US_national_yearly!$D:$AM, 24, FALSE) / VLOOKUP("electricity|PM25|Non-fatal heart attacks", US_national_yearly!$D:$AM, 10, FALSE), 1)</f>
        <v>5.5694813654675063E-3</v>
      </c>
      <c r="Q13" s="7">
        <f>$B13 * IFERROR(VLOOKUP("electricity|PM25|Non-fatal heart attacks", US_national_yearly!$D:$AM, 25, FALSE) / VLOOKUP("electricity|PM25|Non-fatal heart attacks", US_national_yearly!$D:$AM, 10, FALSE), 1)</f>
        <v>5.6305831584752006E-3</v>
      </c>
      <c r="R13" s="7">
        <f>$B13 * IFERROR(VLOOKUP("electricity|PM25|Non-fatal heart attacks", US_national_yearly!$D:$AM, 26, FALSE) / VLOOKUP("electricity|PM25|Non-fatal heart attacks", US_national_yearly!$D:$AM, 10, FALSE), 1)</f>
        <v>5.6916849514828958E-3</v>
      </c>
      <c r="S13" s="7">
        <f>$B13 * IFERROR(VLOOKUP("electricity|PM25|Non-fatal heart attacks", US_national_yearly!$D:$AM, 27, FALSE) / VLOOKUP("electricity|PM25|Non-fatal heart attacks", US_national_yearly!$D:$AM, 10, FALSE), 1)</f>
        <v>5.7253230582509649E-3</v>
      </c>
      <c r="T13" s="7">
        <f>$B13 * IFERROR(VLOOKUP("electricity|PM25|Non-fatal heart attacks", US_national_yearly!$D:$AM, 28, FALSE) / VLOOKUP("electricity|PM25|Non-fatal heart attacks", US_national_yearly!$D:$AM, 10, FALSE), 1)</f>
        <v>5.7589611650190348E-3</v>
      </c>
      <c r="U13" s="7">
        <f>$B13 * IFERROR(VLOOKUP("electricity|PM25|Non-fatal heart attacks", US_national_yearly!$D:$AM, 29, FALSE) / VLOOKUP("electricity|PM25|Non-fatal heart attacks", US_national_yearly!$D:$AM, 10, FALSE), 1)</f>
        <v>5.7925992717871039E-3</v>
      </c>
      <c r="V13" s="7">
        <f>$B13 * IFERROR(VLOOKUP("electricity|PM25|Non-fatal heart attacks", US_national_yearly!$D:$AM, 30, FALSE) / VLOOKUP("electricity|PM25|Non-fatal heart attacks", US_national_yearly!$D:$AM, 10, FALSE), 1)</f>
        <v>5.8262373785551731E-3</v>
      </c>
      <c r="W13" s="7">
        <f>$B13 * IFERROR(VLOOKUP("electricity|PM25|Non-fatal heart attacks", US_national_yearly!$D:$AM, 31, FALSE) / VLOOKUP("electricity|PM25|Non-fatal heart attacks", US_national_yearly!$D:$AM, 10, FALSE), 1)</f>
        <v>5.859875485323243E-3</v>
      </c>
      <c r="X13" s="7">
        <f>$B13 * IFERROR(VLOOKUP("electricity|PM25|Non-fatal heart attacks", US_national_yearly!$D:$AM, 32, FALSE) / VLOOKUP("electricity|PM25|Non-fatal heart attacks", US_national_yearly!$D:$AM, 10, FALSE), 1)</f>
        <v>5.8861911072448057E-3</v>
      </c>
      <c r="Y13" s="7">
        <f>$B13 * IFERROR(VLOOKUP("electricity|PM25|Non-fatal heart attacks", US_national_yearly!$D:$AM, 33, FALSE) / VLOOKUP("electricity|PM25|Non-fatal heart attacks", US_national_yearly!$D:$AM, 10, FALSE), 1)</f>
        <v>5.9125067291663693E-3</v>
      </c>
      <c r="Z13" s="7">
        <f>$B13 * IFERROR(VLOOKUP("electricity|PM25|Non-fatal heart attacks", US_national_yearly!$D:$AM, 34, FALSE) / VLOOKUP("electricity|PM25|Non-fatal heart attacks", US_national_yearly!$D:$AM, 10, FALSE), 1)</f>
        <v>5.938822351087932E-3</v>
      </c>
      <c r="AA13" s="7">
        <f>$B13 * IFERROR(VLOOKUP("electricity|PM25|Non-fatal heart attacks", US_national_yearly!$D:$AM, 35, FALSE) / VLOOKUP("electricity|PM25|Non-fatal heart attacks", US_national_yearly!$D:$AM, 10, FALSE), 1)</f>
        <v>5.9651379730094965E-3</v>
      </c>
      <c r="AB13" s="7">
        <f>$B13 * IFERROR(VLOOKUP("electricity|PM25|Non-fatal heart attacks", US_national_yearly!$D:$AM, 36, FALSE) / VLOOKUP("electricity|PM25|Non-fatal heart attacks", US_national_yearly!$D:$AM, 10, FALSE), 1)</f>
        <v>5.9914535949310592E-3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3.8258935094128428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3.8343867358363477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3.8428799622598535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3.8513731886833584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3.8598664151068642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3.8724693789765352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3.8850723428462062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3.9073257452158261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3.9295791475854469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3.9518325499550668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3.9740859523246872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3.9963393546943071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4.0272112417495061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4.0580831288047055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4.0889550158599057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4.1198269029151051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4.1506987899703036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4.1818369627052574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4.2129751354402094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4.2441133081751623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4.2752514809101152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4.3063896536450681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4.3330815671502432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4.3597734806554183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4.3864653941605942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4.4131573076657684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4.4398492211709444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0.65002150299567008</v>
      </c>
      <c r="C15" s="7">
        <f>$B15 * IFERROR(VLOOKUP("electricity|PM25|Work loss days", US_national_yearly!$D:$AM, 11, FALSE) / VLOOKUP("electricity|PM25|Work loss days", US_national_yearly!$D:$AM, 10, FALSE), 1)</f>
        <v>0.65188157710090622</v>
      </c>
      <c r="D15" s="7">
        <f>$B15 * IFERROR(VLOOKUP("electricity|PM25|Work loss days", US_national_yearly!$D:$AM, 12, FALSE) / VLOOKUP("electricity|PM25|Work loss days", US_national_yearly!$D:$AM, 10, FALSE), 1)</f>
        <v>0.65374165120614247</v>
      </c>
      <c r="E15" s="7">
        <f>$B15 * IFERROR(VLOOKUP("electricity|PM25|Work loss days", US_national_yearly!$D:$AM, 13, FALSE) / VLOOKUP("electricity|PM25|Work loss days", US_national_yearly!$D:$AM, 10, FALSE), 1)</f>
        <v>0.65560172531137861</v>
      </c>
      <c r="F15" s="7">
        <f>$B15 * IFERROR(VLOOKUP("electricity|PM25|Work loss days", US_national_yearly!$D:$AM, 14, FALSE) / VLOOKUP("electricity|PM25|Work loss days", US_national_yearly!$D:$AM, 10, FALSE), 1)</f>
        <v>0.65746179941661476</v>
      </c>
      <c r="G15" s="7">
        <f>$B15 * IFERROR(VLOOKUP("electricity|PM25|Work loss days", US_national_yearly!$D:$AM, 15, FALSE) / VLOOKUP("electricity|PM25|Work loss days", US_national_yearly!$D:$AM, 10, FALSE), 1)</f>
        <v>0.65987142993333037</v>
      </c>
      <c r="H15" s="7">
        <f>$B15 * IFERROR(VLOOKUP("electricity|PM25|Work loss days", US_national_yearly!$D:$AM, 16, FALSE) / VLOOKUP("electricity|PM25|Work loss days", US_national_yearly!$D:$AM, 10, FALSE), 1)</f>
        <v>0.6622810604500462</v>
      </c>
      <c r="I15" s="7">
        <f>$B15 * IFERROR(VLOOKUP("electricity|PM25|Work loss days", US_national_yearly!$D:$AM, 17, FALSE) / VLOOKUP("electricity|PM25|Work loss days", US_national_yearly!$D:$AM, 10, FALSE), 1)</f>
        <v>0.66590352846553469</v>
      </c>
      <c r="J15" s="7">
        <f>$B15 * IFERROR(VLOOKUP("electricity|PM25|Work loss days", US_national_yearly!$D:$AM, 18, FALSE) / VLOOKUP("electricity|PM25|Work loss days", US_national_yearly!$D:$AM, 10, FALSE), 1)</f>
        <v>0.66952599648102307</v>
      </c>
      <c r="K15" s="7">
        <f>$B15 * IFERROR(VLOOKUP("electricity|PM25|Work loss days", US_national_yearly!$D:$AM, 19, FALSE) / VLOOKUP("electricity|PM25|Work loss days", US_national_yearly!$D:$AM, 10, FALSE), 1)</f>
        <v>0.67314846449651156</v>
      </c>
      <c r="L15" s="7">
        <f>$B15 * IFERROR(VLOOKUP("electricity|PM25|Work loss days", US_national_yearly!$D:$AM, 20, FALSE) / VLOOKUP("electricity|PM25|Work loss days", US_national_yearly!$D:$AM, 10, FALSE), 1)</f>
        <v>0.67677093251200005</v>
      </c>
      <c r="M15" s="7">
        <f>$B15 * IFERROR(VLOOKUP("electricity|PM25|Work loss days", US_national_yearly!$D:$AM, 21, FALSE) / VLOOKUP("electricity|PM25|Work loss days", US_national_yearly!$D:$AM, 10, FALSE), 1)</f>
        <v>0.68039340052748853</v>
      </c>
      <c r="N15" s="7">
        <f>$B15 * IFERROR(VLOOKUP("electricity|PM25|Work loss days", US_national_yearly!$D:$AM, 22, FALSE) / VLOOKUP("electricity|PM25|Work loss days", US_national_yearly!$D:$AM, 10, FALSE), 1)</f>
        <v>0.68507025821618228</v>
      </c>
      <c r="O15" s="7">
        <f>$B15 * IFERROR(VLOOKUP("electricity|PM25|Work loss days", US_national_yearly!$D:$AM, 23, FALSE) / VLOOKUP("electricity|PM25|Work loss days", US_national_yearly!$D:$AM, 10, FALSE), 1)</f>
        <v>0.68974711590487592</v>
      </c>
      <c r="P15" s="7">
        <f>$B15 * IFERROR(VLOOKUP("electricity|PM25|Work loss days", US_national_yearly!$D:$AM, 24, FALSE) / VLOOKUP("electricity|PM25|Work loss days", US_national_yearly!$D:$AM, 10, FALSE), 1)</f>
        <v>0.69442397359356944</v>
      </c>
      <c r="Q15" s="7">
        <f>$B15 * IFERROR(VLOOKUP("electricity|PM25|Work loss days", US_national_yearly!$D:$AM, 25, FALSE) / VLOOKUP("electricity|PM25|Work loss days", US_national_yearly!$D:$AM, 10, FALSE), 1)</f>
        <v>0.69910083128226297</v>
      </c>
      <c r="R15" s="7">
        <f>$B15 * IFERROR(VLOOKUP("electricity|PM25|Work loss days", US_national_yearly!$D:$AM, 26, FALSE) / VLOOKUP("electricity|PM25|Work loss days", US_national_yearly!$D:$AM, 10, FALSE), 1)</f>
        <v>0.70377768897095661</v>
      </c>
      <c r="S15" s="7">
        <f>$B15 * IFERROR(VLOOKUP("electricity|PM25|Work loss days", US_national_yearly!$D:$AM, 27, FALSE) / VLOOKUP("electricity|PM25|Work loss days", US_national_yearly!$D:$AM, 10, FALSE), 1)</f>
        <v>0.70896734953659757</v>
      </c>
      <c r="T15" s="7">
        <f>$B15 * IFERROR(VLOOKUP("electricity|PM25|Work loss days", US_national_yearly!$D:$AM, 28, FALSE) / VLOOKUP("electricity|PM25|Work loss days", US_national_yearly!$D:$AM, 10, FALSE), 1)</f>
        <v>0.71415701010223875</v>
      </c>
      <c r="U15" s="7">
        <f>$B15 * IFERROR(VLOOKUP("electricity|PM25|Work loss days", US_national_yearly!$D:$AM, 29, FALSE) / VLOOKUP("electricity|PM25|Work loss days", US_national_yearly!$D:$AM, 10, FALSE), 1)</f>
        <v>0.71934667066787983</v>
      </c>
      <c r="V15" s="7">
        <f>$B15 * IFERROR(VLOOKUP("electricity|PM25|Work loss days", US_national_yearly!$D:$AM, 30, FALSE) / VLOOKUP("electricity|PM25|Work loss days", US_national_yearly!$D:$AM, 10, FALSE), 1)</f>
        <v>0.7245363312335209</v>
      </c>
      <c r="W15" s="7">
        <f>$B15 * IFERROR(VLOOKUP("electricity|PM25|Work loss days", US_national_yearly!$D:$AM, 31, FALSE) / VLOOKUP("electricity|PM25|Work loss days", US_national_yearly!$D:$AM, 10, FALSE), 1)</f>
        <v>0.72972599179916198</v>
      </c>
      <c r="X15" s="7">
        <f>$B15 * IFERROR(VLOOKUP("electricity|PM25|Work loss days", US_national_yearly!$D:$AM, 32, FALSE) / VLOOKUP("electricity|PM25|Work loss days", US_national_yearly!$D:$AM, 10, FALSE), 1)</f>
        <v>0.7343041239659962</v>
      </c>
      <c r="Y15" s="7">
        <f>$B15 * IFERROR(VLOOKUP("electricity|PM25|Work loss days", US_national_yearly!$D:$AM, 33, FALSE) / VLOOKUP("electricity|PM25|Work loss days", US_national_yearly!$D:$AM, 10, FALSE), 1)</f>
        <v>0.7388822561328301</v>
      </c>
      <c r="Z15" s="7">
        <f>$B15 * IFERROR(VLOOKUP("electricity|PM25|Work loss days", US_national_yearly!$D:$AM, 34, FALSE) / VLOOKUP("electricity|PM25|Work loss days", US_national_yearly!$D:$AM, 10, FALSE), 1)</f>
        <v>0.74346038829966421</v>
      </c>
      <c r="AA15" s="7">
        <f>$B15 * IFERROR(VLOOKUP("electricity|PM25|Work loss days", US_national_yearly!$D:$AM, 35, FALSE) / VLOOKUP("electricity|PM25|Work loss days", US_national_yearly!$D:$AM, 10, FALSE), 1)</f>
        <v>0.74803852046649844</v>
      </c>
      <c r="AB15" s="7">
        <f>$B15 * IFERROR(VLOOKUP("electricity|PM25|Work loss days", US_national_yearly!$D:$AM, 36, FALSE) / VLOOKUP("electricity|PM25|Work loss days", US_national_yearly!$D:$AM, 10, FALSE), 1)</f>
        <v>0.75261665263333255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8.3883729013956238E-4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8.6372971052946581E-4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8.8862213091936914E-4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9.1351455130927258E-4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9.384069716991759E-4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9.6241567254733151E-4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9.8642437339548712E-4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1.0072226181840143E-3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1.0280208629725414E-3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1.0488191077610684E-3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1.0696173525495956E-3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1.0904155973381225E-3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1.104396654195161E-3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1.1183777110521994E-3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1.1323587679092375E-3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1.146339824766276E-3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1.1603208816233143E-3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1.1680370455648703E-3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1.175753209506426E-3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1.1834693734479819E-3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1.1911855373895378E-3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1.1989017013310935E-3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1.2042849151687721E-3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1.2096681290064502E-3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1.2150513428441287E-3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1.2204345566818073E-3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1.2258177705194858E-3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7.0107788309461041E-5</v>
      </c>
      <c r="C2" s="7">
        <f>$B2 * IFERROR(VLOOKUP("electricity|NOx|Premature mortality", US_national_yearly!$D:$AM, 11, FALSE) / VLOOKUP("electricity|NOx|Premature mortality", US_national_yearly!$D:$AM, 10, FALSE), 1)</f>
        <v>7.116856357441456E-5</v>
      </c>
      <c r="D2" s="7">
        <f>$B2 * IFERROR(VLOOKUP("electricity|NOx|Premature mortality", US_national_yearly!$D:$AM, 12, FALSE) / VLOOKUP("electricity|NOx|Premature mortality", US_national_yearly!$D:$AM, 10, FALSE), 1)</f>
        <v>7.2229338839368106E-5</v>
      </c>
      <c r="E2" s="7">
        <f>$B2 * IFERROR(VLOOKUP("electricity|NOx|Premature mortality", US_national_yearly!$D:$AM, 13, FALSE) / VLOOKUP("electricity|NOx|Premature mortality", US_national_yearly!$D:$AM, 10, FALSE), 1)</f>
        <v>7.3290114104321625E-5</v>
      </c>
      <c r="F2" s="7">
        <f>$B2 * IFERROR(VLOOKUP("electricity|NOx|Premature mortality", US_national_yearly!$D:$AM, 14, FALSE) / VLOOKUP("electricity|NOx|Premature mortality", US_national_yearly!$D:$AM, 10, FALSE), 1)</f>
        <v>7.4350889369275143E-5</v>
      </c>
      <c r="G2" s="7">
        <f>$B2 * IFERROR(VLOOKUP("electricity|NOx|Premature mortality", US_national_yearly!$D:$AM, 15, FALSE) / VLOOKUP("electricity|NOx|Premature mortality", US_national_yearly!$D:$AM, 10, FALSE), 1)</f>
        <v>7.6245824666928088E-5</v>
      </c>
      <c r="H2" s="7">
        <f>$B2 * IFERROR(VLOOKUP("electricity|NOx|Premature mortality", US_national_yearly!$D:$AM, 16, FALSE) / VLOOKUP("electricity|NOx|Premature mortality", US_national_yearly!$D:$AM, 10, FALSE), 1)</f>
        <v>7.8140759964581019E-5</v>
      </c>
      <c r="I2" s="7">
        <f>$B2 * IFERROR(VLOOKUP("electricity|NOx|Premature mortality", US_national_yearly!$D:$AM, 17, FALSE) / VLOOKUP("electricity|NOx|Premature mortality", US_national_yearly!$D:$AM, 10, FALSE), 1)</f>
        <v>7.9400022303964345E-5</v>
      </c>
      <c r="J2" s="7">
        <f>$B2 * IFERROR(VLOOKUP("electricity|NOx|Premature mortality", US_national_yearly!$D:$AM, 18, FALSE) / VLOOKUP("electricity|NOx|Premature mortality", US_national_yearly!$D:$AM, 10, FALSE), 1)</f>
        <v>8.0659284643347685E-5</v>
      </c>
      <c r="K2" s="7">
        <f>$B2 * IFERROR(VLOOKUP("electricity|NOx|Premature mortality", US_national_yearly!$D:$AM, 19, FALSE) / VLOOKUP("electricity|NOx|Premature mortality", US_national_yearly!$D:$AM, 10, FALSE), 1)</f>
        <v>8.1918546982731011E-5</v>
      </c>
      <c r="L2" s="7">
        <f>$B2 * IFERROR(VLOOKUP("electricity|NOx|Premature mortality", US_national_yearly!$D:$AM, 20, FALSE) / VLOOKUP("electricity|NOx|Premature mortality", US_national_yearly!$D:$AM, 10, FALSE), 1)</f>
        <v>8.3177809322114337E-5</v>
      </c>
      <c r="M2" s="7">
        <f>$B2 * IFERROR(VLOOKUP("electricity|NOx|Premature mortality", US_national_yearly!$D:$AM, 21, FALSE) / VLOOKUP("electricity|NOx|Premature mortality", US_national_yearly!$D:$AM, 10, FALSE), 1)</f>
        <v>8.4437071661497664E-5</v>
      </c>
      <c r="N2" s="7">
        <f>$B2 * IFERROR(VLOOKUP("electricity|NOx|Premature mortality", US_national_yearly!$D:$AM, 22, FALSE) / VLOOKUP("electricity|NOx|Premature mortality", US_national_yearly!$D:$AM, 10, FALSE), 1)</f>
        <v>8.5408738133211013E-5</v>
      </c>
      <c r="O2" s="7">
        <f>$B2 * IFERROR(VLOOKUP("electricity|NOx|Premature mortality", US_national_yearly!$D:$AM, 23, FALSE) / VLOOKUP("electricity|NOx|Premature mortality", US_national_yearly!$D:$AM, 10, FALSE), 1)</f>
        <v>8.6380404604924403E-5</v>
      </c>
      <c r="P2" s="7">
        <f>$B2 * IFERROR(VLOOKUP("electricity|NOx|Premature mortality", US_national_yearly!$D:$AM, 24, FALSE) / VLOOKUP("electricity|NOx|Premature mortality", US_national_yearly!$D:$AM, 10, FALSE), 1)</f>
        <v>8.7352071076637766E-5</v>
      </c>
      <c r="Q2" s="7">
        <f>$B2 * IFERROR(VLOOKUP("electricity|NOx|Premature mortality", US_national_yearly!$D:$AM, 25, FALSE) / VLOOKUP("electricity|NOx|Premature mortality", US_national_yearly!$D:$AM, 10, FALSE), 1)</f>
        <v>8.8323737548351143E-5</v>
      </c>
      <c r="R2" s="7">
        <f>$B2 * IFERROR(VLOOKUP("electricity|NOx|Premature mortality", US_national_yearly!$D:$AM, 26, FALSE) / VLOOKUP("electricity|NOx|Premature mortality", US_national_yearly!$D:$AM, 10, FALSE), 1)</f>
        <v>8.9295404020064506E-5</v>
      </c>
      <c r="S2" s="7">
        <f>$B2 * IFERROR(VLOOKUP("electricity|NOx|Premature mortality", US_national_yearly!$D:$AM, 27, FALSE) / VLOOKUP("electricity|NOx|Premature mortality", US_national_yearly!$D:$AM, 10, FALSE), 1)</f>
        <v>8.9797504770359335E-5</v>
      </c>
      <c r="T2" s="7">
        <f>$B2 * IFERROR(VLOOKUP("electricity|NOx|Premature mortality", US_national_yearly!$D:$AM, 28, FALSE) / VLOOKUP("electricity|NOx|Premature mortality", US_national_yearly!$D:$AM, 10, FALSE), 1)</f>
        <v>9.0299605520654163E-5</v>
      </c>
      <c r="U2" s="7">
        <f>$B2 * IFERROR(VLOOKUP("electricity|NOx|Premature mortality", US_national_yearly!$D:$AM, 29, FALSE) / VLOOKUP("electricity|NOx|Premature mortality", US_national_yearly!$D:$AM, 10, FALSE), 1)</f>
        <v>9.0801706270949033E-5</v>
      </c>
      <c r="V2" s="7">
        <f>$B2 * IFERROR(VLOOKUP("electricity|NOx|Premature mortality", US_national_yearly!$D:$AM, 30, FALSE) / VLOOKUP("electricity|NOx|Premature mortality", US_national_yearly!$D:$AM, 10, FALSE), 1)</f>
        <v>9.1303807021243861E-5</v>
      </c>
      <c r="W2" s="7">
        <f>$B2 * IFERROR(VLOOKUP("electricity|NOx|Premature mortality", US_national_yearly!$D:$AM, 31, FALSE) / VLOOKUP("electricity|NOx|Premature mortality", US_national_yearly!$D:$AM, 10, FALSE), 1)</f>
        <v>9.180590777153869E-5</v>
      </c>
      <c r="X2" s="7">
        <f>$B2 * IFERROR(VLOOKUP("electricity|NOx|Premature mortality", US_national_yearly!$D:$AM, 32, FALSE) / VLOOKUP("electricity|NOx|Premature mortality", US_national_yearly!$D:$AM, 10, FALSE), 1)</f>
        <v>9.1919498559646731E-5</v>
      </c>
      <c r="Y2" s="7">
        <f>$B2 * IFERROR(VLOOKUP("electricity|NOx|Premature mortality", US_national_yearly!$D:$AM, 33, FALSE) / VLOOKUP("electricity|NOx|Premature mortality", US_national_yearly!$D:$AM, 10, FALSE), 1)</f>
        <v>9.2033089347754758E-5</v>
      </c>
      <c r="Z2" s="7">
        <f>$B2 * IFERROR(VLOOKUP("electricity|NOx|Premature mortality", US_national_yearly!$D:$AM, 34, FALSE) / VLOOKUP("electricity|NOx|Premature mortality", US_national_yearly!$D:$AM, 10, FALSE), 1)</f>
        <v>9.2146680135862799E-5</v>
      </c>
      <c r="AA2" s="7">
        <f>$B2 * IFERROR(VLOOKUP("electricity|NOx|Premature mortality", US_national_yearly!$D:$AM, 35, FALSE) / VLOOKUP("electricity|NOx|Premature mortality", US_national_yearly!$D:$AM, 10, FALSE), 1)</f>
        <v>9.2260270923970826E-5</v>
      </c>
      <c r="AB2" s="7">
        <f>$B2 * IFERROR(VLOOKUP("electricity|NOx|Premature mortality", US_national_yearly!$D:$AM, 36, FALSE) / VLOOKUP("electricity|NOx|Premature mortality", US_national_yearly!$D:$AM, 10, FALSE), 1)</f>
        <v>9.2373861712078854E-5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1.4819551388446703E-7</v>
      </c>
      <c r="C3" s="7">
        <f>$B3 * IFERROR(VLOOKUP("electricity|NOx|Infant mortality", US_national_yearly!$D:$AM, 11, FALSE) / VLOOKUP("electricity|NOx|Infant mortality", US_national_yearly!$D:$AM, 10, FALSE), 1)</f>
        <v>1.4680906018034804E-7</v>
      </c>
      <c r="D3" s="7">
        <f>$B3 * IFERROR(VLOOKUP("electricity|NOx|Infant mortality", US_national_yearly!$D:$AM, 12, FALSE) / VLOOKUP("electricity|NOx|Infant mortality", US_national_yearly!$D:$AM, 10, FALSE), 1)</f>
        <v>1.4542260647622905E-7</v>
      </c>
      <c r="E3" s="7">
        <f>$B3 * IFERROR(VLOOKUP("electricity|NOx|Infant mortality", US_national_yearly!$D:$AM, 13, FALSE) / VLOOKUP("electricity|NOx|Infant mortality", US_national_yearly!$D:$AM, 10, FALSE), 1)</f>
        <v>1.4403615277211005E-7</v>
      </c>
      <c r="F3" s="7">
        <f>$B3 * IFERROR(VLOOKUP("electricity|NOx|Infant mortality", US_national_yearly!$D:$AM, 14, FALSE) / VLOOKUP("electricity|NOx|Infant mortality", US_national_yearly!$D:$AM, 10, FALSE), 1)</f>
        <v>1.4264969906799103E-7</v>
      </c>
      <c r="G3" s="7">
        <f>$B3 * IFERROR(VLOOKUP("electricity|NOx|Infant mortality", US_national_yearly!$D:$AM, 15, FALSE) / VLOOKUP("electricity|NOx|Infant mortality", US_national_yearly!$D:$AM, 10, FALSE), 1)</f>
        <v>9.4512493014261885E-8</v>
      </c>
      <c r="H3" s="7">
        <f>$B3 * IFERROR(VLOOKUP("electricity|NOx|Infant mortality", US_national_yearly!$D:$AM, 16, FALSE) / VLOOKUP("electricity|NOx|Infant mortality", US_national_yearly!$D:$AM, 10, FALSE), 1)</f>
        <v>4.6375286960532737E-8</v>
      </c>
      <c r="I3" s="7">
        <f>$B3 * IFERROR(VLOOKUP("electricity|NOx|Infant mortality", US_national_yearly!$D:$AM, 17, FALSE) / VLOOKUP("electricity|NOx|Infant mortality", US_national_yearly!$D:$AM, 10, FALSE), 1)</f>
        <v>4.603802053160041E-8</v>
      </c>
      <c r="J3" s="7">
        <f>$B3 * IFERROR(VLOOKUP("electricity|NOx|Infant mortality", US_national_yearly!$D:$AM, 18, FALSE) / VLOOKUP("electricity|NOx|Infant mortality", US_national_yearly!$D:$AM, 10, FALSE), 1)</f>
        <v>4.5700754102668084E-8</v>
      </c>
      <c r="K3" s="7">
        <f>$B3 * IFERROR(VLOOKUP("electricity|NOx|Infant mortality", US_national_yearly!$D:$AM, 19, FALSE) / VLOOKUP("electricity|NOx|Infant mortality", US_national_yearly!$D:$AM, 10, FALSE), 1)</f>
        <v>4.5363487673735757E-8</v>
      </c>
      <c r="L3" s="7">
        <f>$B3 * IFERROR(VLOOKUP("electricity|NOx|Infant mortality", US_national_yearly!$D:$AM, 20, FALSE) / VLOOKUP("electricity|NOx|Infant mortality", US_national_yearly!$D:$AM, 10, FALSE), 1)</f>
        <v>4.5026221244803431E-8</v>
      </c>
      <c r="M3" s="7">
        <f>$B3 * IFERROR(VLOOKUP("electricity|NOx|Infant mortality", US_national_yearly!$D:$AM, 21, FALSE) / VLOOKUP("electricity|NOx|Infant mortality", US_national_yearly!$D:$AM, 10, FALSE), 1)</f>
        <v>4.4688954815871097E-8</v>
      </c>
      <c r="N3" s="7">
        <f>$B3 * IFERROR(VLOOKUP("electricity|NOx|Infant mortality", US_national_yearly!$D:$AM, 22, FALSE) / VLOOKUP("electricity|NOx|Infant mortality", US_national_yearly!$D:$AM, 10, FALSE), 1)</f>
        <v>4.4462477986120152E-8</v>
      </c>
      <c r="O3" s="7">
        <f>$B3 * IFERROR(VLOOKUP("electricity|NOx|Infant mortality", US_national_yearly!$D:$AM, 23, FALSE) / VLOOKUP("electricity|NOx|Infant mortality", US_national_yearly!$D:$AM, 10, FALSE), 1)</f>
        <v>4.4236001156369194E-8</v>
      </c>
      <c r="P3" s="7">
        <f>$B3 * IFERROR(VLOOKUP("electricity|NOx|Infant mortality", US_national_yearly!$D:$AM, 24, FALSE) / VLOOKUP("electricity|NOx|Infant mortality", US_national_yearly!$D:$AM, 10, FALSE), 1)</f>
        <v>4.4009524326618236E-8</v>
      </c>
      <c r="Q3" s="7">
        <f>$B3 * IFERROR(VLOOKUP("electricity|NOx|Infant mortality", US_national_yearly!$D:$AM, 25, FALSE) / VLOOKUP("electricity|NOx|Infant mortality", US_national_yearly!$D:$AM, 10, FALSE), 1)</f>
        <v>4.3783047496867284E-8</v>
      </c>
      <c r="R3" s="7">
        <f>$B3 * IFERROR(VLOOKUP("electricity|NOx|Infant mortality", US_national_yearly!$D:$AM, 26, FALSE) / VLOOKUP("electricity|NOx|Infant mortality", US_national_yearly!$D:$AM, 10, FALSE), 1)</f>
        <v>4.3556570667116333E-8</v>
      </c>
      <c r="S3" s="7">
        <f>$B3 * IFERROR(VLOOKUP("electricity|NOx|Infant mortality", US_national_yearly!$D:$AM, 27, FALSE) / VLOOKUP("electricity|NOx|Infant mortality", US_national_yearly!$D:$AM, 10, FALSE), 1)</f>
        <v>4.3287703230514006E-8</v>
      </c>
      <c r="T3" s="7">
        <f>$B3 * IFERROR(VLOOKUP("electricity|NOx|Infant mortality", US_national_yearly!$D:$AM, 28, FALSE) / VLOOKUP("electricity|NOx|Infant mortality", US_national_yearly!$D:$AM, 10, FALSE), 1)</f>
        <v>4.3018835793911673E-8</v>
      </c>
      <c r="U3" s="7">
        <f>$B3 * IFERROR(VLOOKUP("electricity|NOx|Infant mortality", US_national_yearly!$D:$AM, 29, FALSE) / VLOOKUP("electricity|NOx|Infant mortality", US_national_yearly!$D:$AM, 10, FALSE), 1)</f>
        <v>4.2749968357309346E-8</v>
      </c>
      <c r="V3" s="7">
        <f>$B3 * IFERROR(VLOOKUP("electricity|NOx|Infant mortality", US_national_yearly!$D:$AM, 30, FALSE) / VLOOKUP("electricity|NOx|Infant mortality", US_national_yearly!$D:$AM, 10, FALSE), 1)</f>
        <v>4.2481100920707026E-8</v>
      </c>
      <c r="W3" s="7">
        <f>$B3 * IFERROR(VLOOKUP("electricity|NOx|Infant mortality", US_national_yearly!$D:$AM, 31, FALSE) / VLOOKUP("electricity|NOx|Infant mortality", US_national_yearly!$D:$AM, 10, FALSE), 1)</f>
        <v>4.2212233484104693E-8</v>
      </c>
      <c r="X3" s="7">
        <f>$B3 * IFERROR(VLOOKUP("electricity|NOx|Infant mortality", US_national_yearly!$D:$AM, 32, FALSE) / VLOOKUP("electricity|NOx|Infant mortality", US_national_yearly!$D:$AM, 10, FALSE), 1)</f>
        <v>4.1935387575137713E-8</v>
      </c>
      <c r="Y3" s="7">
        <f>$B3 * IFERROR(VLOOKUP("electricity|NOx|Infant mortality", US_national_yearly!$D:$AM, 33, FALSE) / VLOOKUP("electricity|NOx|Infant mortality", US_national_yearly!$D:$AM, 10, FALSE), 1)</f>
        <v>4.1658541666170725E-8</v>
      </c>
      <c r="Z3" s="7">
        <f>$B3 * IFERROR(VLOOKUP("electricity|NOx|Infant mortality", US_national_yearly!$D:$AM, 34, FALSE) / VLOOKUP("electricity|NOx|Infant mortality", US_national_yearly!$D:$AM, 10, FALSE), 1)</f>
        <v>4.1381695757203745E-8</v>
      </c>
      <c r="AA3" s="7">
        <f>$B3 * IFERROR(VLOOKUP("electricity|NOx|Infant mortality", US_national_yearly!$D:$AM, 35, FALSE) / VLOOKUP("electricity|NOx|Infant mortality", US_national_yearly!$D:$AM, 10, FALSE), 1)</f>
        <v>4.1104849848236758E-8</v>
      </c>
      <c r="AB3" s="7">
        <f>$B3 * IFERROR(VLOOKUP("electricity|NOx|Infant mortality", US_national_yearly!$D:$AM, 36, FALSE) / VLOOKUP("electricity|NOx|Infant mortality", US_national_yearly!$D:$AM, 10, FALSE), 1)</f>
        <v>4.0828003939269764E-8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1.9898624434422824E-4</v>
      </c>
      <c r="C6" s="7">
        <f>$B6 * IFERROR(VLOOKUP("electricity|NOx|Asthma symptoms cough", US_national_yearly!$D:$AM, 11, FALSE) / VLOOKUP("electricity|NOx|Asthma symptoms cough", US_national_yearly!$D:$AM, 10, FALSE), 1)</f>
        <v>2.0171807295479616E-4</v>
      </c>
      <c r="D6" s="7">
        <f>$B6 * IFERROR(VLOOKUP("electricity|NOx|Asthma symptoms cough", US_national_yearly!$D:$AM, 12, FALSE) / VLOOKUP("electricity|NOx|Asthma symptoms cough", US_national_yearly!$D:$AM, 10, FALSE), 1)</f>
        <v>2.0444990156536411E-4</v>
      </c>
      <c r="E6" s="7">
        <f>$B6 * IFERROR(VLOOKUP("electricity|NOx|Asthma symptoms cough", US_national_yearly!$D:$AM, 13, FALSE) / VLOOKUP("electricity|NOx|Asthma symptoms cough", US_national_yearly!$D:$AM, 10, FALSE), 1)</f>
        <v>2.07181730175932E-4</v>
      </c>
      <c r="F6" s="7">
        <f>$B6 * IFERROR(VLOOKUP("electricity|NOx|Asthma symptoms cough", US_national_yearly!$D:$AM, 14, FALSE) / VLOOKUP("electricity|NOx|Asthma symptoms cough", US_national_yearly!$D:$AM, 10, FALSE), 1)</f>
        <v>2.0991355878649992E-4</v>
      </c>
      <c r="G6" s="7">
        <f>$B6 * IFERROR(VLOOKUP("electricity|NOx|Asthma symptoms cough", US_national_yearly!$D:$AM, 15, FALSE) / VLOOKUP("electricity|NOx|Asthma symptoms cough", US_national_yearly!$D:$AM, 10, FALSE), 1)</f>
        <v>2.1213468029456539E-4</v>
      </c>
      <c r="H6" s="7">
        <f>$B6 * IFERROR(VLOOKUP("electricity|NOx|Asthma symptoms cough", US_national_yearly!$D:$AM, 16, FALSE) / VLOOKUP("electricity|NOx|Asthma symptoms cough", US_national_yearly!$D:$AM, 10, FALSE), 1)</f>
        <v>2.1435580180263089E-4</v>
      </c>
      <c r="I6" s="7">
        <f>$B6 * IFERROR(VLOOKUP("electricity|NOx|Asthma symptoms cough", US_national_yearly!$D:$AM, 17, FALSE) / VLOOKUP("electricity|NOx|Asthma symptoms cough", US_national_yearly!$D:$AM, 10, FALSE), 1)</f>
        <v>2.1518147716417566E-4</v>
      </c>
      <c r="J6" s="7">
        <f>$B6 * IFERROR(VLOOKUP("electricity|NOx|Asthma symptoms cough", US_national_yearly!$D:$AM, 18, FALSE) / VLOOKUP("electricity|NOx|Asthma symptoms cough", US_national_yearly!$D:$AM, 10, FALSE), 1)</f>
        <v>2.1600715252572043E-4</v>
      </c>
      <c r="K6" s="7">
        <f>$B6 * IFERROR(VLOOKUP("electricity|NOx|Asthma symptoms cough", US_national_yearly!$D:$AM, 19, FALSE) / VLOOKUP("electricity|NOx|Asthma symptoms cough", US_national_yearly!$D:$AM, 10, FALSE), 1)</f>
        <v>2.1683282788726525E-4</v>
      </c>
      <c r="L6" s="7">
        <f>$B6 * IFERROR(VLOOKUP("electricity|NOx|Asthma symptoms cough", US_national_yearly!$D:$AM, 20, FALSE) / VLOOKUP("electricity|NOx|Asthma symptoms cough", US_national_yearly!$D:$AM, 10, FALSE), 1)</f>
        <v>2.1765850324881005E-4</v>
      </c>
      <c r="M6" s="7">
        <f>$B6 * IFERROR(VLOOKUP("electricity|NOx|Asthma symptoms cough", US_national_yearly!$D:$AM, 21, FALSE) / VLOOKUP("electricity|NOx|Asthma symptoms cough", US_national_yearly!$D:$AM, 10, FALSE), 1)</f>
        <v>2.1848417861035488E-4</v>
      </c>
      <c r="N6" s="7">
        <f>$B6 * IFERROR(VLOOKUP("electricity|NOx|Asthma symptoms cough", US_national_yearly!$D:$AM, 22, FALSE) / VLOOKUP("electricity|NOx|Asthma symptoms cough", US_national_yearly!$D:$AM, 10, FALSE), 1)</f>
        <v>2.1939902003346166E-4</v>
      </c>
      <c r="O6" s="7">
        <f>$B6 * IFERROR(VLOOKUP("electricity|NOx|Asthma symptoms cough", US_national_yearly!$D:$AM, 23, FALSE) / VLOOKUP("electricity|NOx|Asthma symptoms cough", US_national_yearly!$D:$AM, 10, FALSE), 1)</f>
        <v>2.2031386145656846E-4</v>
      </c>
      <c r="P6" s="7">
        <f>$B6 * IFERROR(VLOOKUP("electricity|NOx|Asthma symptoms cough", US_national_yearly!$D:$AM, 24, FALSE) / VLOOKUP("electricity|NOx|Asthma symptoms cough", US_national_yearly!$D:$AM, 10, FALSE), 1)</f>
        <v>2.2122870287967524E-4</v>
      </c>
      <c r="Q6" s="7">
        <f>$B6 * IFERROR(VLOOKUP("electricity|NOx|Asthma symptoms cough", US_national_yearly!$D:$AM, 25, FALSE) / VLOOKUP("electricity|NOx|Asthma symptoms cough", US_national_yearly!$D:$AM, 10, FALSE), 1)</f>
        <v>2.2214354430278205E-4</v>
      </c>
      <c r="R6" s="7">
        <f>$B6 * IFERROR(VLOOKUP("electricity|NOx|Asthma symptoms cough", US_national_yearly!$D:$AM, 26, FALSE) / VLOOKUP("electricity|NOx|Asthma symptoms cough", US_national_yearly!$D:$AM, 10, FALSE), 1)</f>
        <v>2.2305838572588883E-4</v>
      </c>
      <c r="S6" s="7">
        <f>$B6 * IFERROR(VLOOKUP("electricity|NOx|Asthma symptoms cough", US_national_yearly!$D:$AM, 27, FALSE) / VLOOKUP("electricity|NOx|Asthma symptoms cough", US_national_yearly!$D:$AM, 10, FALSE), 1)</f>
        <v>2.2419973464703967E-4</v>
      </c>
      <c r="T6" s="7">
        <f>$B6 * IFERROR(VLOOKUP("electricity|NOx|Asthma symptoms cough", US_national_yearly!$D:$AM, 28, FALSE) / VLOOKUP("electricity|NOx|Asthma symptoms cough", US_national_yearly!$D:$AM, 10, FALSE), 1)</f>
        <v>2.2534108356819045E-4</v>
      </c>
      <c r="U6" s="7">
        <f>$B6 * IFERROR(VLOOKUP("electricity|NOx|Asthma symptoms cough", US_national_yearly!$D:$AM, 29, FALSE) / VLOOKUP("electricity|NOx|Asthma symptoms cough", US_national_yearly!$D:$AM, 10, FALSE), 1)</f>
        <v>2.2648243248934131E-4</v>
      </c>
      <c r="V6" s="7">
        <f>$B6 * IFERROR(VLOOKUP("electricity|NOx|Asthma symptoms cough", US_national_yearly!$D:$AM, 30, FALSE) / VLOOKUP("electricity|NOx|Asthma symptoms cough", US_national_yearly!$D:$AM, 10, FALSE), 1)</f>
        <v>2.2762378141049212E-4</v>
      </c>
      <c r="W6" s="7">
        <f>$B6 * IFERROR(VLOOKUP("electricity|NOx|Asthma symptoms cough", US_national_yearly!$D:$AM, 31, FALSE) / VLOOKUP("electricity|NOx|Asthma symptoms cough", US_national_yearly!$D:$AM, 10, FALSE), 1)</f>
        <v>2.2876513033164293E-4</v>
      </c>
      <c r="X6" s="7">
        <f>$B6 * IFERROR(VLOOKUP("electricity|NOx|Asthma symptoms cough", US_national_yearly!$D:$AM, 32, FALSE) / VLOOKUP("electricity|NOx|Asthma symptoms cough", US_national_yearly!$D:$AM, 10, FALSE), 1)</f>
        <v>2.2981666271140264E-4</v>
      </c>
      <c r="Y6" s="7">
        <f>$B6 * IFERROR(VLOOKUP("electricity|NOx|Asthma symptoms cough", US_national_yearly!$D:$AM, 33, FALSE) / VLOOKUP("electricity|NOx|Asthma symptoms cough", US_national_yearly!$D:$AM, 10, FALSE), 1)</f>
        <v>2.3086819509116239E-4</v>
      </c>
      <c r="Z6" s="7">
        <f>$B6 * IFERROR(VLOOKUP("electricity|NOx|Asthma symptoms cough", US_national_yearly!$D:$AM, 34, FALSE) / VLOOKUP("electricity|NOx|Asthma symptoms cough", US_national_yearly!$D:$AM, 10, FALSE), 1)</f>
        <v>2.3191972747092212E-4</v>
      </c>
      <c r="AA6" s="7">
        <f>$B6 * IFERROR(VLOOKUP("electricity|NOx|Asthma symptoms cough", US_national_yearly!$D:$AM, 35, FALSE) / VLOOKUP("electricity|NOx|Asthma symptoms cough", US_national_yearly!$D:$AM, 10, FALSE), 1)</f>
        <v>2.3297125985068183E-4</v>
      </c>
      <c r="AB6" s="7">
        <f>$B6 * IFERROR(VLOOKUP("electricity|NOx|Asthma symptoms cough", US_national_yearly!$D:$AM, 36, FALSE) / VLOOKUP("electricity|NOx|Asthma symptoms cough", US_national_yearly!$D:$AM, 10, FALSE), 1)</f>
        <v>2.3402279223044158E-4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2.6796419799918826E-4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2.7164300636983214E-4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2.7532181474047607E-4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2.7900062311112E-4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2.8267943148176387E-4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2.8567049774195043E-4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2.8866156400213694E-4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2.8977345711155787E-4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2.9088535022097869E-4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2.9199724333039956E-4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2.9310913643982038E-4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2.9422102954924126E-4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2.9545299785523776E-4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2.9668496616123432E-4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2.9791693446723082E-4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2.9914890277322732E-4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3.0038087107922383E-4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3.0191786499427609E-4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3.034548589093283E-4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3.0499185282438062E-4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3.0652884673943283E-4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3.080658406544851E-4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3.0948188340727264E-4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3.1089792616006024E-4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3.1231396891284778E-4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3.1373001166563533E-4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3.1514605441842293E-4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4.0940264192814964E-4</v>
      </c>
      <c r="C8" s="7">
        <f>$B8 * IFERROR(VLOOKUP("electricity|NOx|Asthma symptoms wheeze", US_national_yearly!$D:$AM, 11, FALSE) / VLOOKUP("electricity|NOx|Asthma symptoms wheeze", US_national_yearly!$D:$AM, 10, FALSE), 1)</f>
        <v>4.1502322064632661E-4</v>
      </c>
      <c r="D8" s="7">
        <f>$B8 * IFERROR(VLOOKUP("electricity|NOx|Asthma symptoms wheeze", US_national_yearly!$D:$AM, 12, FALSE) / VLOOKUP("electricity|NOx|Asthma symptoms wheeze", US_national_yearly!$D:$AM, 10, FALSE), 1)</f>
        <v>4.2064379936450363E-4</v>
      </c>
      <c r="E8" s="7">
        <f>$B8 * IFERROR(VLOOKUP("electricity|NOx|Asthma symptoms wheeze", US_national_yearly!$D:$AM, 13, FALSE) / VLOOKUP("electricity|NOx|Asthma symptoms wheeze", US_national_yearly!$D:$AM, 10, FALSE), 1)</f>
        <v>4.262643780826806E-4</v>
      </c>
      <c r="F8" s="7">
        <f>$B8 * IFERROR(VLOOKUP("electricity|NOx|Asthma symptoms wheeze", US_national_yearly!$D:$AM, 14, FALSE) / VLOOKUP("electricity|NOx|Asthma symptoms wheeze", US_national_yearly!$D:$AM, 10, FALSE), 1)</f>
        <v>4.3188495680085767E-4</v>
      </c>
      <c r="G8" s="7">
        <f>$B8 * IFERROR(VLOOKUP("electricity|NOx|Asthma symptoms wheeze", US_national_yearly!$D:$AM, 15, FALSE) / VLOOKUP("electricity|NOx|Asthma symptoms wheeze", US_national_yearly!$D:$AM, 10, FALSE), 1)</f>
        <v>4.3645478531339788E-4</v>
      </c>
      <c r="H8" s="7">
        <f>$B8 * IFERROR(VLOOKUP("electricity|NOx|Asthma symptoms wheeze", US_national_yearly!$D:$AM, 16, FALSE) / VLOOKUP("electricity|NOx|Asthma symptoms wheeze", US_national_yearly!$D:$AM, 10, FALSE), 1)</f>
        <v>4.4102461382593814E-4</v>
      </c>
      <c r="I8" s="7">
        <f>$B8 * IFERROR(VLOOKUP("electricity|NOx|Asthma symptoms wheeze", US_national_yearly!$D:$AM, 17, FALSE) / VLOOKUP("electricity|NOx|Asthma symptoms wheeze", US_national_yearly!$D:$AM, 10, FALSE), 1)</f>
        <v>4.4272339292938273E-4</v>
      </c>
      <c r="J8" s="7">
        <f>$B8 * IFERROR(VLOOKUP("electricity|NOx|Asthma symptoms wheeze", US_national_yearly!$D:$AM, 18, FALSE) / VLOOKUP("electricity|NOx|Asthma symptoms wheeze", US_national_yearly!$D:$AM, 10, FALSE), 1)</f>
        <v>4.4442217203282726E-4</v>
      </c>
      <c r="K8" s="7">
        <f>$B8 * IFERROR(VLOOKUP("electricity|NOx|Asthma symptoms wheeze", US_national_yearly!$D:$AM, 19, FALSE) / VLOOKUP("electricity|NOx|Asthma symptoms wheeze", US_national_yearly!$D:$AM, 10, FALSE), 1)</f>
        <v>4.4612095113627195E-4</v>
      </c>
      <c r="L8" s="7">
        <f>$B8 * IFERROR(VLOOKUP("electricity|NOx|Asthma symptoms wheeze", US_national_yearly!$D:$AM, 20, FALSE) / VLOOKUP("electricity|NOx|Asthma symptoms wheeze", US_national_yearly!$D:$AM, 10, FALSE), 1)</f>
        <v>4.4781973023971648E-4</v>
      </c>
      <c r="M8" s="7">
        <f>$B8 * IFERROR(VLOOKUP("electricity|NOx|Asthma symptoms wheeze", US_national_yearly!$D:$AM, 21, FALSE) / VLOOKUP("electricity|NOx|Asthma symptoms wheeze", US_national_yearly!$D:$AM, 10, FALSE), 1)</f>
        <v>4.4951850934316101E-4</v>
      </c>
      <c r="N8" s="7">
        <f>$B8 * IFERROR(VLOOKUP("electricity|NOx|Asthma symptoms wheeze", US_national_yearly!$D:$AM, 22, FALSE) / VLOOKUP("electricity|NOx|Asthma symptoms wheeze", US_national_yearly!$D:$AM, 10, FALSE), 1)</f>
        <v>4.514007424399644E-4</v>
      </c>
      <c r="O8" s="7">
        <f>$B8 * IFERROR(VLOOKUP("electricity|NOx|Asthma symptoms wheeze", US_national_yearly!$D:$AM, 23, FALSE) / VLOOKUP("electricity|NOx|Asthma symptoms wheeze", US_national_yearly!$D:$AM, 10, FALSE), 1)</f>
        <v>4.532829755367679E-4</v>
      </c>
      <c r="P8" s="7">
        <f>$B8 * IFERROR(VLOOKUP("electricity|NOx|Asthma symptoms wheeze", US_national_yearly!$D:$AM, 24, FALSE) / VLOOKUP("electricity|NOx|Asthma symptoms wheeze", US_national_yearly!$D:$AM, 10, FALSE), 1)</f>
        <v>4.5516520863357141E-4</v>
      </c>
      <c r="Q8" s="7">
        <f>$B8 * IFERROR(VLOOKUP("electricity|NOx|Asthma symptoms wheeze", US_national_yearly!$D:$AM, 25, FALSE) / VLOOKUP("electricity|NOx|Asthma symptoms wheeze", US_national_yearly!$D:$AM, 10, FALSE), 1)</f>
        <v>4.570474417303748E-4</v>
      </c>
      <c r="R8" s="7">
        <f>$B8 * IFERROR(VLOOKUP("electricity|NOx|Asthma symptoms wheeze", US_national_yearly!$D:$AM, 26, FALSE) / VLOOKUP("electricity|NOx|Asthma symptoms wheeze", US_national_yearly!$D:$AM, 10, FALSE), 1)</f>
        <v>4.5892967482717814E-4</v>
      </c>
      <c r="S8" s="7">
        <f>$B8 * IFERROR(VLOOKUP("electricity|NOx|Asthma symptoms wheeze", US_national_yearly!$D:$AM, 27, FALSE) / VLOOKUP("electricity|NOx|Asthma symptoms wheeze", US_national_yearly!$D:$AM, 10, FALSE), 1)</f>
        <v>4.612779339470265E-4</v>
      </c>
      <c r="T8" s="7">
        <f>$B8 * IFERROR(VLOOKUP("electricity|NOx|Asthma symptoms wheeze", US_national_yearly!$D:$AM, 28, FALSE) / VLOOKUP("electricity|NOx|Asthma symptoms wheeze", US_national_yearly!$D:$AM, 10, FALSE), 1)</f>
        <v>4.6362619306687479E-4</v>
      </c>
      <c r="U8" s="7">
        <f>$B8 * IFERROR(VLOOKUP("electricity|NOx|Asthma symptoms wheeze", US_national_yearly!$D:$AM, 29, FALSE) / VLOOKUP("electricity|NOx|Asthma symptoms wheeze", US_national_yearly!$D:$AM, 10, FALSE), 1)</f>
        <v>4.6597445218672298E-4</v>
      </c>
      <c r="V8" s="7">
        <f>$B8 * IFERROR(VLOOKUP("electricity|NOx|Asthma symptoms wheeze", US_national_yearly!$D:$AM, 30, FALSE) / VLOOKUP("electricity|NOx|Asthma symptoms wheeze", US_national_yearly!$D:$AM, 10, FALSE), 1)</f>
        <v>4.6832271130657128E-4</v>
      </c>
      <c r="W8" s="7">
        <f>$B8 * IFERROR(VLOOKUP("electricity|NOx|Asthma symptoms wheeze", US_national_yearly!$D:$AM, 31, FALSE) / VLOOKUP("electricity|NOx|Asthma symptoms wheeze", US_national_yearly!$D:$AM, 10, FALSE), 1)</f>
        <v>4.7067097042641958E-4</v>
      </c>
      <c r="X8" s="7">
        <f>$B8 * IFERROR(VLOOKUP("electricity|NOx|Asthma symptoms wheeze", US_national_yearly!$D:$AM, 32, FALSE) / VLOOKUP("electricity|NOx|Asthma symptoms wheeze", US_national_yearly!$D:$AM, 10, FALSE), 1)</f>
        <v>4.72834437228217E-4</v>
      </c>
      <c r="Y8" s="7">
        <f>$B8 * IFERROR(VLOOKUP("electricity|NOx|Asthma symptoms wheeze", US_national_yearly!$D:$AM, 33, FALSE) / VLOOKUP("electricity|NOx|Asthma symptoms wheeze", US_national_yearly!$D:$AM, 10, FALSE), 1)</f>
        <v>4.7499790403001448E-4</v>
      </c>
      <c r="Z8" s="7">
        <f>$B8 * IFERROR(VLOOKUP("electricity|NOx|Asthma symptoms wheeze", US_national_yearly!$D:$AM, 34, FALSE) / VLOOKUP("electricity|NOx|Asthma symptoms wheeze", US_national_yearly!$D:$AM, 10, FALSE), 1)</f>
        <v>4.771613708318118E-4</v>
      </c>
      <c r="AA8" s="7">
        <f>$B8 * IFERROR(VLOOKUP("electricity|NOx|Asthma symptoms wheeze", US_national_yearly!$D:$AM, 35, FALSE) / VLOOKUP("electricity|NOx|Asthma symptoms wheeze", US_national_yearly!$D:$AM, 10, FALSE), 1)</f>
        <v>4.7932483763360928E-4</v>
      </c>
      <c r="AB8" s="7">
        <f>$B8 * IFERROR(VLOOKUP("electricity|NOx|Asthma symptoms wheeze", US_national_yearly!$D:$AM, 36, FALSE) / VLOOKUP("electricity|NOx|Asthma symptoms wheeze", US_national_yearly!$D:$AM, 10, FALSE), 1)</f>
        <v>4.814883044354067E-4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3.7948177918901379E-6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3.8920094137861748E-6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3.9892010356822125E-6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4.0863926575782494E-6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4.1835842794742854E-6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4.2771462107478333E-6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4.3707081420213821E-6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4.4511637057281601E-6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4.531619269434939E-6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4.6120748331417187E-6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4.6925303968484967E-6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4.7729859605552764E-6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4.8281231686514198E-6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4.8832603767475631E-6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4.9383975848437064E-6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4.9935347929398497E-6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5.048672001035993E-6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5.0800744000996104E-6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5.1114767991632295E-6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5.1428791982268461E-6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5.1742815972904643E-6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5.2056839963540826E-6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5.2285243929107251E-6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5.251364789467366E-6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5.2742051860240094E-6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5.2970455825806519E-6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5.3198859791372936E-6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2.7025291793366101E-5</v>
      </c>
      <c r="C13" s="7">
        <f>$B13 * IFERROR(VLOOKUP("electricity|NOx|Non-fatal heart attacks", US_national_yearly!$D:$AM, 11, FALSE) / VLOOKUP("electricity|NOx|Non-fatal heart attacks", US_national_yearly!$D:$AM, 10, FALSE), 1)</f>
        <v>2.7800843214522594E-5</v>
      </c>
      <c r="D13" s="7">
        <f>$B13 * IFERROR(VLOOKUP("electricity|NOx|Non-fatal heart attacks", US_national_yearly!$D:$AM, 12, FALSE) / VLOOKUP("electricity|NOx|Non-fatal heart attacks", US_national_yearly!$D:$AM, 10, FALSE), 1)</f>
        <v>2.8576394635679084E-5</v>
      </c>
      <c r="E13" s="7">
        <f>$B13 * IFERROR(VLOOKUP("electricity|NOx|Non-fatal heart attacks", US_national_yearly!$D:$AM, 13, FALSE) / VLOOKUP("electricity|NOx|Non-fatal heart attacks", US_national_yearly!$D:$AM, 10, FALSE), 1)</f>
        <v>2.9351946056835577E-5</v>
      </c>
      <c r="F13" s="7">
        <f>$B13 * IFERROR(VLOOKUP("electricity|NOx|Non-fatal heart attacks", US_national_yearly!$D:$AM, 14, FALSE) / VLOOKUP("electricity|NOx|Non-fatal heart attacks", US_national_yearly!$D:$AM, 10, FALSE), 1)</f>
        <v>3.0127497477992074E-5</v>
      </c>
      <c r="G13" s="7">
        <f>$B13 * IFERROR(VLOOKUP("electricity|NOx|Non-fatal heart attacks", US_national_yearly!$D:$AM, 15, FALSE) / VLOOKUP("electricity|NOx|Non-fatal heart attacks", US_national_yearly!$D:$AM, 10, FALSE), 1)</f>
        <v>3.0858096673346549E-5</v>
      </c>
      <c r="H13" s="7">
        <f>$B13 * IFERROR(VLOOKUP("electricity|NOx|Non-fatal heart attacks", US_national_yearly!$D:$AM, 16, FALSE) / VLOOKUP("electricity|NOx|Non-fatal heart attacks", US_national_yearly!$D:$AM, 10, FALSE), 1)</f>
        <v>3.1588695868701023E-5</v>
      </c>
      <c r="I13" s="7">
        <f>$B13 * IFERROR(VLOOKUP("electricity|NOx|Non-fatal heart attacks", US_national_yearly!$D:$AM, 17, FALSE) / VLOOKUP("electricity|NOx|Non-fatal heart attacks", US_national_yearly!$D:$AM, 10, FALSE), 1)</f>
        <v>3.2174562509155148E-5</v>
      </c>
      <c r="J13" s="7">
        <f>$B13 * IFERROR(VLOOKUP("electricity|NOx|Non-fatal heart attacks", US_national_yearly!$D:$AM, 18, FALSE) / VLOOKUP("electricity|NOx|Non-fatal heart attacks", US_national_yearly!$D:$AM, 10, FALSE), 1)</f>
        <v>3.2760429149609273E-5</v>
      </c>
      <c r="K13" s="7">
        <f>$B13 * IFERROR(VLOOKUP("electricity|NOx|Non-fatal heart attacks", US_national_yearly!$D:$AM, 19, FALSE) / VLOOKUP("electricity|NOx|Non-fatal heart attacks", US_national_yearly!$D:$AM, 10, FALSE), 1)</f>
        <v>3.3346295790063364E-5</v>
      </c>
      <c r="L13" s="7">
        <f>$B13 * IFERROR(VLOOKUP("electricity|NOx|Non-fatal heart attacks", US_national_yearly!$D:$AM, 20, FALSE) / VLOOKUP("electricity|NOx|Non-fatal heart attacks", US_national_yearly!$D:$AM, 10, FALSE), 1)</f>
        <v>3.3932162430517488E-5</v>
      </c>
      <c r="M13" s="7">
        <f>$B13 * IFERROR(VLOOKUP("electricity|NOx|Non-fatal heart attacks", US_national_yearly!$D:$AM, 21, FALSE) / VLOOKUP("electricity|NOx|Non-fatal heart attacks", US_national_yearly!$D:$AM, 10, FALSE), 1)</f>
        <v>3.4518029070971613E-5</v>
      </c>
      <c r="N13" s="7">
        <f>$B13 * IFERROR(VLOOKUP("electricity|NOx|Non-fatal heart attacks", US_national_yearly!$D:$AM, 22, FALSE) / VLOOKUP("electricity|NOx|Non-fatal heart attacks", US_national_yearly!$D:$AM, 10, FALSE), 1)</f>
        <v>3.4879345200953694E-5</v>
      </c>
      <c r="O13" s="7">
        <f>$B13 * IFERROR(VLOOKUP("electricity|NOx|Non-fatal heart attacks", US_national_yearly!$D:$AM, 23, FALSE) / VLOOKUP("electricity|NOx|Non-fatal heart attacks", US_national_yearly!$D:$AM, 10, FALSE), 1)</f>
        <v>3.5240661330935782E-5</v>
      </c>
      <c r="P13" s="7">
        <f>$B13 * IFERROR(VLOOKUP("electricity|NOx|Non-fatal heart attacks", US_national_yearly!$D:$AM, 24, FALSE) / VLOOKUP("electricity|NOx|Non-fatal heart attacks", US_national_yearly!$D:$AM, 10, FALSE), 1)</f>
        <v>3.560197746091787E-5</v>
      </c>
      <c r="Q13" s="7">
        <f>$B13 * IFERROR(VLOOKUP("electricity|NOx|Non-fatal heart attacks", US_national_yearly!$D:$AM, 25, FALSE) / VLOOKUP("electricity|NOx|Non-fatal heart attacks", US_national_yearly!$D:$AM, 10, FALSE), 1)</f>
        <v>3.5963293590899951E-5</v>
      </c>
      <c r="R13" s="7">
        <f>$B13 * IFERROR(VLOOKUP("electricity|NOx|Non-fatal heart attacks", US_national_yearly!$D:$AM, 26, FALSE) / VLOOKUP("electricity|NOx|Non-fatal heart attacks", US_national_yearly!$D:$AM, 10, FALSE), 1)</f>
        <v>3.6324609720882039E-5</v>
      </c>
      <c r="S13" s="7">
        <f>$B13 * IFERROR(VLOOKUP("electricity|NOx|Non-fatal heart attacks", US_national_yearly!$D:$AM, 27, FALSE) / VLOOKUP("electricity|NOx|Non-fatal heart attacks", US_national_yearly!$D:$AM, 10, FALSE), 1)</f>
        <v>3.6501147578260418E-5</v>
      </c>
      <c r="T13" s="7">
        <f>$B13 * IFERROR(VLOOKUP("electricity|NOx|Non-fatal heart attacks", US_national_yearly!$D:$AM, 28, FALSE) / VLOOKUP("electricity|NOx|Non-fatal heart attacks", US_national_yearly!$D:$AM, 10, FALSE), 1)</f>
        <v>3.6677685435638798E-5</v>
      </c>
      <c r="U13" s="7">
        <f>$B13 * IFERROR(VLOOKUP("electricity|NOx|Non-fatal heart attacks", US_national_yearly!$D:$AM, 29, FALSE) / VLOOKUP("electricity|NOx|Non-fatal heart attacks", US_national_yearly!$D:$AM, 10, FALSE), 1)</f>
        <v>3.6854223293017191E-5</v>
      </c>
      <c r="V13" s="7">
        <f>$B13 * IFERROR(VLOOKUP("electricity|NOx|Non-fatal heart attacks", US_national_yearly!$D:$AM, 30, FALSE) / VLOOKUP("electricity|NOx|Non-fatal heart attacks", US_national_yearly!$D:$AM, 10, FALSE), 1)</f>
        <v>3.7030761150395563E-5</v>
      </c>
      <c r="W13" s="7">
        <f>$B13 * IFERROR(VLOOKUP("electricity|NOx|Non-fatal heart attacks", US_national_yearly!$D:$AM, 31, FALSE) / VLOOKUP("electricity|NOx|Non-fatal heart attacks", US_national_yearly!$D:$AM, 10, FALSE), 1)</f>
        <v>3.7207299007773956E-5</v>
      </c>
      <c r="X13" s="7">
        <f>$B13 * IFERROR(VLOOKUP("electricity|NOx|Non-fatal heart attacks", US_national_yearly!$D:$AM, 32, FALSE) / VLOOKUP("electricity|NOx|Non-fatal heart attacks", US_national_yearly!$D:$AM, 10, FALSE), 1)</f>
        <v>3.7330517740708111E-5</v>
      </c>
      <c r="Y13" s="7">
        <f>$B13 * IFERROR(VLOOKUP("electricity|NOx|Non-fatal heart attacks", US_national_yearly!$D:$AM, 33, FALSE) / VLOOKUP("electricity|NOx|Non-fatal heart attacks", US_national_yearly!$D:$AM, 10, FALSE), 1)</f>
        <v>3.745373647364228E-5</v>
      </c>
      <c r="Z13" s="7">
        <f>$B13 * IFERROR(VLOOKUP("electricity|NOx|Non-fatal heart attacks", US_national_yearly!$D:$AM, 34, FALSE) / VLOOKUP("electricity|NOx|Non-fatal heart attacks", US_national_yearly!$D:$AM, 10, FALSE), 1)</f>
        <v>3.7576955206576435E-5</v>
      </c>
      <c r="AA13" s="7">
        <f>$B13 * IFERROR(VLOOKUP("electricity|NOx|Non-fatal heart attacks", US_national_yearly!$D:$AM, 35, FALSE) / VLOOKUP("electricity|NOx|Non-fatal heart attacks", US_national_yearly!$D:$AM, 10, FALSE), 1)</f>
        <v>3.7700173939510583E-5</v>
      </c>
      <c r="AB13" s="7">
        <f>$B13 * IFERROR(VLOOKUP("electricity|NOx|Non-fatal heart attacks", US_national_yearly!$D:$AM, 36, FALSE) / VLOOKUP("electricity|NOx|Non-fatal heart attacks", US_national_yearly!$D:$AM, 10, FALSE), 1)</f>
        <v>3.7823392672444752E-5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2.5569787872313773E-2</v>
      </c>
      <c r="C14" s="7">
        <f>$B14 * IFERROR(VLOOKUP("electricity|NOx|Minor restricted activity days", US_national_yearly!$D:$AM, 11, FALSE) / VLOOKUP("electricity|NOx|Minor restricted activity days", US_national_yearly!$D:$AM, 10, FALSE), 1)</f>
        <v>2.5608991940038624E-2</v>
      </c>
      <c r="D14" s="7">
        <f>$B14 * IFERROR(VLOOKUP("electricity|NOx|Minor restricted activity days", US_national_yearly!$D:$AM, 12, FALSE) / VLOOKUP("electricity|NOx|Minor restricted activity days", US_national_yearly!$D:$AM, 10, FALSE), 1)</f>
        <v>2.5648196007763475E-2</v>
      </c>
      <c r="E14" s="7">
        <f>$B14 * IFERROR(VLOOKUP("electricity|NOx|Minor restricted activity days", US_national_yearly!$D:$AM, 13, FALSE) / VLOOKUP("electricity|NOx|Minor restricted activity days", US_national_yearly!$D:$AM, 10, FALSE), 1)</f>
        <v>2.5687400075488323E-2</v>
      </c>
      <c r="F14" s="7">
        <f>$B14 * IFERROR(VLOOKUP("electricity|NOx|Minor restricted activity days", US_national_yearly!$D:$AM, 14, FALSE) / VLOOKUP("electricity|NOx|Minor restricted activity days", US_national_yearly!$D:$AM, 10, FALSE), 1)</f>
        <v>2.5726604143213181E-2</v>
      </c>
      <c r="G14" s="7">
        <f>$B14 * IFERROR(VLOOKUP("electricity|NOx|Minor restricted activity days", US_national_yearly!$D:$AM, 15, FALSE) / VLOOKUP("electricity|NOx|Minor restricted activity days", US_national_yearly!$D:$AM, 10, FALSE), 1)</f>
        <v>2.5794989737486951E-2</v>
      </c>
      <c r="H14" s="7">
        <f>$B14 * IFERROR(VLOOKUP("electricity|NOx|Minor restricted activity days", US_national_yearly!$D:$AM, 16, FALSE) / VLOOKUP("electricity|NOx|Minor restricted activity days", US_national_yearly!$D:$AM, 10, FALSE), 1)</f>
        <v>2.5863375331760714E-2</v>
      </c>
      <c r="I14" s="7">
        <f>$B14 * IFERROR(VLOOKUP("electricity|NOx|Minor restricted activity days", US_national_yearly!$D:$AM, 17, FALSE) / VLOOKUP("electricity|NOx|Minor restricted activity days", US_national_yearly!$D:$AM, 10, FALSE), 1)</f>
        <v>2.5998675766913927E-2</v>
      </c>
      <c r="J14" s="7">
        <f>$B14 * IFERROR(VLOOKUP("electricity|NOx|Minor restricted activity days", US_national_yearly!$D:$AM, 18, FALSE) / VLOOKUP("electricity|NOx|Minor restricted activity days", US_national_yearly!$D:$AM, 10, FALSE), 1)</f>
        <v>2.613397620206713E-2</v>
      </c>
      <c r="K14" s="7">
        <f>$B14 * IFERROR(VLOOKUP("electricity|NOx|Minor restricted activity days", US_national_yearly!$D:$AM, 19, FALSE) / VLOOKUP("electricity|NOx|Minor restricted activity days", US_national_yearly!$D:$AM, 10, FALSE), 1)</f>
        <v>2.6269276637220344E-2</v>
      </c>
      <c r="L14" s="7">
        <f>$B14 * IFERROR(VLOOKUP("electricity|NOx|Minor restricted activity days", US_national_yearly!$D:$AM, 20, FALSE) / VLOOKUP("electricity|NOx|Minor restricted activity days", US_national_yearly!$D:$AM, 10, FALSE), 1)</f>
        <v>2.6404577072373547E-2</v>
      </c>
      <c r="M14" s="7">
        <f>$B14 * IFERROR(VLOOKUP("electricity|NOx|Minor restricted activity days", US_national_yearly!$D:$AM, 21, FALSE) / VLOOKUP("electricity|NOx|Minor restricted activity days", US_national_yearly!$D:$AM, 10, FALSE), 1)</f>
        <v>2.653987750752676E-2</v>
      </c>
      <c r="N14" s="7">
        <f>$B14 * IFERROR(VLOOKUP("electricity|NOx|Minor restricted activity days", US_national_yearly!$D:$AM, 22, FALSE) / VLOOKUP("electricity|NOx|Minor restricted activity days", US_national_yearly!$D:$AM, 10, FALSE), 1)</f>
        <v>2.6735533304748663E-2</v>
      </c>
      <c r="O14" s="7">
        <f>$B14 * IFERROR(VLOOKUP("electricity|NOx|Minor restricted activity days", US_national_yearly!$D:$AM, 23, FALSE) / VLOOKUP("electricity|NOx|Minor restricted activity days", US_national_yearly!$D:$AM, 10, FALSE), 1)</f>
        <v>2.6931189101970558E-2</v>
      </c>
      <c r="P14" s="7">
        <f>$B14 * IFERROR(VLOOKUP("electricity|NOx|Minor restricted activity days", US_national_yearly!$D:$AM, 24, FALSE) / VLOOKUP("electricity|NOx|Minor restricted activity days", US_national_yearly!$D:$AM, 10, FALSE), 1)</f>
        <v>2.7126844899192457E-2</v>
      </c>
      <c r="Q14" s="7">
        <f>$B14 * IFERROR(VLOOKUP("electricity|NOx|Minor restricted activity days", US_national_yearly!$D:$AM, 25, FALSE) / VLOOKUP("electricity|NOx|Minor restricted activity days", US_national_yearly!$D:$AM, 10, FALSE), 1)</f>
        <v>2.732250069641436E-2</v>
      </c>
      <c r="R14" s="7">
        <f>$B14 * IFERROR(VLOOKUP("electricity|NOx|Minor restricted activity days", US_national_yearly!$D:$AM, 26, FALSE) / VLOOKUP("electricity|NOx|Minor restricted activity days", US_national_yearly!$D:$AM, 10, FALSE), 1)</f>
        <v>2.7518156493636262E-2</v>
      </c>
      <c r="S14" s="7">
        <f>$B14 * IFERROR(VLOOKUP("electricity|NOx|Minor restricted activity days", US_national_yearly!$D:$AM, 27, FALSE) / VLOOKUP("electricity|NOx|Minor restricted activity days", US_national_yearly!$D:$AM, 10, FALSE), 1)</f>
        <v>2.7715291903078351E-2</v>
      </c>
      <c r="T14" s="7">
        <f>$B14 * IFERROR(VLOOKUP("electricity|NOx|Minor restricted activity days", US_national_yearly!$D:$AM, 28, FALSE) / VLOOKUP("electricity|NOx|Minor restricted activity days", US_national_yearly!$D:$AM, 10, FALSE), 1)</f>
        <v>2.791242731252044E-2</v>
      </c>
      <c r="U14" s="7">
        <f>$B14 * IFERROR(VLOOKUP("electricity|NOx|Minor restricted activity days", US_national_yearly!$D:$AM, 29, FALSE) / VLOOKUP("electricity|NOx|Minor restricted activity days", US_national_yearly!$D:$AM, 10, FALSE), 1)</f>
        <v>2.8109562721962533E-2</v>
      </c>
      <c r="V14" s="7">
        <f>$B14 * IFERROR(VLOOKUP("electricity|NOx|Minor restricted activity days", US_national_yearly!$D:$AM, 30, FALSE) / VLOOKUP("electricity|NOx|Minor restricted activity days", US_national_yearly!$D:$AM, 10, FALSE), 1)</f>
        <v>2.8306698131404621E-2</v>
      </c>
      <c r="W14" s="7">
        <f>$B14 * IFERROR(VLOOKUP("electricity|NOx|Minor restricted activity days", US_national_yearly!$D:$AM, 31, FALSE) / VLOOKUP("electricity|NOx|Minor restricted activity days", US_national_yearly!$D:$AM, 10, FALSE), 1)</f>
        <v>2.850383354084671E-2</v>
      </c>
      <c r="X14" s="7">
        <f>$B14 * IFERROR(VLOOKUP("electricity|NOx|Minor restricted activity days", US_national_yearly!$D:$AM, 32, FALSE) / VLOOKUP("electricity|NOx|Minor restricted activity days", US_national_yearly!$D:$AM, 10, FALSE), 1)</f>
        <v>2.8670551675738759E-2</v>
      </c>
      <c r="Y14" s="7">
        <f>$B14 * IFERROR(VLOOKUP("electricity|NOx|Minor restricted activity days", US_national_yearly!$D:$AM, 33, FALSE) / VLOOKUP("electricity|NOx|Minor restricted activity days", US_national_yearly!$D:$AM, 10, FALSE), 1)</f>
        <v>2.883726981063079E-2</v>
      </c>
      <c r="Z14" s="7">
        <f>$B14 * IFERROR(VLOOKUP("electricity|NOx|Minor restricted activity days", US_national_yearly!$D:$AM, 34, FALSE) / VLOOKUP("electricity|NOx|Minor restricted activity days", US_national_yearly!$D:$AM, 10, FALSE), 1)</f>
        <v>2.900398794552286E-2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2.9170706080414905E-2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2.9337424215306947E-2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4.3523370687670601E-3</v>
      </c>
      <c r="C15" s="7">
        <f>$B15 * IFERROR(VLOOKUP("electricity|NOx|Work loss days", US_national_yearly!$D:$AM, 11, FALSE) / VLOOKUP("electricity|NOx|Work loss days", US_national_yearly!$D:$AM, 10, FALSE), 1)</f>
        <v>4.3620443359572549E-3</v>
      </c>
      <c r="D15" s="7">
        <f>$B15 * IFERROR(VLOOKUP("electricity|NOx|Work loss days", US_national_yearly!$D:$AM, 12, FALSE) / VLOOKUP("electricity|NOx|Work loss days", US_national_yearly!$D:$AM, 10, FALSE), 1)</f>
        <v>4.3717516031474505E-3</v>
      </c>
      <c r="E15" s="7">
        <f>$B15 * IFERROR(VLOOKUP("electricity|NOx|Work loss days", US_national_yearly!$D:$AM, 13, FALSE) / VLOOKUP("electricity|NOx|Work loss days", US_national_yearly!$D:$AM, 10, FALSE), 1)</f>
        <v>4.3814588703376452E-3</v>
      </c>
      <c r="F15" s="7">
        <f>$B15 * IFERROR(VLOOKUP("electricity|NOx|Work loss days", US_national_yearly!$D:$AM, 14, FALSE) / VLOOKUP("electricity|NOx|Work loss days", US_national_yearly!$D:$AM, 10, FALSE), 1)</f>
        <v>4.3911661375278408E-3</v>
      </c>
      <c r="G15" s="7">
        <f>$B15 * IFERROR(VLOOKUP("electricity|NOx|Work loss days", US_national_yearly!$D:$AM, 15, FALSE) / VLOOKUP("electricity|NOx|Work loss days", US_national_yearly!$D:$AM, 10, FALSE), 1)</f>
        <v>4.4048511589543163E-3</v>
      </c>
      <c r="H15" s="7">
        <f>$B15 * IFERROR(VLOOKUP("electricity|NOx|Work loss days", US_national_yearly!$D:$AM, 16, FALSE) / VLOOKUP("electricity|NOx|Work loss days", US_national_yearly!$D:$AM, 10, FALSE), 1)</f>
        <v>4.4185361803807917E-3</v>
      </c>
      <c r="I15" s="7">
        <f>$B15 * IFERROR(VLOOKUP("electricity|NOx|Work loss days", US_national_yearly!$D:$AM, 17, FALSE) / VLOOKUP("electricity|NOx|Work loss days", US_national_yearly!$D:$AM, 10, FALSE), 1)</f>
        <v>4.4407569814670887E-3</v>
      </c>
      <c r="J15" s="7">
        <f>$B15 * IFERROR(VLOOKUP("electricity|NOx|Work loss days", US_national_yearly!$D:$AM, 18, FALSE) / VLOOKUP("electricity|NOx|Work loss days", US_national_yearly!$D:$AM, 10, FALSE), 1)</f>
        <v>4.4629777825533866E-3</v>
      </c>
      <c r="K15" s="7">
        <f>$B15 * IFERROR(VLOOKUP("electricity|NOx|Work loss days", US_national_yearly!$D:$AM, 19, FALSE) / VLOOKUP("electricity|NOx|Work loss days", US_national_yearly!$D:$AM, 10, FALSE), 1)</f>
        <v>4.4851985836396827E-3</v>
      </c>
      <c r="L15" s="7">
        <f>$B15 * IFERROR(VLOOKUP("electricity|NOx|Work loss days", US_national_yearly!$D:$AM, 20, FALSE) / VLOOKUP("electricity|NOx|Work loss days", US_national_yearly!$D:$AM, 10, FALSE), 1)</f>
        <v>4.5074193847259797E-3</v>
      </c>
      <c r="M15" s="7">
        <f>$B15 * IFERROR(VLOOKUP("electricity|NOx|Work loss days", US_national_yearly!$D:$AM, 21, FALSE) / VLOOKUP("electricity|NOx|Work loss days", US_national_yearly!$D:$AM, 10, FALSE), 1)</f>
        <v>4.5296401858122759E-3</v>
      </c>
      <c r="N15" s="7">
        <f>$B15 * IFERROR(VLOOKUP("electricity|NOx|Work loss days", US_national_yearly!$D:$AM, 22, FALSE) / VLOOKUP("electricity|NOx|Work loss days", US_national_yearly!$D:$AM, 10, FALSE), 1)</f>
        <v>4.5589576233111672E-3</v>
      </c>
      <c r="O15" s="7">
        <f>$B15 * IFERROR(VLOOKUP("electricity|NOx|Work loss days", US_national_yearly!$D:$AM, 23, FALSE) / VLOOKUP("electricity|NOx|Work loss days", US_national_yearly!$D:$AM, 10, FALSE), 1)</f>
        <v>4.5882750608100577E-3</v>
      </c>
      <c r="P15" s="7">
        <f>$B15 * IFERROR(VLOOKUP("electricity|NOx|Work loss days", US_national_yearly!$D:$AM, 24, FALSE) / VLOOKUP("electricity|NOx|Work loss days", US_national_yearly!$D:$AM, 10, FALSE), 1)</f>
        <v>4.6175924983089481E-3</v>
      </c>
      <c r="Q15" s="7">
        <f>$B15 * IFERROR(VLOOKUP("electricity|NOx|Work loss days", US_national_yearly!$D:$AM, 25, FALSE) / VLOOKUP("electricity|NOx|Work loss days", US_national_yearly!$D:$AM, 10, FALSE), 1)</f>
        <v>4.6469099358078395E-3</v>
      </c>
      <c r="R15" s="7">
        <f>$B15 * IFERROR(VLOOKUP("electricity|NOx|Work loss days", US_national_yearly!$D:$AM, 26, FALSE) / VLOOKUP("electricity|NOx|Work loss days", US_national_yearly!$D:$AM, 10, FALSE), 1)</f>
        <v>4.6762273733067291E-3</v>
      </c>
      <c r="S15" s="7">
        <f>$B15 * IFERROR(VLOOKUP("electricity|NOx|Work loss days", US_national_yearly!$D:$AM, 27, FALSE) / VLOOKUP("electricity|NOx|Work loss days", US_national_yearly!$D:$AM, 10, FALSE), 1)</f>
        <v>4.7090812953108404E-3</v>
      </c>
      <c r="T15" s="7">
        <f>$B15 * IFERROR(VLOOKUP("electricity|NOx|Work loss days", US_national_yearly!$D:$AM, 28, FALSE) / VLOOKUP("electricity|NOx|Work loss days", US_national_yearly!$D:$AM, 10, FALSE), 1)</f>
        <v>4.7419352173149508E-3</v>
      </c>
      <c r="U15" s="7">
        <f>$B15 * IFERROR(VLOOKUP("electricity|NOx|Work loss days", US_national_yearly!$D:$AM, 29, FALSE) / VLOOKUP("electricity|NOx|Work loss days", US_national_yearly!$D:$AM, 10, FALSE), 1)</f>
        <v>4.7747891393190613E-3</v>
      </c>
      <c r="V15" s="7">
        <f>$B15 * IFERROR(VLOOKUP("electricity|NOx|Work loss days", US_national_yearly!$D:$AM, 30, FALSE) / VLOOKUP("electricity|NOx|Work loss days", US_national_yearly!$D:$AM, 10, FALSE), 1)</f>
        <v>4.8076430613231717E-3</v>
      </c>
      <c r="W15" s="7">
        <f>$B15 * IFERROR(VLOOKUP("electricity|NOx|Work loss days", US_national_yearly!$D:$AM, 31, FALSE) / VLOOKUP("electricity|NOx|Work loss days", US_national_yearly!$D:$AM, 10, FALSE), 1)</f>
        <v>4.840496983327283E-3</v>
      </c>
      <c r="X15" s="7">
        <f>$B15 * IFERROR(VLOOKUP("electricity|NOx|Work loss days", US_national_yearly!$D:$AM, 32, FALSE) / VLOOKUP("electricity|NOx|Work loss days", US_national_yearly!$D:$AM, 10, FALSE), 1)</f>
        <v>4.8691358893842218E-3</v>
      </c>
      <c r="Y15" s="7">
        <f>$B15 * IFERROR(VLOOKUP("electricity|NOx|Work loss days", US_national_yearly!$D:$AM, 33, FALSE) / VLOOKUP("electricity|NOx|Work loss days", US_national_yearly!$D:$AM, 10, FALSE), 1)</f>
        <v>4.8977747954411606E-3</v>
      </c>
      <c r="Z15" s="7">
        <f>$B15 * IFERROR(VLOOKUP("electricity|NOx|Work loss days", US_national_yearly!$D:$AM, 34, FALSE) / VLOOKUP("electricity|NOx|Work loss days", US_national_yearly!$D:$AM, 10, FALSE), 1)</f>
        <v>4.9264137014980993E-3</v>
      </c>
      <c r="AA15" s="7">
        <f>$B15 * IFERROR(VLOOKUP("electricity|NOx|Work loss days", US_national_yearly!$D:$AM, 35, FALSE) / VLOOKUP("electricity|NOx|Work loss days", US_national_yearly!$D:$AM, 10, FALSE), 1)</f>
        <v>4.955052607555039E-3</v>
      </c>
      <c r="AB15" s="7">
        <f>$B15 * IFERROR(VLOOKUP("electricity|NOx|Work loss days", US_national_yearly!$D:$AM, 36, FALSE) / VLOOKUP("electricity|NOx|Work loss days", US_national_yearly!$D:$AM, 10, FALSE), 1)</f>
        <v>4.9836915136119778E-3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5.0376748008357354E-6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5.1860677406690295E-6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5.3344606805023253E-6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5.4828536203356194E-6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5.6312465601689152E-6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5.7733443217896706E-6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5.9154420834104269E-6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6.036729817506221E-6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6.1580175516020159E-6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6.2793052856978109E-6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6.4005930197936059E-6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6.5218807538893991E-6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6.5997198405899259E-6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6.6775589272904518E-6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6.7553980139909786E-6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6.8332371006915045E-6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6.9110761873920313E-6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6.9493821737307501E-6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6.987688160069468E-6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7.0259941464081868E-6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7.0643001327469064E-6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7.1026061190856251E-6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7.1255643516988538E-6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7.1485225843120834E-6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7.1714808169253121E-6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7.1944390495385416E-6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7.2173972821517703E-6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2.0562828506417004E-2</v>
      </c>
      <c r="C2" s="7">
        <f>$B2 * IFERROR(VLOOKUP("electricity|SO2|Premature mortality", US_national_yearly!$D:$AM, 11, FALSE) / VLOOKUP("electricity|SO2|Premature mortality", US_national_yearly!$D:$AM, 10, FALSE), 1)</f>
        <v>2.082644871184771E-2</v>
      </c>
      <c r="D2" s="7">
        <f>$B2 * IFERROR(VLOOKUP("electricity|SO2|Premature mortality", US_national_yearly!$D:$AM, 12, FALSE) / VLOOKUP("electricity|SO2|Premature mortality", US_national_yearly!$D:$AM, 10, FALSE), 1)</f>
        <v>2.1090068917278413E-2</v>
      </c>
      <c r="E2" s="7">
        <f>$B2 * IFERROR(VLOOKUP("electricity|SO2|Premature mortality", US_national_yearly!$D:$AM, 13, FALSE) / VLOOKUP("electricity|SO2|Premature mortality", US_national_yearly!$D:$AM, 10, FALSE), 1)</f>
        <v>2.1353689122709119E-2</v>
      </c>
      <c r="F2" s="7">
        <f>$B2 * IFERROR(VLOOKUP("electricity|SO2|Premature mortality", US_national_yearly!$D:$AM, 14, FALSE) / VLOOKUP("electricity|SO2|Premature mortality", US_national_yearly!$D:$AM, 10, FALSE), 1)</f>
        <v>2.1617309328139822E-2</v>
      </c>
      <c r="G2" s="7">
        <f>$B2 * IFERROR(VLOOKUP("electricity|SO2|Premature mortality", US_national_yearly!$D:$AM, 15, FALSE) / VLOOKUP("electricity|SO2|Premature mortality", US_national_yearly!$D:$AM, 10, FALSE), 1)</f>
        <v>2.2125147580707653E-2</v>
      </c>
      <c r="H2" s="7">
        <f>$B2 * IFERROR(VLOOKUP("electricity|SO2|Premature mortality", US_national_yearly!$D:$AM, 16, FALSE) / VLOOKUP("electricity|SO2|Premature mortality", US_national_yearly!$D:$AM, 10, FALSE), 1)</f>
        <v>2.2632985833275478E-2</v>
      </c>
      <c r="I2" s="7">
        <f>$B2 * IFERROR(VLOOKUP("electricity|SO2|Premature mortality", US_national_yearly!$D:$AM, 17, FALSE) / VLOOKUP("electricity|SO2|Premature mortality", US_national_yearly!$D:$AM, 10, FALSE), 1)</f>
        <v>2.2974831118063185E-2</v>
      </c>
      <c r="J2" s="7">
        <f>$B2 * IFERROR(VLOOKUP("electricity|SO2|Premature mortality", US_national_yearly!$D:$AM, 18, FALSE) / VLOOKUP("electricity|SO2|Premature mortality", US_national_yearly!$D:$AM, 10, FALSE), 1)</f>
        <v>2.3316676402850893E-2</v>
      </c>
      <c r="K2" s="7">
        <f>$B2 * IFERROR(VLOOKUP("electricity|SO2|Premature mortality", US_national_yearly!$D:$AM, 19, FALSE) / VLOOKUP("electricity|SO2|Premature mortality", US_national_yearly!$D:$AM, 10, FALSE), 1)</f>
        <v>2.3658521687638594E-2</v>
      </c>
      <c r="L2" s="7">
        <f>$B2 * IFERROR(VLOOKUP("electricity|SO2|Premature mortality", US_national_yearly!$D:$AM, 20, FALSE) / VLOOKUP("electricity|SO2|Premature mortality", US_national_yearly!$D:$AM, 10, FALSE), 1)</f>
        <v>2.4000366972426305E-2</v>
      </c>
      <c r="M2" s="7">
        <f>$B2 * IFERROR(VLOOKUP("electricity|SO2|Premature mortality", US_national_yearly!$D:$AM, 21, FALSE) / VLOOKUP("electricity|SO2|Premature mortality", US_national_yearly!$D:$AM, 10, FALSE), 1)</f>
        <v>2.4342212257214006E-2</v>
      </c>
      <c r="N2" s="7">
        <f>$B2 * IFERROR(VLOOKUP("electricity|SO2|Premature mortality", US_national_yearly!$D:$AM, 22, FALSE) / VLOOKUP("electricity|SO2|Premature mortality", US_national_yearly!$D:$AM, 10, FALSE), 1)</f>
        <v>2.4616174006411782E-2</v>
      </c>
      <c r="O2" s="7">
        <f>$B2 * IFERROR(VLOOKUP("electricity|SO2|Premature mortality", US_national_yearly!$D:$AM, 23, FALSE) / VLOOKUP("electricity|SO2|Premature mortality", US_national_yearly!$D:$AM, 10, FALSE), 1)</f>
        <v>2.4890135755609562E-2</v>
      </c>
      <c r="P2" s="7">
        <f>$B2 * IFERROR(VLOOKUP("electricity|SO2|Premature mortality", US_national_yearly!$D:$AM, 24, FALSE) / VLOOKUP("electricity|SO2|Premature mortality", US_national_yearly!$D:$AM, 10, FALSE), 1)</f>
        <v>2.5164097504807331E-2</v>
      </c>
      <c r="Q2" s="7">
        <f>$B2 * IFERROR(VLOOKUP("electricity|SO2|Premature mortality", US_national_yearly!$D:$AM, 25, FALSE) / VLOOKUP("electricity|SO2|Premature mortality", US_national_yearly!$D:$AM, 10, FALSE), 1)</f>
        <v>2.5438059254005108E-2</v>
      </c>
      <c r="R2" s="7">
        <f>$B2 * IFERROR(VLOOKUP("electricity|SO2|Premature mortality", US_national_yearly!$D:$AM, 26, FALSE) / VLOOKUP("electricity|SO2|Premature mortality", US_national_yearly!$D:$AM, 10, FALSE), 1)</f>
        <v>2.5712021003202884E-2</v>
      </c>
      <c r="S2" s="7">
        <f>$B2 * IFERROR(VLOOKUP("electricity|SO2|Premature mortality", US_national_yearly!$D:$AM, 27, FALSE) / VLOOKUP("electricity|SO2|Premature mortality", US_national_yearly!$D:$AM, 10, FALSE), 1)</f>
        <v>2.5869091276316161E-2</v>
      </c>
      <c r="T2" s="7">
        <f>$B2 * IFERROR(VLOOKUP("electricity|SO2|Premature mortality", US_national_yearly!$D:$AM, 28, FALSE) / VLOOKUP("electricity|SO2|Premature mortality", US_national_yearly!$D:$AM, 10, FALSE), 1)</f>
        <v>2.6026161549429442E-2</v>
      </c>
      <c r="U2" s="7">
        <f>$B2 * IFERROR(VLOOKUP("electricity|SO2|Premature mortality", US_national_yearly!$D:$AM, 29, FALSE) / VLOOKUP("electricity|SO2|Premature mortality", US_national_yearly!$D:$AM, 10, FALSE), 1)</f>
        <v>2.6183231822542719E-2</v>
      </c>
      <c r="V2" s="7">
        <f>$B2 * IFERROR(VLOOKUP("electricity|SO2|Premature mortality", US_national_yearly!$D:$AM, 30, FALSE) / VLOOKUP("electricity|SO2|Premature mortality", US_national_yearly!$D:$AM, 10, FALSE), 1)</f>
        <v>2.6340302095656E-2</v>
      </c>
      <c r="W2" s="7">
        <f>$B2 * IFERROR(VLOOKUP("electricity|SO2|Premature mortality", US_national_yearly!$D:$AM, 31, FALSE) / VLOOKUP("electricity|SO2|Premature mortality", US_national_yearly!$D:$AM, 10, FALSE), 1)</f>
        <v>2.6497372368769277E-2</v>
      </c>
      <c r="X2" s="7">
        <f>$B2 * IFERROR(VLOOKUP("electricity|SO2|Premature mortality", US_national_yearly!$D:$AM, 32, FALSE) / VLOOKUP("electricity|SO2|Premature mortality", US_national_yearly!$D:$AM, 10, FALSE), 1)</f>
        <v>2.6543652444369882E-2</v>
      </c>
      <c r="Y2" s="7">
        <f>$B2 * IFERROR(VLOOKUP("electricity|SO2|Premature mortality", US_national_yearly!$D:$AM, 33, FALSE) / VLOOKUP("electricity|SO2|Premature mortality", US_national_yearly!$D:$AM, 10, FALSE), 1)</f>
        <v>2.6589932519970483E-2</v>
      </c>
      <c r="Z2" s="7">
        <f>$B2 * IFERROR(VLOOKUP("electricity|SO2|Premature mortality", US_national_yearly!$D:$AM, 34, FALSE) / VLOOKUP("electricity|SO2|Premature mortality", US_national_yearly!$D:$AM, 10, FALSE), 1)</f>
        <v>2.6636212595571081E-2</v>
      </c>
      <c r="AA2" s="7">
        <f>$B2 * IFERROR(VLOOKUP("electricity|SO2|Premature mortality", US_national_yearly!$D:$AM, 35, FALSE) / VLOOKUP("electricity|SO2|Premature mortality", US_national_yearly!$D:$AM, 10, FALSE), 1)</f>
        <v>2.668249267117169E-2</v>
      </c>
      <c r="AB2" s="7">
        <f>$B2 * IFERROR(VLOOKUP("electricity|SO2|Premature mortality", US_national_yearly!$D:$AM, 36, FALSE) / VLOOKUP("electricity|SO2|Premature mortality", US_national_yearly!$D:$AM, 10, FALSE), 1)</f>
        <v>2.6728772746772291E-2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4.2084806798171551E-5</v>
      </c>
      <c r="C3" s="7">
        <f>$B3 * IFERROR(VLOOKUP("electricity|SO2|Infant mortality", US_national_yearly!$D:$AM, 11, FALSE) / VLOOKUP("electricity|SO2|Infant mortality", US_national_yearly!$D:$AM, 10, FALSE), 1)</f>
        <v>4.172927019931955E-5</v>
      </c>
      <c r="D3" s="7">
        <f>$B3 * IFERROR(VLOOKUP("electricity|SO2|Infant mortality", US_national_yearly!$D:$AM, 12, FALSE) / VLOOKUP("electricity|SO2|Infant mortality", US_national_yearly!$D:$AM, 10, FALSE), 1)</f>
        <v>4.1373733600467549E-5</v>
      </c>
      <c r="E3" s="7">
        <f>$B3 * IFERROR(VLOOKUP("electricity|SO2|Infant mortality", US_national_yearly!$D:$AM, 13, FALSE) / VLOOKUP("electricity|SO2|Infant mortality", US_national_yearly!$D:$AM, 10, FALSE), 1)</f>
        <v>4.1018197001615547E-5</v>
      </c>
      <c r="F3" s="7">
        <f>$B3 * IFERROR(VLOOKUP("electricity|SO2|Infant mortality", US_national_yearly!$D:$AM, 14, FALSE) / VLOOKUP("electricity|SO2|Infant mortality", US_national_yearly!$D:$AM, 10, FALSE), 1)</f>
        <v>4.0662660402763553E-5</v>
      </c>
      <c r="G3" s="7">
        <f>$B3 * IFERROR(VLOOKUP("electricity|SO2|Infant mortality", US_national_yearly!$D:$AM, 15, FALSE) / VLOOKUP("electricity|SO2|Infant mortality", US_national_yearly!$D:$AM, 10, FALSE), 1)</f>
        <v>2.7042775545156778E-5</v>
      </c>
      <c r="H3" s="7">
        <f>$B3 * IFERROR(VLOOKUP("electricity|SO2|Infant mortality", US_national_yearly!$D:$AM, 16, FALSE) / VLOOKUP("electricity|SO2|Infant mortality", US_national_yearly!$D:$AM, 10, FALSE), 1)</f>
        <v>1.3422890687549997E-5</v>
      </c>
      <c r="I3" s="7">
        <f>$B3 * IFERROR(VLOOKUP("electricity|SO2|Infant mortality", US_national_yearly!$D:$AM, 17, FALSE) / VLOOKUP("electricity|SO2|Infant mortality", US_national_yearly!$D:$AM, 10, FALSE), 1)</f>
        <v>1.333701800424948E-5</v>
      </c>
      <c r="J3" s="7">
        <f>$B3 * IFERROR(VLOOKUP("electricity|SO2|Infant mortality", US_national_yearly!$D:$AM, 18, FALSE) / VLOOKUP("electricity|SO2|Infant mortality", US_national_yearly!$D:$AM, 10, FALSE), 1)</f>
        <v>1.325114532094896E-5</v>
      </c>
      <c r="K3" s="7">
        <f>$B3 * IFERROR(VLOOKUP("electricity|SO2|Infant mortality", US_national_yearly!$D:$AM, 19, FALSE) / VLOOKUP("electricity|SO2|Infant mortality", US_national_yearly!$D:$AM, 10, FALSE), 1)</f>
        <v>1.3165272637648445E-5</v>
      </c>
      <c r="L3" s="7">
        <f>$B3 * IFERROR(VLOOKUP("electricity|SO2|Infant mortality", US_national_yearly!$D:$AM, 20, FALSE) / VLOOKUP("electricity|SO2|Infant mortality", US_national_yearly!$D:$AM, 10, FALSE), 1)</f>
        <v>1.3079399954347927E-5</v>
      </c>
      <c r="M3" s="7">
        <f>$B3 * IFERROR(VLOOKUP("electricity|SO2|Infant mortality", US_national_yearly!$D:$AM, 21, FALSE) / VLOOKUP("electricity|SO2|Infant mortality", US_national_yearly!$D:$AM, 10, FALSE), 1)</f>
        <v>1.299352727104741E-5</v>
      </c>
      <c r="N3" s="7">
        <f>$B3 * IFERROR(VLOOKUP("electricity|SO2|Infant mortality", US_national_yearly!$D:$AM, 22, FALSE) / VLOOKUP("electricity|SO2|Infant mortality", US_national_yearly!$D:$AM, 10, FALSE), 1)</f>
        <v>1.2939114533629445E-5</v>
      </c>
      <c r="O3" s="7">
        <f>$B3 * IFERROR(VLOOKUP("electricity|SO2|Infant mortality", US_national_yearly!$D:$AM, 23, FALSE) / VLOOKUP("electricity|SO2|Infant mortality", US_national_yearly!$D:$AM, 10, FALSE), 1)</f>
        <v>1.2884701796211477E-5</v>
      </c>
      <c r="P3" s="7">
        <f>$B3 * IFERROR(VLOOKUP("electricity|SO2|Infant mortality", US_national_yearly!$D:$AM, 24, FALSE) / VLOOKUP("electricity|SO2|Infant mortality", US_national_yearly!$D:$AM, 10, FALSE), 1)</f>
        <v>1.283028905879351E-5</v>
      </c>
      <c r="Q3" s="7">
        <f>$B3 * IFERROR(VLOOKUP("electricity|SO2|Infant mortality", US_national_yearly!$D:$AM, 25, FALSE) / VLOOKUP("electricity|SO2|Infant mortality", US_national_yearly!$D:$AM, 10, FALSE), 1)</f>
        <v>1.2775876321375546E-5</v>
      </c>
      <c r="R3" s="7">
        <f>$B3 * IFERROR(VLOOKUP("electricity|SO2|Infant mortality", US_national_yearly!$D:$AM, 26, FALSE) / VLOOKUP("electricity|SO2|Infant mortality", US_national_yearly!$D:$AM, 10, FALSE), 1)</f>
        <v>1.2721463583957581E-5</v>
      </c>
      <c r="S3" s="7">
        <f>$B3 * IFERROR(VLOOKUP("electricity|SO2|Infant mortality", US_national_yearly!$D:$AM, 27, FALSE) / VLOOKUP("electricity|SO2|Infant mortality", US_national_yearly!$D:$AM, 10, FALSE), 1)</f>
        <v>1.265364500144852E-5</v>
      </c>
      <c r="T3" s="7">
        <f>$B3 * IFERROR(VLOOKUP("electricity|SO2|Infant mortality", US_national_yearly!$D:$AM, 28, FALSE) / VLOOKUP("electricity|SO2|Infant mortality", US_national_yearly!$D:$AM, 10, FALSE), 1)</f>
        <v>1.258582641893946E-5</v>
      </c>
      <c r="U3" s="7">
        <f>$B3 * IFERROR(VLOOKUP("electricity|SO2|Infant mortality", US_national_yearly!$D:$AM, 29, FALSE) / VLOOKUP("electricity|SO2|Infant mortality", US_national_yearly!$D:$AM, 10, FALSE), 1)</f>
        <v>1.2518007836430401E-5</v>
      </c>
      <c r="V3" s="7">
        <f>$B3 * IFERROR(VLOOKUP("electricity|SO2|Infant mortality", US_national_yearly!$D:$AM, 30, FALSE) / VLOOKUP("electricity|SO2|Infant mortality", US_national_yearly!$D:$AM, 10, FALSE), 1)</f>
        <v>1.2450189253921343E-5</v>
      </c>
      <c r="W3" s="7">
        <f>$B3 * IFERROR(VLOOKUP("electricity|SO2|Infant mortality", US_national_yearly!$D:$AM, 31, FALSE) / VLOOKUP("electricity|SO2|Infant mortality", US_national_yearly!$D:$AM, 10, FALSE), 1)</f>
        <v>1.238237067141228E-5</v>
      </c>
      <c r="X3" s="7">
        <f>$B3 * IFERROR(VLOOKUP("electricity|SO2|Infant mortality", US_national_yearly!$D:$AM, 32, FALSE) / VLOOKUP("electricity|SO2|Infant mortality", US_national_yearly!$D:$AM, 10, FALSE), 1)</f>
        <v>1.231001022986885E-5</v>
      </c>
      <c r="Y3" s="7">
        <f>$B3 * IFERROR(VLOOKUP("electricity|SO2|Infant mortality", US_national_yearly!$D:$AM, 33, FALSE) / VLOOKUP("electricity|SO2|Infant mortality", US_national_yearly!$D:$AM, 10, FALSE), 1)</f>
        <v>1.2237649788325414E-5</v>
      </c>
      <c r="Z3" s="7">
        <f>$B3 * IFERROR(VLOOKUP("electricity|SO2|Infant mortality", US_national_yearly!$D:$AM, 34, FALSE) / VLOOKUP("electricity|SO2|Infant mortality", US_national_yearly!$D:$AM, 10, FALSE), 1)</f>
        <v>1.2165289346781982E-5</v>
      </c>
      <c r="AA3" s="7">
        <f>$B3 * IFERROR(VLOOKUP("electricity|SO2|Infant mortality", US_national_yearly!$D:$AM, 35, FALSE) / VLOOKUP("electricity|SO2|Infant mortality", US_national_yearly!$D:$AM, 10, FALSE), 1)</f>
        <v>1.2092928905238552E-5</v>
      </c>
      <c r="AB3" s="7">
        <f>$B3 * IFERROR(VLOOKUP("electricity|SO2|Infant mortality", US_national_yearly!$D:$AM, 36, FALSE) / VLOOKUP("electricity|SO2|Infant mortality", US_national_yearly!$D:$AM, 10, FALSE), 1)</f>
        <v>1.2020568463695118E-5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5.69610221024223E-2</v>
      </c>
      <c r="C6" s="7">
        <f>$B6 * IFERROR(VLOOKUP("electricity|SO2|Asthma symptoms cough", US_national_yearly!$D:$AM, 11, FALSE) / VLOOKUP("electricity|SO2|Asthma symptoms cough", US_national_yearly!$D:$AM, 10, FALSE), 1)</f>
        <v>5.69610221024223E-2</v>
      </c>
      <c r="D6" s="7">
        <f>$B6 * IFERROR(VLOOKUP("electricity|SO2|Asthma symptoms cough", US_national_yearly!$D:$AM, 12, FALSE) / VLOOKUP("electricity|SO2|Asthma symptoms cough", US_national_yearly!$D:$AM, 10, FALSE), 1)</f>
        <v>5.69610221024223E-2</v>
      </c>
      <c r="E6" s="7">
        <f>$B6 * IFERROR(VLOOKUP("electricity|SO2|Asthma symptoms cough", US_national_yearly!$D:$AM, 13, FALSE) / VLOOKUP("electricity|SO2|Asthma symptoms cough", US_national_yearly!$D:$AM, 10, FALSE), 1)</f>
        <v>5.69610221024223E-2</v>
      </c>
      <c r="F6" s="7">
        <f>$B6 * IFERROR(VLOOKUP("electricity|SO2|Asthma symptoms cough", US_national_yearly!$D:$AM, 14, FALSE) / VLOOKUP("electricity|SO2|Asthma symptoms cough", US_national_yearly!$D:$AM, 10, FALSE), 1)</f>
        <v>5.69610221024223E-2</v>
      </c>
      <c r="G6" s="7">
        <f>$B6 * IFERROR(VLOOKUP("electricity|SO2|Asthma symptoms cough", US_national_yearly!$D:$AM, 15, FALSE) / VLOOKUP("electricity|SO2|Asthma symptoms cough", US_national_yearly!$D:$AM, 10, FALSE), 1)</f>
        <v>5.69610221024223E-2</v>
      </c>
      <c r="H6" s="7">
        <f>$B6 * IFERROR(VLOOKUP("electricity|SO2|Asthma symptoms cough", US_national_yearly!$D:$AM, 16, FALSE) / VLOOKUP("electricity|SO2|Asthma symptoms cough", US_national_yearly!$D:$AM, 10, FALSE), 1)</f>
        <v>5.69610221024223E-2</v>
      </c>
      <c r="I6" s="7">
        <f>$B6 * IFERROR(VLOOKUP("electricity|SO2|Asthma symptoms cough", US_national_yearly!$D:$AM, 17, FALSE) / VLOOKUP("electricity|SO2|Asthma symptoms cough", US_national_yearly!$D:$AM, 10, FALSE), 1)</f>
        <v>5.69610221024223E-2</v>
      </c>
      <c r="J6" s="7">
        <f>$B6 * IFERROR(VLOOKUP("electricity|SO2|Asthma symptoms cough", US_national_yearly!$D:$AM, 18, FALSE) / VLOOKUP("electricity|SO2|Asthma symptoms cough", US_national_yearly!$D:$AM, 10, FALSE), 1)</f>
        <v>5.69610221024223E-2</v>
      </c>
      <c r="K6" s="7">
        <f>$B6 * IFERROR(VLOOKUP("electricity|SO2|Asthma symptoms cough", US_national_yearly!$D:$AM, 19, FALSE) / VLOOKUP("electricity|SO2|Asthma symptoms cough", US_national_yearly!$D:$AM, 10, FALSE), 1)</f>
        <v>5.69610221024223E-2</v>
      </c>
      <c r="L6" s="7">
        <f>$B6 * IFERROR(VLOOKUP("electricity|SO2|Asthma symptoms cough", US_national_yearly!$D:$AM, 20, FALSE) / VLOOKUP("electricity|SO2|Asthma symptoms cough", US_national_yearly!$D:$AM, 10, FALSE), 1)</f>
        <v>5.69610221024223E-2</v>
      </c>
      <c r="M6" s="7">
        <f>$B6 * IFERROR(VLOOKUP("electricity|SO2|Asthma symptoms cough", US_national_yearly!$D:$AM, 21, FALSE) / VLOOKUP("electricity|SO2|Asthma symptoms cough", US_national_yearly!$D:$AM, 10, FALSE), 1)</f>
        <v>5.69610221024223E-2</v>
      </c>
      <c r="N6" s="7">
        <f>$B6 * IFERROR(VLOOKUP("electricity|SO2|Asthma symptoms cough", US_national_yearly!$D:$AM, 22, FALSE) / VLOOKUP("electricity|SO2|Asthma symptoms cough", US_national_yearly!$D:$AM, 10, FALSE), 1)</f>
        <v>5.69610221024223E-2</v>
      </c>
      <c r="O6" s="7">
        <f>$B6 * IFERROR(VLOOKUP("electricity|SO2|Asthma symptoms cough", US_national_yearly!$D:$AM, 23, FALSE) / VLOOKUP("electricity|SO2|Asthma symptoms cough", US_national_yearly!$D:$AM, 10, FALSE), 1)</f>
        <v>5.69610221024223E-2</v>
      </c>
      <c r="P6" s="7">
        <f>$B6 * IFERROR(VLOOKUP("electricity|SO2|Asthma symptoms cough", US_national_yearly!$D:$AM, 24, FALSE) / VLOOKUP("electricity|SO2|Asthma symptoms cough", US_national_yearly!$D:$AM, 10, FALSE), 1)</f>
        <v>5.69610221024223E-2</v>
      </c>
      <c r="Q6" s="7">
        <f>$B6 * IFERROR(VLOOKUP("electricity|SO2|Asthma symptoms cough", US_national_yearly!$D:$AM, 25, FALSE) / VLOOKUP("electricity|SO2|Asthma symptoms cough", US_national_yearly!$D:$AM, 10, FALSE), 1)</f>
        <v>5.69610221024223E-2</v>
      </c>
      <c r="R6" s="7">
        <f>$B6 * IFERROR(VLOOKUP("electricity|SO2|Asthma symptoms cough", US_national_yearly!$D:$AM, 26, FALSE) / VLOOKUP("electricity|SO2|Asthma symptoms cough", US_national_yearly!$D:$AM, 10, FALSE), 1)</f>
        <v>5.69610221024223E-2</v>
      </c>
      <c r="S6" s="7">
        <f>$B6 * IFERROR(VLOOKUP("electricity|SO2|Asthma symptoms cough", US_national_yearly!$D:$AM, 27, FALSE) / VLOOKUP("electricity|SO2|Asthma symptoms cough", US_national_yearly!$D:$AM, 10, FALSE), 1)</f>
        <v>5.69610221024223E-2</v>
      </c>
      <c r="T6" s="7">
        <f>$B6 * IFERROR(VLOOKUP("electricity|SO2|Asthma symptoms cough", US_national_yearly!$D:$AM, 28, FALSE) / VLOOKUP("electricity|SO2|Asthma symptoms cough", US_national_yearly!$D:$AM, 10, FALSE), 1)</f>
        <v>5.69610221024223E-2</v>
      </c>
      <c r="U6" s="7">
        <f>$B6 * IFERROR(VLOOKUP("electricity|SO2|Asthma symptoms cough", US_national_yearly!$D:$AM, 29, FALSE) / VLOOKUP("electricity|SO2|Asthma symptoms cough", US_national_yearly!$D:$AM, 10, FALSE), 1)</f>
        <v>5.69610221024223E-2</v>
      </c>
      <c r="V6" s="7">
        <f>$B6 * IFERROR(VLOOKUP("electricity|SO2|Asthma symptoms cough", US_national_yearly!$D:$AM, 30, FALSE) / VLOOKUP("electricity|SO2|Asthma symptoms cough", US_national_yearly!$D:$AM, 10, FALSE), 1)</f>
        <v>5.69610221024223E-2</v>
      </c>
      <c r="W6" s="7">
        <f>$B6 * IFERROR(VLOOKUP("electricity|SO2|Asthma symptoms cough", US_national_yearly!$D:$AM, 31, FALSE) / VLOOKUP("electricity|SO2|Asthma symptoms cough", US_national_yearly!$D:$AM, 10, FALSE), 1)</f>
        <v>5.69610221024223E-2</v>
      </c>
      <c r="X6" s="7">
        <f>$B6 * IFERROR(VLOOKUP("electricity|SO2|Asthma symptoms cough", US_national_yearly!$D:$AM, 32, FALSE) / VLOOKUP("electricity|SO2|Asthma symptoms cough", US_national_yearly!$D:$AM, 10, FALSE), 1)</f>
        <v>5.69610221024223E-2</v>
      </c>
      <c r="Y6" s="7">
        <f>$B6 * IFERROR(VLOOKUP("electricity|SO2|Asthma symptoms cough", US_national_yearly!$D:$AM, 33, FALSE) / VLOOKUP("electricity|SO2|Asthma symptoms cough", US_national_yearly!$D:$AM, 10, FALSE), 1)</f>
        <v>5.69610221024223E-2</v>
      </c>
      <c r="Z6" s="7">
        <f>$B6 * IFERROR(VLOOKUP("electricity|SO2|Asthma symptoms cough", US_national_yearly!$D:$AM, 34, FALSE) / VLOOKUP("electricity|SO2|Asthma symptoms cough", US_national_yearly!$D:$AM, 10, FALSE), 1)</f>
        <v>5.69610221024223E-2</v>
      </c>
      <c r="AA6" s="7">
        <f>$B6 * IFERROR(VLOOKUP("electricity|SO2|Asthma symptoms cough", US_national_yearly!$D:$AM, 35, FALSE) / VLOOKUP("electricity|SO2|Asthma symptoms cough", US_national_yearly!$D:$AM, 10, FALSE), 1)</f>
        <v>5.69610221024223E-2</v>
      </c>
      <c r="AB6" s="7">
        <f>$B6 * IFERROR(VLOOKUP("electricity|SO2|Asthma symptoms cough", US_national_yearly!$D:$AM, 36, FALSE) / VLOOKUP("electricity|SO2|Asthma symptoms cough", US_national_yearly!$D:$AM, 10, FALSE), 1)</f>
        <v>5.69610221024223E-2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7.6706367238204634E-2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7.6706367238204634E-2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7.6706367238204634E-2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7.6706367238204634E-2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7.6706367238204634E-2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7.6706367238204634E-2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7.6706367238204634E-2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7.6706367238204634E-2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7.6706367238204634E-2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7.6706367238204634E-2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7.6706367238204634E-2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7.6706367238204634E-2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7.6706367238204634E-2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7.6706367238204634E-2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7.6706367238204634E-2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7.6706367238204634E-2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7.6706367238204634E-2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7.6706367238204634E-2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7.6706367238204634E-2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7.6706367238204634E-2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7.6706367238204634E-2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7.6706367238204634E-2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7.6706367238204634E-2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7.6706367238204634E-2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7.6706367238204634E-2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7.6706367238204634E-2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7.6706367238204634E-2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0.11719402363064715</v>
      </c>
      <c r="C8" s="7">
        <f>$B8 * IFERROR(VLOOKUP("electricity|SO2|Asthma symptoms wheeze", US_national_yearly!$D:$AM, 11, FALSE) / VLOOKUP("electricity|SO2|Asthma symptoms wheeze", US_national_yearly!$D:$AM, 10, FALSE), 1)</f>
        <v>0.11719402363064715</v>
      </c>
      <c r="D8" s="7">
        <f>$B8 * IFERROR(VLOOKUP("electricity|SO2|Asthma symptoms wheeze", US_national_yearly!$D:$AM, 12, FALSE) / VLOOKUP("electricity|SO2|Asthma symptoms wheeze", US_national_yearly!$D:$AM, 10, FALSE), 1)</f>
        <v>0.11719402363064715</v>
      </c>
      <c r="E8" s="7">
        <f>$B8 * IFERROR(VLOOKUP("electricity|SO2|Asthma symptoms wheeze", US_national_yearly!$D:$AM, 13, FALSE) / VLOOKUP("electricity|SO2|Asthma symptoms wheeze", US_national_yearly!$D:$AM, 10, FALSE), 1)</f>
        <v>0.11719402363064715</v>
      </c>
      <c r="F8" s="7">
        <f>$B8 * IFERROR(VLOOKUP("electricity|SO2|Asthma symptoms wheeze", US_national_yearly!$D:$AM, 14, FALSE) / VLOOKUP("electricity|SO2|Asthma symptoms wheeze", US_national_yearly!$D:$AM, 10, FALSE), 1)</f>
        <v>0.11719402363064715</v>
      </c>
      <c r="G8" s="7">
        <f>$B8 * IFERROR(VLOOKUP("electricity|SO2|Asthma symptoms wheeze", US_national_yearly!$D:$AM, 15, FALSE) / VLOOKUP("electricity|SO2|Asthma symptoms wheeze", US_national_yearly!$D:$AM, 10, FALSE), 1)</f>
        <v>0.11719402363064715</v>
      </c>
      <c r="H8" s="7">
        <f>$B8 * IFERROR(VLOOKUP("electricity|SO2|Asthma symptoms wheeze", US_national_yearly!$D:$AM, 16, FALSE) / VLOOKUP("electricity|SO2|Asthma symptoms wheeze", US_national_yearly!$D:$AM, 10, FALSE), 1)</f>
        <v>0.11719402363064715</v>
      </c>
      <c r="I8" s="7">
        <f>$B8 * IFERROR(VLOOKUP("electricity|SO2|Asthma symptoms wheeze", US_national_yearly!$D:$AM, 17, FALSE) / VLOOKUP("electricity|SO2|Asthma symptoms wheeze", US_national_yearly!$D:$AM, 10, FALSE), 1)</f>
        <v>0.11719402363064715</v>
      </c>
      <c r="J8" s="7">
        <f>$B8 * IFERROR(VLOOKUP("electricity|SO2|Asthma symptoms wheeze", US_national_yearly!$D:$AM, 18, FALSE) / VLOOKUP("electricity|SO2|Asthma symptoms wheeze", US_national_yearly!$D:$AM, 10, FALSE), 1)</f>
        <v>0.11719402363064715</v>
      </c>
      <c r="K8" s="7">
        <f>$B8 * IFERROR(VLOOKUP("electricity|SO2|Asthma symptoms wheeze", US_national_yearly!$D:$AM, 19, FALSE) / VLOOKUP("electricity|SO2|Asthma symptoms wheeze", US_national_yearly!$D:$AM, 10, FALSE), 1)</f>
        <v>0.11719402363064715</v>
      </c>
      <c r="L8" s="7">
        <f>$B8 * IFERROR(VLOOKUP("electricity|SO2|Asthma symptoms wheeze", US_national_yearly!$D:$AM, 20, FALSE) / VLOOKUP("electricity|SO2|Asthma symptoms wheeze", US_national_yearly!$D:$AM, 10, FALSE), 1)</f>
        <v>0.11719402363064715</v>
      </c>
      <c r="M8" s="7">
        <f>$B8 * IFERROR(VLOOKUP("electricity|SO2|Asthma symptoms wheeze", US_national_yearly!$D:$AM, 21, FALSE) / VLOOKUP("electricity|SO2|Asthma symptoms wheeze", US_national_yearly!$D:$AM, 10, FALSE), 1)</f>
        <v>0.11719402363064715</v>
      </c>
      <c r="N8" s="7">
        <f>$B8 * IFERROR(VLOOKUP("electricity|SO2|Asthma symptoms wheeze", US_national_yearly!$D:$AM, 22, FALSE) / VLOOKUP("electricity|SO2|Asthma symptoms wheeze", US_national_yearly!$D:$AM, 10, FALSE), 1)</f>
        <v>0.11719402363064715</v>
      </c>
      <c r="O8" s="7">
        <f>$B8 * IFERROR(VLOOKUP("electricity|SO2|Asthma symptoms wheeze", US_national_yearly!$D:$AM, 23, FALSE) / VLOOKUP("electricity|SO2|Asthma symptoms wheeze", US_national_yearly!$D:$AM, 10, FALSE), 1)</f>
        <v>0.11719402363064715</v>
      </c>
      <c r="P8" s="7">
        <f>$B8 * IFERROR(VLOOKUP("electricity|SO2|Asthma symptoms wheeze", US_national_yearly!$D:$AM, 24, FALSE) / VLOOKUP("electricity|SO2|Asthma symptoms wheeze", US_national_yearly!$D:$AM, 10, FALSE), 1)</f>
        <v>0.11719402363064715</v>
      </c>
      <c r="Q8" s="7">
        <f>$B8 * IFERROR(VLOOKUP("electricity|SO2|Asthma symptoms wheeze", US_national_yearly!$D:$AM, 25, FALSE) / VLOOKUP("electricity|SO2|Asthma symptoms wheeze", US_national_yearly!$D:$AM, 10, FALSE), 1)</f>
        <v>0.11719402363064715</v>
      </c>
      <c r="R8" s="7">
        <f>$B8 * IFERROR(VLOOKUP("electricity|SO2|Asthma symptoms wheeze", US_national_yearly!$D:$AM, 26, FALSE) / VLOOKUP("electricity|SO2|Asthma symptoms wheeze", US_national_yearly!$D:$AM, 10, FALSE), 1)</f>
        <v>0.11719402363064715</v>
      </c>
      <c r="S8" s="7">
        <f>$B8 * IFERROR(VLOOKUP("electricity|SO2|Asthma symptoms wheeze", US_national_yearly!$D:$AM, 27, FALSE) / VLOOKUP("electricity|SO2|Asthma symptoms wheeze", US_national_yearly!$D:$AM, 10, FALSE), 1)</f>
        <v>0.11719402363064715</v>
      </c>
      <c r="T8" s="7">
        <f>$B8 * IFERROR(VLOOKUP("electricity|SO2|Asthma symptoms wheeze", US_national_yearly!$D:$AM, 28, FALSE) / VLOOKUP("electricity|SO2|Asthma symptoms wheeze", US_national_yearly!$D:$AM, 10, FALSE), 1)</f>
        <v>0.11719402363064715</v>
      </c>
      <c r="U8" s="7">
        <f>$B8 * IFERROR(VLOOKUP("electricity|SO2|Asthma symptoms wheeze", US_national_yearly!$D:$AM, 29, FALSE) / VLOOKUP("electricity|SO2|Asthma symptoms wheeze", US_national_yearly!$D:$AM, 10, FALSE), 1)</f>
        <v>0.11719402363064715</v>
      </c>
      <c r="V8" s="7">
        <f>$B8 * IFERROR(VLOOKUP("electricity|SO2|Asthma symptoms wheeze", US_national_yearly!$D:$AM, 30, FALSE) / VLOOKUP("electricity|SO2|Asthma symptoms wheeze", US_national_yearly!$D:$AM, 10, FALSE), 1)</f>
        <v>0.11719402363064715</v>
      </c>
      <c r="W8" s="7">
        <f>$B8 * IFERROR(VLOOKUP("electricity|SO2|Asthma symptoms wheeze", US_national_yearly!$D:$AM, 31, FALSE) / VLOOKUP("electricity|SO2|Asthma symptoms wheeze", US_national_yearly!$D:$AM, 10, FALSE), 1)</f>
        <v>0.11719402363064715</v>
      </c>
      <c r="X8" s="7">
        <f>$B8 * IFERROR(VLOOKUP("electricity|SO2|Asthma symptoms wheeze", US_national_yearly!$D:$AM, 32, FALSE) / VLOOKUP("electricity|SO2|Asthma symptoms wheeze", US_national_yearly!$D:$AM, 10, FALSE), 1)</f>
        <v>0.11719402363064715</v>
      </c>
      <c r="Y8" s="7">
        <f>$B8 * IFERROR(VLOOKUP("electricity|SO2|Asthma symptoms wheeze", US_national_yearly!$D:$AM, 33, FALSE) / VLOOKUP("electricity|SO2|Asthma symptoms wheeze", US_national_yearly!$D:$AM, 10, FALSE), 1)</f>
        <v>0.11719402363064715</v>
      </c>
      <c r="Z8" s="7">
        <f>$B8 * IFERROR(VLOOKUP("electricity|SO2|Asthma symptoms wheeze", US_national_yearly!$D:$AM, 34, FALSE) / VLOOKUP("electricity|SO2|Asthma symptoms wheeze", US_national_yearly!$D:$AM, 10, FALSE), 1)</f>
        <v>0.11719402363064715</v>
      </c>
      <c r="AA8" s="7">
        <f>$B8 * IFERROR(VLOOKUP("electricity|SO2|Asthma symptoms wheeze", US_national_yearly!$D:$AM, 35, FALSE) / VLOOKUP("electricity|SO2|Asthma symptoms wheeze", US_national_yearly!$D:$AM, 10, FALSE), 1)</f>
        <v>0.11719402363064715</v>
      </c>
      <c r="AB8" s="7">
        <f>$B8 * IFERROR(VLOOKUP("electricity|SO2|Asthma symptoms wheeze", US_national_yearly!$D:$AM, 36, FALSE) / VLOOKUP("electricity|SO2|Asthma symptoms wheeze", US_national_yearly!$D:$AM, 10, FALSE), 1)</f>
        <v>0.11719402363064715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1.1249341911946011E-3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1.131559638386994E-3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1.138185085579387E-3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1.1448105327717798E-3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1.1514359799641729E-3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1.1586557003749028E-3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1.1658754207856331E-3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1.1728208973312987E-3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1.1797663738769644E-3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1.1867118504226303E-3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1.1936573269682958E-3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1.2006028035139616E-3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1.2055845188140364E-3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1.2105662341141115E-3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1.2155479494141861E-3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1.220529664714261E-3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1.2255113800143361E-3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1.2302133859532641E-3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1.2349153918921926E-3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1.2396173978311208E-3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1.2443194037700493E-3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1.2490214097089778E-3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1.2535321706823009E-3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1.2580429316556244E-3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1.2625536926289481E-3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1.2670644536022712E-3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1.2715752145755948E-3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7.9674914324530301E-3</v>
      </c>
      <c r="C13" s="7">
        <f>$B13 * IFERROR(VLOOKUP("electricity|SO2|Non-fatal heart attacks", US_national_yearly!$D:$AM, 11, FALSE) / VLOOKUP("electricity|SO2|Non-fatal heart attacks", US_national_yearly!$D:$AM, 10, FALSE), 1)</f>
        <v>8.2021784302203568E-3</v>
      </c>
      <c r="D13" s="7">
        <f>$B13 * IFERROR(VLOOKUP("electricity|SO2|Non-fatal heart attacks", US_national_yearly!$D:$AM, 12, FALSE) / VLOOKUP("electricity|SO2|Non-fatal heart attacks", US_national_yearly!$D:$AM, 10, FALSE), 1)</f>
        <v>8.43686542798768E-3</v>
      </c>
      <c r="E13" s="7">
        <f>$B13 * IFERROR(VLOOKUP("electricity|SO2|Non-fatal heart attacks", US_national_yearly!$D:$AM, 13, FALSE) / VLOOKUP("electricity|SO2|Non-fatal heart attacks", US_national_yearly!$D:$AM, 10, FALSE), 1)</f>
        <v>8.6715524257550067E-3</v>
      </c>
      <c r="F13" s="7">
        <f>$B13 * IFERROR(VLOOKUP("electricity|SO2|Non-fatal heart attacks", US_national_yearly!$D:$AM, 14, FALSE) / VLOOKUP("electricity|SO2|Non-fatal heart attacks", US_national_yearly!$D:$AM, 10, FALSE), 1)</f>
        <v>8.9062394235223299E-3</v>
      </c>
      <c r="G13" s="7">
        <f>$B13 * IFERROR(VLOOKUP("electricity|SO2|Non-fatal heart attacks", US_national_yearly!$D:$AM, 15, FALSE) / VLOOKUP("electricity|SO2|Non-fatal heart attacks", US_national_yearly!$D:$AM, 10, FALSE), 1)</f>
        <v>9.1289644257324613E-3</v>
      </c>
      <c r="H13" s="7">
        <f>$B13 * IFERROR(VLOOKUP("electricity|SO2|Non-fatal heart attacks", US_national_yearly!$D:$AM, 16, FALSE) / VLOOKUP("electricity|SO2|Non-fatal heart attacks", US_national_yearly!$D:$AM, 10, FALSE), 1)</f>
        <v>9.3516894279425927E-3</v>
      </c>
      <c r="I13" s="7">
        <f>$B13 * IFERROR(VLOOKUP("electricity|SO2|Non-fatal heart attacks", US_national_yearly!$D:$AM, 17, FALSE) / VLOOKUP("electricity|SO2|Non-fatal heart attacks", US_national_yearly!$D:$AM, 10, FALSE), 1)</f>
        <v>9.5330734487442653E-3</v>
      </c>
      <c r="J13" s="7">
        <f>$B13 * IFERROR(VLOOKUP("electricity|SO2|Non-fatal heart attacks", US_national_yearly!$D:$AM, 18, FALSE) / VLOOKUP("electricity|SO2|Non-fatal heart attacks", US_national_yearly!$D:$AM, 10, FALSE), 1)</f>
        <v>9.7144574695459344E-3</v>
      </c>
      <c r="K13" s="7">
        <f>$B13 * IFERROR(VLOOKUP("electricity|SO2|Non-fatal heart attacks", US_national_yearly!$D:$AM, 19, FALSE) / VLOOKUP("electricity|SO2|Non-fatal heart attacks", US_national_yearly!$D:$AM, 10, FALSE), 1)</f>
        <v>9.895841490347607E-3</v>
      </c>
      <c r="L13" s="7">
        <f>$B13 * IFERROR(VLOOKUP("electricity|SO2|Non-fatal heart attacks", US_national_yearly!$D:$AM, 20, FALSE) / VLOOKUP("electricity|SO2|Non-fatal heart attacks", US_national_yearly!$D:$AM, 10, FALSE), 1)</f>
        <v>1.0077225511149276E-2</v>
      </c>
      <c r="M13" s="7">
        <f>$B13 * IFERROR(VLOOKUP("electricity|SO2|Non-fatal heart attacks", US_national_yearly!$D:$AM, 21, FALSE) / VLOOKUP("electricity|SO2|Non-fatal heart attacks", US_national_yearly!$D:$AM, 10, FALSE), 1)</f>
        <v>1.0258609531950947E-2</v>
      </c>
      <c r="N13" s="7">
        <f>$B13 * IFERROR(VLOOKUP("electricity|SO2|Non-fatal heart attacks", US_national_yearly!$D:$AM, 22, FALSE) / VLOOKUP("electricity|SO2|Non-fatal heart attacks", US_national_yearly!$D:$AM, 10, FALSE), 1)</f>
        <v>1.037822375439173E-2</v>
      </c>
      <c r="O13" s="7">
        <f>$B13 * IFERROR(VLOOKUP("electricity|SO2|Non-fatal heart attacks", US_national_yearly!$D:$AM, 23, FALSE) / VLOOKUP("electricity|SO2|Non-fatal heart attacks", US_national_yearly!$D:$AM, 10, FALSE), 1)</f>
        <v>1.0497837976832514E-2</v>
      </c>
      <c r="P13" s="7">
        <f>$B13 * IFERROR(VLOOKUP("electricity|SO2|Non-fatal heart attacks", US_national_yearly!$D:$AM, 24, FALSE) / VLOOKUP("electricity|SO2|Non-fatal heart attacks", US_national_yearly!$D:$AM, 10, FALSE), 1)</f>
        <v>1.0617452199273297E-2</v>
      </c>
      <c r="Q13" s="7">
        <f>$B13 * IFERROR(VLOOKUP("electricity|SO2|Non-fatal heart attacks", US_national_yearly!$D:$AM, 25, FALSE) / VLOOKUP("electricity|SO2|Non-fatal heart attacks", US_national_yearly!$D:$AM, 10, FALSE), 1)</f>
        <v>1.073706642171408E-2</v>
      </c>
      <c r="R13" s="7">
        <f>$B13 * IFERROR(VLOOKUP("electricity|SO2|Non-fatal heart attacks", US_national_yearly!$D:$AM, 26, FALSE) / VLOOKUP("electricity|SO2|Non-fatal heart attacks", US_national_yearly!$D:$AM, 10, FALSE), 1)</f>
        <v>1.0856680644154864E-2</v>
      </c>
      <c r="S13" s="7">
        <f>$B13 * IFERROR(VLOOKUP("electricity|SO2|Non-fatal heart attacks", US_national_yearly!$D:$AM, 27, FALSE) / VLOOKUP("electricity|SO2|Non-fatal heart attacks", US_national_yearly!$D:$AM, 10, FALSE), 1)</f>
        <v>1.0921771857544487E-2</v>
      </c>
      <c r="T13" s="7">
        <f>$B13 * IFERROR(VLOOKUP("electricity|SO2|Non-fatal heart attacks", US_national_yearly!$D:$AM, 28, FALSE) / VLOOKUP("electricity|SO2|Non-fatal heart attacks", US_national_yearly!$D:$AM, 10, FALSE), 1)</f>
        <v>1.0986863070934111E-2</v>
      </c>
      <c r="U13" s="7">
        <f>$B13 * IFERROR(VLOOKUP("electricity|SO2|Non-fatal heart attacks", US_national_yearly!$D:$AM, 29, FALSE) / VLOOKUP("electricity|SO2|Non-fatal heart attacks", US_national_yearly!$D:$AM, 10, FALSE), 1)</f>
        <v>1.1051954284323736E-2</v>
      </c>
      <c r="V13" s="7">
        <f>$B13 * IFERROR(VLOOKUP("electricity|SO2|Non-fatal heart attacks", US_national_yearly!$D:$AM, 30, FALSE) / VLOOKUP("electricity|SO2|Non-fatal heart attacks", US_national_yearly!$D:$AM, 10, FALSE), 1)</f>
        <v>1.1117045497713356E-2</v>
      </c>
      <c r="W13" s="7">
        <f>$B13 * IFERROR(VLOOKUP("electricity|SO2|Non-fatal heart attacks", US_national_yearly!$D:$AM, 31, FALSE) / VLOOKUP("electricity|SO2|Non-fatal heart attacks", US_national_yearly!$D:$AM, 10, FALSE), 1)</f>
        <v>1.1182136711102981E-2</v>
      </c>
      <c r="X13" s="7">
        <f>$B13 * IFERROR(VLOOKUP("electricity|SO2|Non-fatal heart attacks", US_national_yearly!$D:$AM, 32, FALSE) / VLOOKUP("electricity|SO2|Non-fatal heart attacks", US_national_yearly!$D:$AM, 10, FALSE), 1)</f>
        <v>1.1232137629698661E-2</v>
      </c>
      <c r="Y13" s="7">
        <f>$B13 * IFERROR(VLOOKUP("electricity|SO2|Non-fatal heart attacks", US_national_yearly!$D:$AM, 33, FALSE) / VLOOKUP("electricity|SO2|Non-fatal heart attacks", US_national_yearly!$D:$AM, 10, FALSE), 1)</f>
        <v>1.1282138548294343E-2</v>
      </c>
      <c r="Z13" s="7">
        <f>$B13 * IFERROR(VLOOKUP("electricity|SO2|Non-fatal heart attacks", US_national_yearly!$D:$AM, 34, FALSE) / VLOOKUP("electricity|SO2|Non-fatal heart attacks", US_national_yearly!$D:$AM, 10, FALSE), 1)</f>
        <v>1.1332139466890021E-2</v>
      </c>
      <c r="AA13" s="7">
        <f>$B13 * IFERROR(VLOOKUP("electricity|SO2|Non-fatal heart attacks", US_national_yearly!$D:$AM, 35, FALSE) / VLOOKUP("electricity|SO2|Non-fatal heart attacks", US_national_yearly!$D:$AM, 10, FALSE), 1)</f>
        <v>1.1382140385485701E-2</v>
      </c>
      <c r="AB13" s="7">
        <f>$B13 * IFERROR(VLOOKUP("electricity|SO2|Non-fatal heart attacks", US_national_yearly!$D:$AM, 36, FALSE) / VLOOKUP("electricity|SO2|Non-fatal heart attacks", US_national_yearly!$D:$AM, 10, FALSE), 1)</f>
        <v>1.1432141304081381E-2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7.1229074308721847</v>
      </c>
      <c r="C14" s="7">
        <f>$B14 * IFERROR(VLOOKUP("electricity|SO2|Minor restricted activity days", US_national_yearly!$D:$AM, 11, FALSE) / VLOOKUP("electricity|SO2|Minor restricted activity days", US_national_yearly!$D:$AM, 10, FALSE), 1)</f>
        <v>7.1408069565041501</v>
      </c>
      <c r="D14" s="7">
        <f>$B14 * IFERROR(VLOOKUP("electricity|SO2|Minor restricted activity days", US_national_yearly!$D:$AM, 12, FALSE) / VLOOKUP("electricity|SO2|Minor restricted activity days", US_national_yearly!$D:$AM, 10, FALSE), 1)</f>
        <v>7.1587064821361146</v>
      </c>
      <c r="E14" s="7">
        <f>$B14 * IFERROR(VLOOKUP("electricity|SO2|Minor restricted activity days", US_national_yearly!$D:$AM, 13, FALSE) / VLOOKUP("electricity|SO2|Minor restricted activity days", US_national_yearly!$D:$AM, 10, FALSE), 1)</f>
        <v>7.1766060077680818</v>
      </c>
      <c r="F14" s="7">
        <f>$B14 * IFERROR(VLOOKUP("electricity|SO2|Minor restricted activity days", US_national_yearly!$D:$AM, 14, FALSE) / VLOOKUP("electricity|SO2|Minor restricted activity days", US_national_yearly!$D:$AM, 10, FALSE), 1)</f>
        <v>7.1945055334000445</v>
      </c>
      <c r="G14" s="7">
        <f>$B14 * IFERROR(VLOOKUP("electricity|SO2|Minor restricted activity days", US_national_yearly!$D:$AM, 15, FALSE) / VLOOKUP("electricity|SO2|Minor restricted activity days", US_national_yearly!$D:$AM, 10, FALSE), 1)</f>
        <v>7.2203664781777421</v>
      </c>
      <c r="H14" s="7">
        <f>$B14 * IFERROR(VLOOKUP("electricity|SO2|Minor restricted activity days", US_national_yearly!$D:$AM, 16, FALSE) / VLOOKUP("electricity|SO2|Minor restricted activity days", US_national_yearly!$D:$AM, 10, FALSE), 1)</f>
        <v>7.2462274229554398</v>
      </c>
      <c r="I14" s="7">
        <f>$B14 * IFERROR(VLOOKUP("electricity|SO2|Minor restricted activity days", US_national_yearly!$D:$AM, 17, FALSE) / VLOOKUP("electricity|SO2|Minor restricted activity days", US_national_yearly!$D:$AM, 10, FALSE), 1)</f>
        <v>7.2905809343139918</v>
      </c>
      <c r="J14" s="7">
        <f>$B14 * IFERROR(VLOOKUP("electricity|SO2|Minor restricted activity days", US_national_yearly!$D:$AM, 18, FALSE) / VLOOKUP("electricity|SO2|Minor restricted activity days", US_national_yearly!$D:$AM, 10, FALSE), 1)</f>
        <v>7.3349344456725465</v>
      </c>
      <c r="K14" s="7">
        <f>$B14 * IFERROR(VLOOKUP("electricity|SO2|Minor restricted activity days", US_national_yearly!$D:$AM, 19, FALSE) / VLOOKUP("electricity|SO2|Minor restricted activity days", US_national_yearly!$D:$AM, 10, FALSE), 1)</f>
        <v>7.3792879570310994</v>
      </c>
      <c r="L14" s="7">
        <f>$B14 * IFERROR(VLOOKUP("electricity|SO2|Minor restricted activity days", US_national_yearly!$D:$AM, 20, FALSE) / VLOOKUP("electricity|SO2|Minor restricted activity days", US_national_yearly!$D:$AM, 10, FALSE), 1)</f>
        <v>7.423641468389655</v>
      </c>
      <c r="M14" s="7">
        <f>$B14 * IFERROR(VLOOKUP("electricity|SO2|Minor restricted activity days", US_national_yearly!$D:$AM, 21, FALSE) / VLOOKUP("electricity|SO2|Minor restricted activity days", US_national_yearly!$D:$AM, 10, FALSE), 1)</f>
        <v>7.467994979748207</v>
      </c>
      <c r="N14" s="7">
        <f>$B14 * IFERROR(VLOOKUP("electricity|SO2|Minor restricted activity days", US_national_yearly!$D:$AM, 22, FALSE) / VLOOKUP("electricity|SO2|Minor restricted activity days", US_national_yearly!$D:$AM, 10, FALSE), 1)</f>
        <v>7.5290761716402734</v>
      </c>
      <c r="O14" s="7">
        <f>$B14 * IFERROR(VLOOKUP("electricity|SO2|Minor restricted activity days", US_national_yearly!$D:$AM, 23, FALSE) / VLOOKUP("electricity|SO2|Minor restricted activity days", US_national_yearly!$D:$AM, 10, FALSE), 1)</f>
        <v>7.5901573635323381</v>
      </c>
      <c r="P14" s="7">
        <f>$B14 * IFERROR(VLOOKUP("electricity|SO2|Minor restricted activity days", US_national_yearly!$D:$AM, 24, FALSE) / VLOOKUP("electricity|SO2|Minor restricted activity days", US_national_yearly!$D:$AM, 10, FALSE), 1)</f>
        <v>7.6512385554244018</v>
      </c>
      <c r="Q14" s="7">
        <f>$B14 * IFERROR(VLOOKUP("electricity|SO2|Minor restricted activity days", US_national_yearly!$D:$AM, 25, FALSE) / VLOOKUP("electricity|SO2|Minor restricted activity days", US_national_yearly!$D:$AM, 10, FALSE), 1)</f>
        <v>7.7123197473164682</v>
      </c>
      <c r="R14" s="7">
        <f>$B14 * IFERROR(VLOOKUP("electricity|SO2|Minor restricted activity days", US_national_yearly!$D:$AM, 26, FALSE) / VLOOKUP("electricity|SO2|Minor restricted activity days", US_national_yearly!$D:$AM, 10, FALSE), 1)</f>
        <v>7.7734009392085328</v>
      </c>
      <c r="S14" s="7">
        <f>$B14 * IFERROR(VLOOKUP("electricity|SO2|Minor restricted activity days", US_national_yearly!$D:$AM, 27, FALSE) / VLOOKUP("electricity|SO2|Minor restricted activity days", US_national_yearly!$D:$AM, 10, FALSE), 1)</f>
        <v>7.8360187908732293</v>
      </c>
      <c r="T14" s="7">
        <f>$B14 * IFERROR(VLOOKUP("electricity|SO2|Minor restricted activity days", US_national_yearly!$D:$AM, 28, FALSE) / VLOOKUP("electricity|SO2|Minor restricted activity days", US_national_yearly!$D:$AM, 10, FALSE), 1)</f>
        <v>7.8986366425379257</v>
      </c>
      <c r="U14" s="7">
        <f>$B14 * IFERROR(VLOOKUP("electricity|SO2|Minor restricted activity days", US_national_yearly!$D:$AM, 29, FALSE) / VLOOKUP("electricity|SO2|Minor restricted activity days", US_national_yearly!$D:$AM, 10, FALSE), 1)</f>
        <v>7.9612544942026204</v>
      </c>
      <c r="V14" s="7">
        <f>$B14 * IFERROR(VLOOKUP("electricity|SO2|Minor restricted activity days", US_national_yearly!$D:$AM, 30, FALSE) / VLOOKUP("electricity|SO2|Minor restricted activity days", US_national_yearly!$D:$AM, 10, FALSE), 1)</f>
        <v>8.0238723458673178</v>
      </c>
      <c r="W14" s="7">
        <f>$B14 * IFERROR(VLOOKUP("electricity|SO2|Minor restricted activity days", US_national_yearly!$D:$AM, 31, FALSE) / VLOOKUP("electricity|SO2|Minor restricted activity days", US_national_yearly!$D:$AM, 10, FALSE), 1)</f>
        <v>8.0864901975320134</v>
      </c>
      <c r="X14" s="7">
        <f>$B14 * IFERROR(VLOOKUP("electricity|SO2|Minor restricted activity days", US_national_yearly!$D:$AM, 32, FALSE) / VLOOKUP("electricity|SO2|Minor restricted activity days", US_national_yearly!$D:$AM, 10, FALSE), 1)</f>
        <v>8.1415870442406533</v>
      </c>
      <c r="Y14" s="7">
        <f>$B14 * IFERROR(VLOOKUP("electricity|SO2|Minor restricted activity days", US_national_yearly!$D:$AM, 33, FALSE) / VLOOKUP("electricity|SO2|Minor restricted activity days", US_national_yearly!$D:$AM, 10, FALSE), 1)</f>
        <v>8.1966838909492914</v>
      </c>
      <c r="Z14" s="7">
        <f>$B14 * IFERROR(VLOOKUP("electricity|SO2|Minor restricted activity days", US_national_yearly!$D:$AM, 34, FALSE) / VLOOKUP("electricity|SO2|Minor restricted activity days", US_national_yearly!$D:$AM, 10, FALSE), 1)</f>
        <v>8.2517807376579313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8.3068775843665712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8.3619744310752093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1.2102965925630933</v>
      </c>
      <c r="C15" s="7">
        <f>$B15 * IFERROR(VLOOKUP("electricity|SO2|Work loss days", US_national_yearly!$D:$AM, 11, FALSE) / VLOOKUP("electricity|SO2|Work loss days", US_national_yearly!$D:$AM, 10, FALSE), 1)</f>
        <v>1.2142155695330206</v>
      </c>
      <c r="D15" s="7">
        <f>$B15 * IFERROR(VLOOKUP("electricity|SO2|Work loss days", US_national_yearly!$D:$AM, 12, FALSE) / VLOOKUP("electricity|SO2|Work loss days", US_national_yearly!$D:$AM, 10, FALSE), 1)</f>
        <v>1.2181345465029481</v>
      </c>
      <c r="E15" s="7">
        <f>$B15 * IFERROR(VLOOKUP("electricity|SO2|Work loss days", US_national_yearly!$D:$AM, 13, FALSE) / VLOOKUP("electricity|SO2|Work loss days", US_national_yearly!$D:$AM, 10, FALSE), 1)</f>
        <v>1.2220535234728758</v>
      </c>
      <c r="F15" s="7">
        <f>$B15 * IFERROR(VLOOKUP("electricity|SO2|Work loss days", US_national_yearly!$D:$AM, 14, FALSE) / VLOOKUP("electricity|SO2|Work loss days", US_national_yearly!$D:$AM, 10, FALSE), 1)</f>
        <v>1.225972500442803</v>
      </c>
      <c r="G15" s="7">
        <f>$B15 * IFERROR(VLOOKUP("electricity|SO2|Work loss days", US_national_yearly!$D:$AM, 15, FALSE) / VLOOKUP("electricity|SO2|Work loss days", US_national_yearly!$D:$AM, 10, FALSE), 1)</f>
        <v>1.2309929527765671</v>
      </c>
      <c r="H15" s="7">
        <f>$B15 * IFERROR(VLOOKUP("electricity|SO2|Work loss days", US_national_yearly!$D:$AM, 16, FALSE) / VLOOKUP("electricity|SO2|Work loss days", US_national_yearly!$D:$AM, 10, FALSE), 1)</f>
        <v>1.2360134051103311</v>
      </c>
      <c r="I15" s="7">
        <f>$B15 * IFERROR(VLOOKUP("electricity|SO2|Work loss days", US_national_yearly!$D:$AM, 17, FALSE) / VLOOKUP("electricity|SO2|Work loss days", US_national_yearly!$D:$AM, 10, FALSE), 1)</f>
        <v>1.2433589174257109</v>
      </c>
      <c r="J15" s="7">
        <f>$B15 * IFERROR(VLOOKUP("electricity|SO2|Work loss days", US_national_yearly!$D:$AM, 18, FALSE) / VLOOKUP("electricity|SO2|Work loss days", US_national_yearly!$D:$AM, 10, FALSE), 1)</f>
        <v>1.2507044297410903</v>
      </c>
      <c r="K15" s="7">
        <f>$B15 * IFERROR(VLOOKUP("electricity|SO2|Work loss days", US_national_yearly!$D:$AM, 19, FALSE) / VLOOKUP("electricity|SO2|Work loss days", US_national_yearly!$D:$AM, 10, FALSE), 1)</f>
        <v>1.2580499420564704</v>
      </c>
      <c r="L15" s="7">
        <f>$B15 * IFERROR(VLOOKUP("electricity|SO2|Work loss days", US_national_yearly!$D:$AM, 20, FALSE) / VLOOKUP("electricity|SO2|Work loss days", US_national_yearly!$D:$AM, 10, FALSE), 1)</f>
        <v>1.26539545437185</v>
      </c>
      <c r="M15" s="7">
        <f>$B15 * IFERROR(VLOOKUP("electricity|SO2|Work loss days", US_national_yearly!$D:$AM, 21, FALSE) / VLOOKUP("electricity|SO2|Work loss days", US_national_yearly!$D:$AM, 10, FALSE), 1)</f>
        <v>1.27274096668723</v>
      </c>
      <c r="N15" s="7">
        <f>$B15 * IFERROR(VLOOKUP("electricity|SO2|Work loss days", US_national_yearly!$D:$AM, 22, FALSE) / VLOOKUP("electricity|SO2|Work loss days", US_national_yearly!$D:$AM, 10, FALSE), 1)</f>
        <v>1.2820348665527952</v>
      </c>
      <c r="O15" s="7">
        <f>$B15 * IFERROR(VLOOKUP("electricity|SO2|Work loss days", US_national_yearly!$D:$AM, 23, FALSE) / VLOOKUP("electricity|SO2|Work loss days", US_national_yearly!$D:$AM, 10, FALSE), 1)</f>
        <v>1.2913287664183606</v>
      </c>
      <c r="P15" s="7">
        <f>$B15 * IFERROR(VLOOKUP("electricity|SO2|Work loss days", US_national_yearly!$D:$AM, 24, FALSE) / VLOOKUP("electricity|SO2|Work loss days", US_national_yearly!$D:$AM, 10, FALSE), 1)</f>
        <v>1.300622666283926</v>
      </c>
      <c r="Q15" s="7">
        <f>$B15 * IFERROR(VLOOKUP("electricity|SO2|Work loss days", US_national_yearly!$D:$AM, 25, FALSE) / VLOOKUP("electricity|SO2|Work loss days", US_national_yearly!$D:$AM, 10, FALSE), 1)</f>
        <v>1.3099165661494911</v>
      </c>
      <c r="R15" s="7">
        <f>$B15 * IFERROR(VLOOKUP("electricity|SO2|Work loss days", US_national_yearly!$D:$AM, 26, FALSE) / VLOOKUP("electricity|SO2|Work loss days", US_national_yearly!$D:$AM, 10, FALSE), 1)</f>
        <v>1.3192104660150565</v>
      </c>
      <c r="S15" s="7">
        <f>$B15 * IFERROR(VLOOKUP("electricity|SO2|Work loss days", US_national_yearly!$D:$AM, 27, FALSE) / VLOOKUP("electricity|SO2|Work loss days", US_national_yearly!$D:$AM, 10, FALSE), 1)</f>
        <v>1.3296297950437974</v>
      </c>
      <c r="T15" s="7">
        <f>$B15 * IFERROR(VLOOKUP("electricity|SO2|Work loss days", US_national_yearly!$D:$AM, 28, FALSE) / VLOOKUP("electricity|SO2|Work loss days", US_national_yearly!$D:$AM, 10, FALSE), 1)</f>
        <v>1.3400491240725383</v>
      </c>
      <c r="U15" s="7">
        <f>$B15 * IFERROR(VLOOKUP("electricity|SO2|Work loss days", US_national_yearly!$D:$AM, 29, FALSE) / VLOOKUP("electricity|SO2|Work loss days", US_national_yearly!$D:$AM, 10, FALSE), 1)</f>
        <v>1.3504684531012794</v>
      </c>
      <c r="V15" s="7">
        <f>$B15 * IFERROR(VLOOKUP("electricity|SO2|Work loss days", US_national_yearly!$D:$AM, 30, FALSE) / VLOOKUP("electricity|SO2|Work loss days", US_national_yearly!$D:$AM, 10, FALSE), 1)</f>
        <v>1.3608877821300205</v>
      </c>
      <c r="W15" s="7">
        <f>$B15 * IFERROR(VLOOKUP("electricity|SO2|Work loss days", US_national_yearly!$D:$AM, 31, FALSE) / VLOOKUP("electricity|SO2|Work loss days", US_national_yearly!$D:$AM, 10, FALSE), 1)</f>
        <v>1.3713071111587614</v>
      </c>
      <c r="X15" s="7">
        <f>$B15 * IFERROR(VLOOKUP("electricity|SO2|Work loss days", US_national_yearly!$D:$AM, 32, FALSE) / VLOOKUP("electricity|SO2|Work loss days", US_national_yearly!$D:$AM, 10, FALSE), 1)</f>
        <v>1.3806938960808164</v>
      </c>
      <c r="Y15" s="7">
        <f>$B15 * IFERROR(VLOOKUP("electricity|SO2|Work loss days", US_national_yearly!$D:$AM, 33, FALSE) / VLOOKUP("electricity|SO2|Work loss days", US_national_yearly!$D:$AM, 10, FALSE), 1)</f>
        <v>1.3900806810028712</v>
      </c>
      <c r="Z15" s="7">
        <f>$B15 * IFERROR(VLOOKUP("electricity|SO2|Work loss days", US_national_yearly!$D:$AM, 34, FALSE) / VLOOKUP("electricity|SO2|Work loss days", US_national_yearly!$D:$AM, 10, FALSE), 1)</f>
        <v>1.399467465924926</v>
      </c>
      <c r="AA15" s="7">
        <f>$B15 * IFERROR(VLOOKUP("electricity|SO2|Work loss days", US_national_yearly!$D:$AM, 35, FALSE) / VLOOKUP("electricity|SO2|Work loss days", US_national_yearly!$D:$AM, 10, FALSE), 1)</f>
        <v>1.4088542508469808</v>
      </c>
      <c r="AB15" s="7">
        <f>$B15 * IFERROR(VLOOKUP("electricity|SO2|Work loss days", US_national_yearly!$D:$AM, 36, FALSE) / VLOOKUP("electricity|SO2|Work loss days", US_national_yearly!$D:$AM, 10, FALSE), 1)</f>
        <v>1.4182410357690358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1.5374053312989598E-3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1.5839929865504884E-3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1.6305806418020173E-3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1.6771682970535462E-3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1.7237559523050751E-3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1.7686634833299598E-3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1.8135710143548452E-3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1.8524492845141127E-3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1.8913275546733805E-3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1.9302058248326481E-3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1.9690840949919152E-3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2.007962365151183E-3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2.0344966808808905E-3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2.0610309966105976E-3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2.087565312340306E-3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2.114099628070013E-3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2.1406339437997205E-3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2.1551805417746334E-3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2.1697271397495463E-3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2.1842737377244592E-3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2.1988203356993717E-3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2.2133669336742846E-3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2.2234082730934941E-3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2.2334496125127031E-3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2.2434909519319121E-3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2.2535322913511215E-3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2.2635736307703306E-3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2.107525135222757E-2</v>
      </c>
      <c r="C2" s="7">
        <f>$B2 * IFERROR(VLOOKUP("buildings|PM25|Premature mortality", US_national_yearly!$D:$AM, 11, FALSE) / VLOOKUP("buildings|PM25|Premature mortality", US_national_yearly!$D:$AM, 10, FALSE), 1)</f>
        <v>2.1336727536558329E-2</v>
      </c>
      <c r="D2" s="7">
        <f>$B2 * IFERROR(VLOOKUP("buildings|PM25|Premature mortality", US_national_yearly!$D:$AM, 12, FALSE) / VLOOKUP("buildings|PM25|Premature mortality", US_national_yearly!$D:$AM, 10, FALSE), 1)</f>
        <v>2.1598203720889084E-2</v>
      </c>
      <c r="E2" s="7">
        <f>$B2 * IFERROR(VLOOKUP("buildings|PM25|Premature mortality", US_national_yearly!$D:$AM, 13, FALSE) / VLOOKUP("buildings|PM25|Premature mortality", US_national_yearly!$D:$AM, 10, FALSE), 1)</f>
        <v>2.1859679905219843E-2</v>
      </c>
      <c r="F2" s="7">
        <f>$B2 * IFERROR(VLOOKUP("buildings|PM25|Premature mortality", US_national_yearly!$D:$AM, 14, FALSE) / VLOOKUP("buildings|PM25|Premature mortality", US_national_yearly!$D:$AM, 10, FALSE), 1)</f>
        <v>2.2121156089550603E-2</v>
      </c>
      <c r="G2" s="7">
        <f>$B2 * IFERROR(VLOOKUP("buildings|PM25|Premature mortality", US_national_yearly!$D:$AM, 15, FALSE) / VLOOKUP("buildings|PM25|Premature mortality", US_national_yearly!$D:$AM, 10, FALSE), 1)</f>
        <v>2.2630303841645289E-2</v>
      </c>
      <c r="H2" s="7">
        <f>$B2 * IFERROR(VLOOKUP("buildings|PM25|Premature mortality", US_national_yearly!$D:$AM, 16, FALSE) / VLOOKUP("buildings|PM25|Premature mortality", US_national_yearly!$D:$AM, 10, FALSE), 1)</f>
        <v>2.3139451593739976E-2</v>
      </c>
      <c r="I2" s="7">
        <f>$B2 * IFERROR(VLOOKUP("buildings|PM25|Premature mortality", US_national_yearly!$D:$AM, 17, FALSE) / VLOOKUP("buildings|PM25|Premature mortality", US_national_yearly!$D:$AM, 10, FALSE), 1)</f>
        <v>2.3474309300713675E-2</v>
      </c>
      <c r="J2" s="7">
        <f>$B2 * IFERROR(VLOOKUP("buildings|PM25|Premature mortality", US_national_yearly!$D:$AM, 18, FALSE) / VLOOKUP("buildings|PM25|Premature mortality", US_national_yearly!$D:$AM, 10, FALSE), 1)</f>
        <v>2.3809167007687374E-2</v>
      </c>
      <c r="K2" s="7">
        <f>$B2 * IFERROR(VLOOKUP("buildings|PM25|Premature mortality", US_national_yearly!$D:$AM, 19, FALSE) / VLOOKUP("buildings|PM25|Premature mortality", US_national_yearly!$D:$AM, 10, FALSE), 1)</f>
        <v>2.4144024714661073E-2</v>
      </c>
      <c r="L2" s="7">
        <f>$B2 * IFERROR(VLOOKUP("buildings|PM25|Premature mortality", US_national_yearly!$D:$AM, 20, FALSE) / VLOOKUP("buildings|PM25|Premature mortality", US_national_yearly!$D:$AM, 10, FALSE), 1)</f>
        <v>2.4478882421634773E-2</v>
      </c>
      <c r="M2" s="7">
        <f>$B2 * IFERROR(VLOOKUP("buildings|PM25|Premature mortality", US_national_yearly!$D:$AM, 21, FALSE) / VLOOKUP("buildings|PM25|Premature mortality", US_national_yearly!$D:$AM, 10, FALSE), 1)</f>
        <v>2.4813740128608475E-2</v>
      </c>
      <c r="N2" s="7">
        <f>$B2 * IFERROR(VLOOKUP("buildings|PM25|Premature mortality", US_national_yearly!$D:$AM, 22, FALSE) / VLOOKUP("buildings|PM25|Premature mortality", US_national_yearly!$D:$AM, 10, FALSE), 1)</f>
        <v>2.5074129212472901E-2</v>
      </c>
      <c r="O2" s="7">
        <f>$B2 * IFERROR(VLOOKUP("buildings|PM25|Premature mortality", US_national_yearly!$D:$AM, 23, FALSE) / VLOOKUP("buildings|PM25|Premature mortality", US_national_yearly!$D:$AM, 10, FALSE), 1)</f>
        <v>2.5334518296337333E-2</v>
      </c>
      <c r="P2" s="7">
        <f>$B2 * IFERROR(VLOOKUP("buildings|PM25|Premature mortality", US_national_yearly!$D:$AM, 24, FALSE) / VLOOKUP("buildings|PM25|Premature mortality", US_national_yearly!$D:$AM, 10, FALSE), 1)</f>
        <v>2.5594907380201759E-2</v>
      </c>
      <c r="Q2" s="7">
        <f>$B2 * IFERROR(VLOOKUP("buildings|PM25|Premature mortality", US_national_yearly!$D:$AM, 25, FALSE) / VLOOKUP("buildings|PM25|Premature mortality", US_national_yearly!$D:$AM, 10, FALSE), 1)</f>
        <v>2.5855296464066195E-2</v>
      </c>
      <c r="R2" s="7">
        <f>$B2 * IFERROR(VLOOKUP("buildings|PM25|Premature mortality", US_national_yearly!$D:$AM, 26, FALSE) / VLOOKUP("buildings|PM25|Premature mortality", US_national_yearly!$D:$AM, 10, FALSE), 1)</f>
        <v>2.6115685547930624E-2</v>
      </c>
      <c r="S2" s="7">
        <f>$B2 * IFERROR(VLOOKUP("buildings|PM25|Premature mortality", US_national_yearly!$D:$AM, 27, FALSE) / VLOOKUP("buildings|PM25|Premature mortality", US_national_yearly!$D:$AM, 10, FALSE), 1)</f>
        <v>2.6254084932417505E-2</v>
      </c>
      <c r="T2" s="7">
        <f>$B2 * IFERROR(VLOOKUP("buildings|PM25|Premature mortality", US_national_yearly!$D:$AM, 28, FALSE) / VLOOKUP("buildings|PM25|Premature mortality", US_national_yearly!$D:$AM, 10, FALSE), 1)</f>
        <v>2.6392484316904396E-2</v>
      </c>
      <c r="U2" s="7">
        <f>$B2 * IFERROR(VLOOKUP("buildings|PM25|Premature mortality", US_national_yearly!$D:$AM, 29, FALSE) / VLOOKUP("buildings|PM25|Premature mortality", US_national_yearly!$D:$AM, 10, FALSE), 1)</f>
        <v>2.6530883701391283E-2</v>
      </c>
      <c r="V2" s="7">
        <f>$B2 * IFERROR(VLOOKUP("buildings|PM25|Premature mortality", US_national_yearly!$D:$AM, 30, FALSE) / VLOOKUP("buildings|PM25|Premature mortality", US_national_yearly!$D:$AM, 10, FALSE), 1)</f>
        <v>2.6669283085878171E-2</v>
      </c>
      <c r="W2" s="7">
        <f>$B2 * IFERROR(VLOOKUP("buildings|PM25|Premature mortality", US_national_yearly!$D:$AM, 31, FALSE) / VLOOKUP("buildings|PM25|Premature mortality", US_national_yearly!$D:$AM, 10, FALSE), 1)</f>
        <v>2.6807682470365055E-2</v>
      </c>
      <c r="X2" s="7">
        <f>$B2 * IFERROR(VLOOKUP("buildings|PM25|Premature mortality", US_national_yearly!$D:$AM, 32, FALSE) / VLOOKUP("buildings|PM25|Premature mortality", US_national_yearly!$D:$AM, 10, FALSE), 1)</f>
        <v>2.6832524048787314E-2</v>
      </c>
      <c r="Y2" s="7">
        <f>$B2 * IFERROR(VLOOKUP("buildings|PM25|Premature mortality", US_national_yearly!$D:$AM, 33, FALSE) / VLOOKUP("buildings|PM25|Premature mortality", US_national_yearly!$D:$AM, 10, FALSE), 1)</f>
        <v>2.685736562720957E-2</v>
      </c>
      <c r="Z2" s="7">
        <f>$B2 * IFERROR(VLOOKUP("buildings|PM25|Premature mortality", US_national_yearly!$D:$AM, 34, FALSE) / VLOOKUP("buildings|PM25|Premature mortality", US_national_yearly!$D:$AM, 10, FALSE), 1)</f>
        <v>2.6882207205631829E-2</v>
      </c>
      <c r="AA2" s="7">
        <f>$B2 * IFERROR(VLOOKUP("buildings|PM25|Premature mortality", US_national_yearly!$D:$AM, 35, FALSE) / VLOOKUP("buildings|PM25|Premature mortality", US_national_yearly!$D:$AM, 10, FALSE), 1)</f>
        <v>2.6907048784054092E-2</v>
      </c>
      <c r="AB2" s="7">
        <f>$B2 * IFERROR(VLOOKUP("buildings|PM25|Premature mortality", US_national_yearly!$D:$AM, 36, FALSE) / VLOOKUP("buildings|PM25|Premature mortality", US_national_yearly!$D:$AM, 10, FALSE), 1)</f>
        <v>2.6931890362476344E-2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4.5106472953287561E-5</v>
      </c>
      <c r="C3" s="7">
        <f>$B3 * IFERROR(VLOOKUP("buildings|PM25|Infant mortality", US_national_yearly!$D:$AM, 11, FALSE) / VLOOKUP("buildings|PM25|Infant mortality", US_national_yearly!$D:$AM, 10, FALSE), 1)</f>
        <v>4.4715777930946177E-5</v>
      </c>
      <c r="D3" s="7">
        <f>$B3 * IFERROR(VLOOKUP("buildings|PM25|Infant mortality", US_national_yearly!$D:$AM, 12, FALSE) / VLOOKUP("buildings|PM25|Infant mortality", US_national_yearly!$D:$AM, 10, FALSE), 1)</f>
        <v>4.4325082908604786E-5</v>
      </c>
      <c r="E3" s="7">
        <f>$B3 * IFERROR(VLOOKUP("buildings|PM25|Infant mortality", US_national_yearly!$D:$AM, 13, FALSE) / VLOOKUP("buildings|PM25|Infant mortality", US_national_yearly!$D:$AM, 10, FALSE), 1)</f>
        <v>4.3934387886263402E-5</v>
      </c>
      <c r="F3" s="7">
        <f>$B3 * IFERROR(VLOOKUP("buildings|PM25|Infant mortality", US_national_yearly!$D:$AM, 14, FALSE) / VLOOKUP("buildings|PM25|Infant mortality", US_national_yearly!$D:$AM, 10, FALSE), 1)</f>
        <v>4.3543692863922025E-5</v>
      </c>
      <c r="G3" s="7">
        <f>$B3 * IFERROR(VLOOKUP("buildings|PM25|Infant mortality", US_national_yearly!$D:$AM, 15, FALSE) / VLOOKUP("buildings|PM25|Infant mortality", US_national_yearly!$D:$AM, 10, FALSE), 1)</f>
        <v>2.8954976025244917E-5</v>
      </c>
      <c r="H3" s="7">
        <f>$B3 * IFERROR(VLOOKUP("buildings|PM25|Infant mortality", US_national_yearly!$D:$AM, 16, FALSE) / VLOOKUP("buildings|PM25|Infant mortality", US_national_yearly!$D:$AM, 10, FALSE), 1)</f>
        <v>1.4366259186567812E-5</v>
      </c>
      <c r="I3" s="7">
        <f>$B3 * IFERROR(VLOOKUP("buildings|PM25|Infant mortality", US_national_yearly!$D:$AM, 17, FALSE) / VLOOKUP("buildings|PM25|Infant mortality", US_national_yearly!$D:$AM, 10, FALSE), 1)</f>
        <v>1.4272642814310405E-5</v>
      </c>
      <c r="J3" s="7">
        <f>$B3 * IFERROR(VLOOKUP("buildings|PM25|Infant mortality", US_national_yearly!$D:$AM, 18, FALSE) / VLOOKUP("buildings|PM25|Infant mortality", US_national_yearly!$D:$AM, 10, FALSE), 1)</f>
        <v>1.4179026442053001E-5</v>
      </c>
      <c r="K3" s="7">
        <f>$B3 * IFERROR(VLOOKUP("buildings|PM25|Infant mortality", US_national_yearly!$D:$AM, 19, FALSE) / VLOOKUP("buildings|PM25|Infant mortality", US_national_yearly!$D:$AM, 10, FALSE), 1)</f>
        <v>1.4085410069795596E-5</v>
      </c>
      <c r="L3" s="7">
        <f>$B3 * IFERROR(VLOOKUP("buildings|PM25|Infant mortality", US_national_yearly!$D:$AM, 20, FALSE) / VLOOKUP("buildings|PM25|Infant mortality", US_national_yearly!$D:$AM, 10, FALSE), 1)</f>
        <v>1.3991793697538189E-5</v>
      </c>
      <c r="M3" s="7">
        <f>$B3 * IFERROR(VLOOKUP("buildings|PM25|Infant mortality", US_national_yearly!$D:$AM, 21, FALSE) / VLOOKUP("buildings|PM25|Infant mortality", US_national_yearly!$D:$AM, 10, FALSE), 1)</f>
        <v>1.3898177325280785E-5</v>
      </c>
      <c r="N3" s="7">
        <f>$B3 * IFERROR(VLOOKUP("buildings|PM25|Infant mortality", US_national_yearly!$D:$AM, 22, FALSE) / VLOOKUP("buildings|PM25|Infant mortality", US_national_yearly!$D:$AM, 10, FALSE), 1)</f>
        <v>1.383960196292598E-5</v>
      </c>
      <c r="O3" s="7">
        <f>$B3 * IFERROR(VLOOKUP("buildings|PM25|Infant mortality", US_national_yearly!$D:$AM, 23, FALSE) / VLOOKUP("buildings|PM25|Infant mortality", US_national_yearly!$D:$AM, 10, FALSE), 1)</f>
        <v>1.3781026600571176E-5</v>
      </c>
      <c r="P3" s="7">
        <f>$B3 * IFERROR(VLOOKUP("buildings|PM25|Infant mortality", US_national_yearly!$D:$AM, 24, FALSE) / VLOOKUP("buildings|PM25|Infant mortality", US_national_yearly!$D:$AM, 10, FALSE), 1)</f>
        <v>1.3722451238216372E-5</v>
      </c>
      <c r="Q3" s="7">
        <f>$B3 * IFERROR(VLOOKUP("buildings|PM25|Infant mortality", US_national_yearly!$D:$AM, 25, FALSE) / VLOOKUP("buildings|PM25|Infant mortality", US_national_yearly!$D:$AM, 10, FALSE), 1)</f>
        <v>1.3663875875861569E-5</v>
      </c>
      <c r="R3" s="7">
        <f>$B3 * IFERROR(VLOOKUP("buildings|PM25|Infant mortality", US_national_yearly!$D:$AM, 26, FALSE) / VLOOKUP("buildings|PM25|Infant mortality", US_national_yearly!$D:$AM, 10, FALSE), 1)</f>
        <v>1.3605300513506765E-5</v>
      </c>
      <c r="S3" s="7">
        <f>$B3 * IFERROR(VLOOKUP("buildings|PM25|Infant mortality", US_national_yearly!$D:$AM, 27, FALSE) / VLOOKUP("buildings|PM25|Infant mortality", US_national_yearly!$D:$AM, 10, FALSE), 1)</f>
        <v>1.3532165145813644E-5</v>
      </c>
      <c r="T3" s="7">
        <f>$B3 * IFERROR(VLOOKUP("buildings|PM25|Infant mortality", US_national_yearly!$D:$AM, 28, FALSE) / VLOOKUP("buildings|PM25|Infant mortality", US_national_yearly!$D:$AM, 10, FALSE), 1)</f>
        <v>1.3459029778120526E-5</v>
      </c>
      <c r="U3" s="7">
        <f>$B3 * IFERROR(VLOOKUP("buildings|PM25|Infant mortality", US_national_yearly!$D:$AM, 29, FALSE) / VLOOKUP("buildings|PM25|Infant mortality", US_national_yearly!$D:$AM, 10, FALSE), 1)</f>
        <v>1.3385894410427401E-5</v>
      </c>
      <c r="V3" s="7">
        <f>$B3 * IFERROR(VLOOKUP("buildings|PM25|Infant mortality", US_national_yearly!$D:$AM, 30, FALSE) / VLOOKUP("buildings|PM25|Infant mortality", US_national_yearly!$D:$AM, 10, FALSE), 1)</f>
        <v>1.3312759042734283E-5</v>
      </c>
      <c r="W3" s="7">
        <f>$B3 * IFERROR(VLOOKUP("buildings|PM25|Infant mortality", US_national_yearly!$D:$AM, 31, FALSE) / VLOOKUP("buildings|PM25|Infant mortality", US_national_yearly!$D:$AM, 10, FALSE), 1)</f>
        <v>1.3239623675041161E-5</v>
      </c>
      <c r="X3" s="7">
        <f>$B3 * IFERROR(VLOOKUP("buildings|PM25|Infant mortality", US_national_yearly!$D:$AM, 32, FALSE) / VLOOKUP("buildings|PM25|Infant mortality", US_national_yearly!$D:$AM, 10, FALSE), 1)</f>
        <v>1.3160884035260592E-5</v>
      </c>
      <c r="Y3" s="7">
        <f>$B3 * IFERROR(VLOOKUP("buildings|PM25|Infant mortality", US_national_yearly!$D:$AM, 33, FALSE) / VLOOKUP("buildings|PM25|Infant mortality", US_national_yearly!$D:$AM, 10, FALSE), 1)</f>
        <v>1.3082144395480024E-5</v>
      </c>
      <c r="Z3" s="7">
        <f>$B3 * IFERROR(VLOOKUP("buildings|PM25|Infant mortality", US_national_yearly!$D:$AM, 34, FALSE) / VLOOKUP("buildings|PM25|Infant mortality", US_national_yearly!$D:$AM, 10, FALSE), 1)</f>
        <v>1.3003404755699454E-5</v>
      </c>
      <c r="AA3" s="7">
        <f>$B3 * IFERROR(VLOOKUP("buildings|PM25|Infant mortality", US_national_yearly!$D:$AM, 35, FALSE) / VLOOKUP("buildings|PM25|Infant mortality", US_national_yearly!$D:$AM, 10, FALSE), 1)</f>
        <v>1.2924665115918884E-5</v>
      </c>
      <c r="AB3" s="7">
        <f>$B3 * IFERROR(VLOOKUP("buildings|PM25|Infant mortality", US_national_yearly!$D:$AM, 36, FALSE) / VLOOKUP("buildings|PM25|Infant mortality", US_national_yearly!$D:$AM, 10, FALSE), 1)</f>
        <v>1.2845925476138316E-5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6.1135199469468611E-2</v>
      </c>
      <c r="C6" s="7">
        <f>$B6 * IFERROR(VLOOKUP("buildings|PM25|Asthma symptoms cough", US_national_yearly!$D:$AM, 11, FALSE) / VLOOKUP("buildings|PM25|Asthma symptoms cough", US_national_yearly!$D:$AM, 10, FALSE), 1)</f>
        <v>6.1135199469468611E-2</v>
      </c>
      <c r="D6" s="7">
        <f>$B6 * IFERROR(VLOOKUP("buildings|PM25|Asthma symptoms cough", US_national_yearly!$D:$AM, 12, FALSE) / VLOOKUP("buildings|PM25|Asthma symptoms cough", US_national_yearly!$D:$AM, 10, FALSE), 1)</f>
        <v>6.1135199469468611E-2</v>
      </c>
      <c r="E6" s="7">
        <f>$B6 * IFERROR(VLOOKUP("buildings|PM25|Asthma symptoms cough", US_national_yearly!$D:$AM, 13, FALSE) / VLOOKUP("buildings|PM25|Asthma symptoms cough", US_national_yearly!$D:$AM, 10, FALSE), 1)</f>
        <v>6.1135199469468611E-2</v>
      </c>
      <c r="F6" s="7">
        <f>$B6 * IFERROR(VLOOKUP("buildings|PM25|Asthma symptoms cough", US_national_yearly!$D:$AM, 14, FALSE) / VLOOKUP("buildings|PM25|Asthma symptoms cough", US_national_yearly!$D:$AM, 10, FALSE), 1)</f>
        <v>6.1135199469468611E-2</v>
      </c>
      <c r="G6" s="7">
        <f>$B6 * IFERROR(VLOOKUP("buildings|PM25|Asthma symptoms cough", US_national_yearly!$D:$AM, 15, FALSE) / VLOOKUP("buildings|PM25|Asthma symptoms cough", US_national_yearly!$D:$AM, 10, FALSE), 1)</f>
        <v>6.1135199469468611E-2</v>
      </c>
      <c r="H6" s="7">
        <f>$B6 * IFERROR(VLOOKUP("buildings|PM25|Asthma symptoms cough", US_national_yearly!$D:$AM, 16, FALSE) / VLOOKUP("buildings|PM25|Asthma symptoms cough", US_national_yearly!$D:$AM, 10, FALSE), 1)</f>
        <v>6.1135199469468611E-2</v>
      </c>
      <c r="I6" s="7">
        <f>$B6 * IFERROR(VLOOKUP("buildings|PM25|Asthma symptoms cough", US_national_yearly!$D:$AM, 17, FALSE) / VLOOKUP("buildings|PM25|Asthma symptoms cough", US_national_yearly!$D:$AM, 10, FALSE), 1)</f>
        <v>6.1135199469468611E-2</v>
      </c>
      <c r="J6" s="7">
        <f>$B6 * IFERROR(VLOOKUP("buildings|PM25|Asthma symptoms cough", US_national_yearly!$D:$AM, 18, FALSE) / VLOOKUP("buildings|PM25|Asthma symptoms cough", US_national_yearly!$D:$AM, 10, FALSE), 1)</f>
        <v>6.1135199469468611E-2</v>
      </c>
      <c r="K6" s="7">
        <f>$B6 * IFERROR(VLOOKUP("buildings|PM25|Asthma symptoms cough", US_national_yearly!$D:$AM, 19, FALSE) / VLOOKUP("buildings|PM25|Asthma symptoms cough", US_national_yearly!$D:$AM, 10, FALSE), 1)</f>
        <v>6.1135199469468611E-2</v>
      </c>
      <c r="L6" s="7">
        <f>$B6 * IFERROR(VLOOKUP("buildings|PM25|Asthma symptoms cough", US_national_yearly!$D:$AM, 20, FALSE) / VLOOKUP("buildings|PM25|Asthma symptoms cough", US_national_yearly!$D:$AM, 10, FALSE), 1)</f>
        <v>6.1135199469468611E-2</v>
      </c>
      <c r="M6" s="7">
        <f>$B6 * IFERROR(VLOOKUP("buildings|PM25|Asthma symptoms cough", US_national_yearly!$D:$AM, 21, FALSE) / VLOOKUP("buildings|PM25|Asthma symptoms cough", US_national_yearly!$D:$AM, 10, FALSE), 1)</f>
        <v>6.1135199469468611E-2</v>
      </c>
      <c r="N6" s="7">
        <f>$B6 * IFERROR(VLOOKUP("buildings|PM25|Asthma symptoms cough", US_national_yearly!$D:$AM, 22, FALSE) / VLOOKUP("buildings|PM25|Asthma symptoms cough", US_national_yearly!$D:$AM, 10, FALSE), 1)</f>
        <v>6.1135199469468611E-2</v>
      </c>
      <c r="O6" s="7">
        <f>$B6 * IFERROR(VLOOKUP("buildings|PM25|Asthma symptoms cough", US_national_yearly!$D:$AM, 23, FALSE) / VLOOKUP("buildings|PM25|Asthma symptoms cough", US_national_yearly!$D:$AM, 10, FALSE), 1)</f>
        <v>6.1135199469468611E-2</v>
      </c>
      <c r="P6" s="7">
        <f>$B6 * IFERROR(VLOOKUP("buildings|PM25|Asthma symptoms cough", US_national_yearly!$D:$AM, 24, FALSE) / VLOOKUP("buildings|PM25|Asthma symptoms cough", US_national_yearly!$D:$AM, 10, FALSE), 1)</f>
        <v>6.1135199469468611E-2</v>
      </c>
      <c r="Q6" s="7">
        <f>$B6 * IFERROR(VLOOKUP("buildings|PM25|Asthma symptoms cough", US_national_yearly!$D:$AM, 25, FALSE) / VLOOKUP("buildings|PM25|Asthma symptoms cough", US_national_yearly!$D:$AM, 10, FALSE), 1)</f>
        <v>6.1135199469468611E-2</v>
      </c>
      <c r="R6" s="7">
        <f>$B6 * IFERROR(VLOOKUP("buildings|PM25|Asthma symptoms cough", US_national_yearly!$D:$AM, 26, FALSE) / VLOOKUP("buildings|PM25|Asthma symptoms cough", US_national_yearly!$D:$AM, 10, FALSE), 1)</f>
        <v>6.1135199469468611E-2</v>
      </c>
      <c r="S6" s="7">
        <f>$B6 * IFERROR(VLOOKUP("buildings|PM25|Asthma symptoms cough", US_national_yearly!$D:$AM, 27, FALSE) / VLOOKUP("buildings|PM25|Asthma symptoms cough", US_national_yearly!$D:$AM, 10, FALSE), 1)</f>
        <v>6.1135199469468611E-2</v>
      </c>
      <c r="T6" s="7">
        <f>$B6 * IFERROR(VLOOKUP("buildings|PM25|Asthma symptoms cough", US_national_yearly!$D:$AM, 28, FALSE) / VLOOKUP("buildings|PM25|Asthma symptoms cough", US_national_yearly!$D:$AM, 10, FALSE), 1)</f>
        <v>6.1135199469468611E-2</v>
      </c>
      <c r="U6" s="7">
        <f>$B6 * IFERROR(VLOOKUP("buildings|PM25|Asthma symptoms cough", US_national_yearly!$D:$AM, 29, FALSE) / VLOOKUP("buildings|PM25|Asthma symptoms cough", US_national_yearly!$D:$AM, 10, FALSE), 1)</f>
        <v>6.1135199469468611E-2</v>
      </c>
      <c r="V6" s="7">
        <f>$B6 * IFERROR(VLOOKUP("buildings|PM25|Asthma symptoms cough", US_national_yearly!$D:$AM, 30, FALSE) / VLOOKUP("buildings|PM25|Asthma symptoms cough", US_national_yearly!$D:$AM, 10, FALSE), 1)</f>
        <v>6.1135199469468611E-2</v>
      </c>
      <c r="W6" s="7">
        <f>$B6 * IFERROR(VLOOKUP("buildings|PM25|Asthma symptoms cough", US_national_yearly!$D:$AM, 31, FALSE) / VLOOKUP("buildings|PM25|Asthma symptoms cough", US_national_yearly!$D:$AM, 10, FALSE), 1)</f>
        <v>6.1135199469468611E-2</v>
      </c>
      <c r="X6" s="7">
        <f>$B6 * IFERROR(VLOOKUP("buildings|PM25|Asthma symptoms cough", US_national_yearly!$D:$AM, 32, FALSE) / VLOOKUP("buildings|PM25|Asthma symptoms cough", US_national_yearly!$D:$AM, 10, FALSE), 1)</f>
        <v>6.1135199469468611E-2</v>
      </c>
      <c r="Y6" s="7">
        <f>$B6 * IFERROR(VLOOKUP("buildings|PM25|Asthma symptoms cough", US_national_yearly!$D:$AM, 33, FALSE) / VLOOKUP("buildings|PM25|Asthma symptoms cough", US_national_yearly!$D:$AM, 10, FALSE), 1)</f>
        <v>6.1135199469468611E-2</v>
      </c>
      <c r="Z6" s="7">
        <f>$B6 * IFERROR(VLOOKUP("buildings|PM25|Asthma symptoms cough", US_national_yearly!$D:$AM, 34, FALSE) / VLOOKUP("buildings|PM25|Asthma symptoms cough", US_national_yearly!$D:$AM, 10, FALSE), 1)</f>
        <v>6.1135199469468611E-2</v>
      </c>
      <c r="AA6" s="7">
        <f>$B6 * IFERROR(VLOOKUP("buildings|PM25|Asthma symptoms cough", US_national_yearly!$D:$AM, 35, FALSE) / VLOOKUP("buildings|PM25|Asthma symptoms cough", US_national_yearly!$D:$AM, 10, FALSE), 1)</f>
        <v>6.1135199469468611E-2</v>
      </c>
      <c r="AB6" s="7">
        <f>$B6 * IFERROR(VLOOKUP("buildings|PM25|Asthma symptoms cough", US_national_yearly!$D:$AM, 36, FALSE) / VLOOKUP("buildings|PM25|Asthma symptoms cough", US_national_yearly!$D:$AM, 10, FALSE), 1)</f>
        <v>6.1135199469468611E-2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8.2327496170359893E-2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8.2327496170359893E-2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8.2327496170359893E-2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8.2327496170359893E-2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8.2327496170359893E-2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8.2327496170359893E-2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8.2327496170359893E-2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8.2327496170359893E-2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8.2327496170359893E-2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8.2327496170359893E-2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8.2327496170359893E-2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8.2327496170359893E-2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8.2327496170359893E-2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8.2327496170359893E-2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8.2327496170359893E-2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8.2327496170359893E-2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8.2327496170359893E-2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8.2327496170359893E-2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8.2327496170359893E-2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8.2327496170359893E-2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8.2327496170359893E-2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8.2327496170359893E-2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8.2327496170359893E-2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8.2327496170359893E-2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8.2327496170359893E-2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8.2327496170359893E-2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8.2327496170359893E-2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0.12578217946777159</v>
      </c>
      <c r="C8" s="7">
        <f>$B8 * IFERROR(VLOOKUP("buildings|PM25|Asthma symptoms wheeze", US_national_yearly!$D:$AM, 11, FALSE) / VLOOKUP("buildings|PM25|Asthma symptoms wheeze", US_national_yearly!$D:$AM, 10, FALSE), 1)</f>
        <v>0.12578217946777159</v>
      </c>
      <c r="D8" s="7">
        <f>$B8 * IFERROR(VLOOKUP("buildings|PM25|Asthma symptoms wheeze", US_national_yearly!$D:$AM, 12, FALSE) / VLOOKUP("buildings|PM25|Asthma symptoms wheeze", US_national_yearly!$D:$AM, 10, FALSE), 1)</f>
        <v>0.12578217946777159</v>
      </c>
      <c r="E8" s="7">
        <f>$B8 * IFERROR(VLOOKUP("buildings|PM25|Asthma symptoms wheeze", US_national_yearly!$D:$AM, 13, FALSE) / VLOOKUP("buildings|PM25|Asthma symptoms wheeze", US_national_yearly!$D:$AM, 10, FALSE), 1)</f>
        <v>0.12578217946777159</v>
      </c>
      <c r="F8" s="7">
        <f>$B8 * IFERROR(VLOOKUP("buildings|PM25|Asthma symptoms wheeze", US_national_yearly!$D:$AM, 14, FALSE) / VLOOKUP("buildings|PM25|Asthma symptoms wheeze", US_national_yearly!$D:$AM, 10, FALSE), 1)</f>
        <v>0.12578217946777159</v>
      </c>
      <c r="G8" s="7">
        <f>$B8 * IFERROR(VLOOKUP("buildings|PM25|Asthma symptoms wheeze", US_national_yearly!$D:$AM, 15, FALSE) / VLOOKUP("buildings|PM25|Asthma symptoms wheeze", US_national_yearly!$D:$AM, 10, FALSE), 1)</f>
        <v>0.12578217946777159</v>
      </c>
      <c r="H8" s="7">
        <f>$B8 * IFERROR(VLOOKUP("buildings|PM25|Asthma symptoms wheeze", US_national_yearly!$D:$AM, 16, FALSE) / VLOOKUP("buildings|PM25|Asthma symptoms wheeze", US_national_yearly!$D:$AM, 10, FALSE), 1)</f>
        <v>0.12578217946777159</v>
      </c>
      <c r="I8" s="7">
        <f>$B8 * IFERROR(VLOOKUP("buildings|PM25|Asthma symptoms wheeze", US_national_yearly!$D:$AM, 17, FALSE) / VLOOKUP("buildings|PM25|Asthma symptoms wheeze", US_national_yearly!$D:$AM, 10, FALSE), 1)</f>
        <v>0.12578217946777159</v>
      </c>
      <c r="J8" s="7">
        <f>$B8 * IFERROR(VLOOKUP("buildings|PM25|Asthma symptoms wheeze", US_national_yearly!$D:$AM, 18, FALSE) / VLOOKUP("buildings|PM25|Asthma symptoms wheeze", US_national_yearly!$D:$AM, 10, FALSE), 1)</f>
        <v>0.12578217946777159</v>
      </c>
      <c r="K8" s="7">
        <f>$B8 * IFERROR(VLOOKUP("buildings|PM25|Asthma symptoms wheeze", US_national_yearly!$D:$AM, 19, FALSE) / VLOOKUP("buildings|PM25|Asthma symptoms wheeze", US_national_yearly!$D:$AM, 10, FALSE), 1)</f>
        <v>0.12578217946777159</v>
      </c>
      <c r="L8" s="7">
        <f>$B8 * IFERROR(VLOOKUP("buildings|PM25|Asthma symptoms wheeze", US_national_yearly!$D:$AM, 20, FALSE) / VLOOKUP("buildings|PM25|Asthma symptoms wheeze", US_national_yearly!$D:$AM, 10, FALSE), 1)</f>
        <v>0.12578217946777159</v>
      </c>
      <c r="M8" s="7">
        <f>$B8 * IFERROR(VLOOKUP("buildings|PM25|Asthma symptoms wheeze", US_national_yearly!$D:$AM, 21, FALSE) / VLOOKUP("buildings|PM25|Asthma symptoms wheeze", US_national_yearly!$D:$AM, 10, FALSE), 1)</f>
        <v>0.12578217946777159</v>
      </c>
      <c r="N8" s="7">
        <f>$B8 * IFERROR(VLOOKUP("buildings|PM25|Asthma symptoms wheeze", US_national_yearly!$D:$AM, 22, FALSE) / VLOOKUP("buildings|PM25|Asthma symptoms wheeze", US_national_yearly!$D:$AM, 10, FALSE), 1)</f>
        <v>0.12578217946777159</v>
      </c>
      <c r="O8" s="7">
        <f>$B8 * IFERROR(VLOOKUP("buildings|PM25|Asthma symptoms wheeze", US_national_yearly!$D:$AM, 23, FALSE) / VLOOKUP("buildings|PM25|Asthma symptoms wheeze", US_national_yearly!$D:$AM, 10, FALSE), 1)</f>
        <v>0.12578217946777159</v>
      </c>
      <c r="P8" s="7">
        <f>$B8 * IFERROR(VLOOKUP("buildings|PM25|Asthma symptoms wheeze", US_national_yearly!$D:$AM, 24, FALSE) / VLOOKUP("buildings|PM25|Asthma symptoms wheeze", US_national_yearly!$D:$AM, 10, FALSE), 1)</f>
        <v>0.12578217946777159</v>
      </c>
      <c r="Q8" s="7">
        <f>$B8 * IFERROR(VLOOKUP("buildings|PM25|Asthma symptoms wheeze", US_national_yearly!$D:$AM, 25, FALSE) / VLOOKUP("buildings|PM25|Asthma symptoms wheeze", US_national_yearly!$D:$AM, 10, FALSE), 1)</f>
        <v>0.12578217946777159</v>
      </c>
      <c r="R8" s="7">
        <f>$B8 * IFERROR(VLOOKUP("buildings|PM25|Asthma symptoms wheeze", US_national_yearly!$D:$AM, 26, FALSE) / VLOOKUP("buildings|PM25|Asthma symptoms wheeze", US_national_yearly!$D:$AM, 10, FALSE), 1)</f>
        <v>0.12578217946777159</v>
      </c>
      <c r="S8" s="7">
        <f>$B8 * IFERROR(VLOOKUP("buildings|PM25|Asthma symptoms wheeze", US_national_yearly!$D:$AM, 27, FALSE) / VLOOKUP("buildings|PM25|Asthma symptoms wheeze", US_national_yearly!$D:$AM, 10, FALSE), 1)</f>
        <v>0.12578217946777159</v>
      </c>
      <c r="T8" s="7">
        <f>$B8 * IFERROR(VLOOKUP("buildings|PM25|Asthma symptoms wheeze", US_national_yearly!$D:$AM, 28, FALSE) / VLOOKUP("buildings|PM25|Asthma symptoms wheeze", US_national_yearly!$D:$AM, 10, FALSE), 1)</f>
        <v>0.12578217946777159</v>
      </c>
      <c r="U8" s="7">
        <f>$B8 * IFERROR(VLOOKUP("buildings|PM25|Asthma symptoms wheeze", US_national_yearly!$D:$AM, 29, FALSE) / VLOOKUP("buildings|PM25|Asthma symptoms wheeze", US_national_yearly!$D:$AM, 10, FALSE), 1)</f>
        <v>0.12578217946777159</v>
      </c>
      <c r="V8" s="7">
        <f>$B8 * IFERROR(VLOOKUP("buildings|PM25|Asthma symptoms wheeze", US_national_yearly!$D:$AM, 30, FALSE) / VLOOKUP("buildings|PM25|Asthma symptoms wheeze", US_national_yearly!$D:$AM, 10, FALSE), 1)</f>
        <v>0.12578217946777159</v>
      </c>
      <c r="W8" s="7">
        <f>$B8 * IFERROR(VLOOKUP("buildings|PM25|Asthma symptoms wheeze", US_national_yearly!$D:$AM, 31, FALSE) / VLOOKUP("buildings|PM25|Asthma symptoms wheeze", US_national_yearly!$D:$AM, 10, FALSE), 1)</f>
        <v>0.12578217946777159</v>
      </c>
      <c r="X8" s="7">
        <f>$B8 * IFERROR(VLOOKUP("buildings|PM25|Asthma symptoms wheeze", US_national_yearly!$D:$AM, 32, FALSE) / VLOOKUP("buildings|PM25|Asthma symptoms wheeze", US_national_yearly!$D:$AM, 10, FALSE), 1)</f>
        <v>0.12578217946777159</v>
      </c>
      <c r="Y8" s="7">
        <f>$B8 * IFERROR(VLOOKUP("buildings|PM25|Asthma symptoms wheeze", US_national_yearly!$D:$AM, 33, FALSE) / VLOOKUP("buildings|PM25|Asthma symptoms wheeze", US_national_yearly!$D:$AM, 10, FALSE), 1)</f>
        <v>0.12578217946777159</v>
      </c>
      <c r="Z8" s="7">
        <f>$B8 * IFERROR(VLOOKUP("buildings|PM25|Asthma symptoms wheeze", US_national_yearly!$D:$AM, 34, FALSE) / VLOOKUP("buildings|PM25|Asthma symptoms wheeze", US_national_yearly!$D:$AM, 10, FALSE), 1)</f>
        <v>0.12578217946777159</v>
      </c>
      <c r="AA8" s="7">
        <f>$B8 * IFERROR(VLOOKUP("buildings|PM25|Asthma symptoms wheeze", US_national_yearly!$D:$AM, 35, FALSE) / VLOOKUP("buildings|PM25|Asthma symptoms wheeze", US_national_yearly!$D:$AM, 10, FALSE), 1)</f>
        <v>0.12578217946777159</v>
      </c>
      <c r="AB8" s="7">
        <f>$B8 * IFERROR(VLOOKUP("buildings|PM25|Asthma symptoms wheeze", US_national_yearly!$D:$AM, 36, FALSE) / VLOOKUP("buildings|PM25|Asthma symptoms wheeze", US_national_yearly!$D:$AM, 10, FALSE), 1)</f>
        <v>0.12578217946777159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1.1200260390453829E-3</v>
      </c>
      <c r="C12" s="7">
        <f>$B12 * IFERROR(VLOOKUP("buildings|PM25|Respiratory hospital admissions", US_national_yearly!$D:$AM, 11, FALSE) / VLOOKUP("buildings|PM25|Respiratory hospital admissions", US_national_yearly!$D:$AM, 10, FALSE), 1)</f>
        <v>1.126482055358148E-3</v>
      </c>
      <c r="D12" s="7">
        <f>$B12 * IFERROR(VLOOKUP("buildings|PM25|Respiratory hospital admissions", US_national_yearly!$D:$AM, 12, FALSE) / VLOOKUP("buildings|PM25|Respiratory hospital admissions", US_national_yearly!$D:$AM, 10, FALSE), 1)</f>
        <v>1.1329380716709133E-3</v>
      </c>
      <c r="E12" s="7">
        <f>$B12 * IFERROR(VLOOKUP("buildings|PM25|Respiratory hospital admissions", US_national_yearly!$D:$AM, 13, FALSE) / VLOOKUP("buildings|PM25|Respiratory hospital admissions", US_national_yearly!$D:$AM, 10, FALSE), 1)</f>
        <v>1.1393940879836785E-3</v>
      </c>
      <c r="F12" s="7">
        <f>$B12 * IFERROR(VLOOKUP("buildings|PM25|Respiratory hospital admissions", US_national_yearly!$D:$AM, 14, FALSE) / VLOOKUP("buildings|PM25|Respiratory hospital admissions", US_national_yearly!$D:$AM, 10, FALSE), 1)</f>
        <v>1.1458501042964438E-3</v>
      </c>
      <c r="G12" s="7">
        <f>$B12 * IFERROR(VLOOKUP("buildings|PM25|Respiratory hospital admissions", US_national_yearly!$D:$AM, 15, FALSE) / VLOOKUP("buildings|PM25|Respiratory hospital admissions", US_national_yearly!$D:$AM, 10, FALSE), 1)</f>
        <v>1.1528167440370517E-3</v>
      </c>
      <c r="H12" s="7">
        <f>$B12 * IFERROR(VLOOKUP("buildings|PM25|Respiratory hospital admissions", US_national_yearly!$D:$AM, 16, FALSE) / VLOOKUP("buildings|PM25|Respiratory hospital admissions", US_national_yearly!$D:$AM, 10, FALSE), 1)</f>
        <v>1.1597833837776596E-3</v>
      </c>
      <c r="I12" s="7">
        <f>$B12 * IFERROR(VLOOKUP("buildings|PM25|Respiratory hospital admissions", US_national_yearly!$D:$AM, 17, FALSE) / VLOOKUP("buildings|PM25|Respiratory hospital admissions", US_national_yearly!$D:$AM, 10, FALSE), 1)</f>
        <v>1.1664092881522087E-3</v>
      </c>
      <c r="J12" s="7">
        <f>$B12 * IFERROR(VLOOKUP("buildings|PM25|Respiratory hospital admissions", US_national_yearly!$D:$AM, 18, FALSE) / VLOOKUP("buildings|PM25|Respiratory hospital admissions", US_national_yearly!$D:$AM, 10, FALSE), 1)</f>
        <v>1.1730351925267576E-3</v>
      </c>
      <c r="K12" s="7">
        <f>$B12 * IFERROR(VLOOKUP("buildings|PM25|Respiratory hospital admissions", US_national_yearly!$D:$AM, 19, FALSE) / VLOOKUP("buildings|PM25|Respiratory hospital admissions", US_national_yearly!$D:$AM, 10, FALSE), 1)</f>
        <v>1.1796610969013065E-3</v>
      </c>
      <c r="L12" s="7">
        <f>$B12 * IFERROR(VLOOKUP("buildings|PM25|Respiratory hospital admissions", US_national_yearly!$D:$AM, 20, FALSE) / VLOOKUP("buildings|PM25|Respiratory hospital admissions", US_national_yearly!$D:$AM, 10, FALSE), 1)</f>
        <v>1.1862870012758558E-3</v>
      </c>
      <c r="M12" s="7">
        <f>$B12 * IFERROR(VLOOKUP("buildings|PM25|Respiratory hospital admissions", US_national_yearly!$D:$AM, 21, FALSE) / VLOOKUP("buildings|PM25|Respiratory hospital admissions", US_national_yearly!$D:$AM, 10, FALSE), 1)</f>
        <v>1.1929129056504047E-3</v>
      </c>
      <c r="N12" s="7">
        <f>$B12 * IFERROR(VLOOKUP("buildings|PM25|Respiratory hospital admissions", US_national_yearly!$D:$AM, 22, FALSE) / VLOOKUP("buildings|PM25|Respiratory hospital admissions", US_national_yearly!$D:$AM, 10, FALSE), 1)</f>
        <v>1.1976787258210205E-3</v>
      </c>
      <c r="O12" s="7">
        <f>$B12 * IFERROR(VLOOKUP("buildings|PM25|Respiratory hospital admissions", US_national_yearly!$D:$AM, 23, FALSE) / VLOOKUP("buildings|PM25|Respiratory hospital admissions", US_national_yearly!$D:$AM, 10, FALSE), 1)</f>
        <v>1.2024445459916364E-3</v>
      </c>
      <c r="P12" s="7">
        <f>$B12 * IFERROR(VLOOKUP("buildings|PM25|Respiratory hospital admissions", US_national_yearly!$D:$AM, 24, FALSE) / VLOOKUP("buildings|PM25|Respiratory hospital admissions", US_national_yearly!$D:$AM, 10, FALSE), 1)</f>
        <v>1.2072103661622524E-3</v>
      </c>
      <c r="Q12" s="7">
        <f>$B12 * IFERROR(VLOOKUP("buildings|PM25|Respiratory hospital admissions", US_national_yearly!$D:$AM, 25, FALSE) / VLOOKUP("buildings|PM25|Respiratory hospital admissions", US_national_yearly!$D:$AM, 10, FALSE), 1)</f>
        <v>1.211976186332868E-3</v>
      </c>
      <c r="R12" s="7">
        <f>$B12 * IFERROR(VLOOKUP("buildings|PM25|Respiratory hospital admissions", US_national_yearly!$D:$AM, 26, FALSE) / VLOOKUP("buildings|PM25|Respiratory hospital admissions", US_national_yearly!$D:$AM, 10, FALSE), 1)</f>
        <v>1.216742006503484E-3</v>
      </c>
      <c r="S12" s="7">
        <f>$B12 * IFERROR(VLOOKUP("buildings|PM25|Respiratory hospital admissions", US_national_yearly!$D:$AM, 27, FALSE) / VLOOKUP("buildings|PM25|Respiratory hospital admissions", US_national_yearly!$D:$AM, 10, FALSE), 1)</f>
        <v>1.2212827508563042E-3</v>
      </c>
      <c r="T12" s="7">
        <f>$B12 * IFERROR(VLOOKUP("buildings|PM25|Respiratory hospital admissions", US_national_yearly!$D:$AM, 28, FALSE) / VLOOKUP("buildings|PM25|Respiratory hospital admissions", US_national_yearly!$D:$AM, 10, FALSE), 1)</f>
        <v>1.2258234952091248E-3</v>
      </c>
      <c r="U12" s="7">
        <f>$B12 * IFERROR(VLOOKUP("buildings|PM25|Respiratory hospital admissions", US_national_yearly!$D:$AM, 29, FALSE) / VLOOKUP("buildings|PM25|Respiratory hospital admissions", US_national_yearly!$D:$AM, 10, FALSE), 1)</f>
        <v>1.230364239561945E-3</v>
      </c>
      <c r="V12" s="7">
        <f>$B12 * IFERROR(VLOOKUP("buildings|PM25|Respiratory hospital admissions", US_national_yearly!$D:$AM, 30, FALSE) / VLOOKUP("buildings|PM25|Respiratory hospital admissions", US_national_yearly!$D:$AM, 10, FALSE), 1)</f>
        <v>1.2349049839147654E-3</v>
      </c>
      <c r="W12" s="7">
        <f>$B12 * IFERROR(VLOOKUP("buildings|PM25|Respiratory hospital admissions", US_national_yearly!$D:$AM, 31, FALSE) / VLOOKUP("buildings|PM25|Respiratory hospital admissions", US_national_yearly!$D:$AM, 10, FALSE), 1)</f>
        <v>1.239445728267586E-3</v>
      </c>
      <c r="X12" s="7">
        <f>$B12 * IFERROR(VLOOKUP("buildings|PM25|Respiratory hospital admissions", US_national_yearly!$D:$AM, 32, FALSE) / VLOOKUP("buildings|PM25|Respiratory hospital admissions", US_national_yearly!$D:$AM, 10, FALSE), 1)</f>
        <v>1.2438313675228714E-3</v>
      </c>
      <c r="Y12" s="7">
        <f>$B12 * IFERROR(VLOOKUP("buildings|PM25|Respiratory hospital admissions", US_national_yearly!$D:$AM, 33, FALSE) / VLOOKUP("buildings|PM25|Respiratory hospital admissions", US_national_yearly!$D:$AM, 10, FALSE), 1)</f>
        <v>1.2482170067781571E-3</v>
      </c>
      <c r="Z12" s="7">
        <f>$B12 * IFERROR(VLOOKUP("buildings|PM25|Respiratory hospital admissions", US_national_yearly!$D:$AM, 34, FALSE) / VLOOKUP("buildings|PM25|Respiratory hospital admissions", US_national_yearly!$D:$AM, 10, FALSE), 1)</f>
        <v>1.2526026460334425E-3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1.2569882852887281E-3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1.2613739245440135E-3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8.4558504682240732E-3</v>
      </c>
      <c r="C13" s="7">
        <f>$B13 * IFERROR(VLOOKUP("buildings|PM25|Non-fatal heart attacks", US_national_yearly!$D:$AM, 11, FALSE) / VLOOKUP("buildings|PM25|Non-fatal heart attacks", US_national_yearly!$D:$AM, 10, FALSE), 1)</f>
        <v>8.7018008443578657E-3</v>
      </c>
      <c r="D13" s="7">
        <f>$B13 * IFERROR(VLOOKUP("buildings|PM25|Non-fatal heart attacks", US_national_yearly!$D:$AM, 12, FALSE) / VLOOKUP("buildings|PM25|Non-fatal heart attacks", US_national_yearly!$D:$AM, 10, FALSE), 1)</f>
        <v>8.9477512204916548E-3</v>
      </c>
      <c r="E13" s="7">
        <f>$B13 * IFERROR(VLOOKUP("buildings|PM25|Non-fatal heart attacks", US_national_yearly!$D:$AM, 13, FALSE) / VLOOKUP("buildings|PM25|Non-fatal heart attacks", US_national_yearly!$D:$AM, 10, FALSE), 1)</f>
        <v>9.1937015966254455E-3</v>
      </c>
      <c r="F13" s="7">
        <f>$B13 * IFERROR(VLOOKUP("buildings|PM25|Non-fatal heart attacks", US_national_yearly!$D:$AM, 14, FALSE) / VLOOKUP("buildings|PM25|Non-fatal heart attacks", US_national_yearly!$D:$AM, 10, FALSE), 1)</f>
        <v>9.439651972759238E-3</v>
      </c>
      <c r="G13" s="7">
        <f>$B13 * IFERROR(VLOOKUP("buildings|PM25|Non-fatal heart attacks", US_national_yearly!$D:$AM, 15, FALSE) / VLOOKUP("buildings|PM25|Non-fatal heart attacks", US_national_yearly!$D:$AM, 10, FALSE), 1)</f>
        <v>9.6717202001385255E-3</v>
      </c>
      <c r="H13" s="7">
        <f>$B13 * IFERROR(VLOOKUP("buildings|PM25|Non-fatal heart attacks", US_national_yearly!$D:$AM, 16, FALSE) / VLOOKUP("buildings|PM25|Non-fatal heart attacks", US_national_yearly!$D:$AM, 10, FALSE), 1)</f>
        <v>9.9037884275178113E-3</v>
      </c>
      <c r="I13" s="7">
        <f>$B13 * IFERROR(VLOOKUP("buildings|PM25|Non-fatal heart attacks", US_national_yearly!$D:$AM, 17, FALSE) / VLOOKUP("buildings|PM25|Non-fatal heart attacks", US_national_yearly!$D:$AM, 10, FALSE), 1)</f>
        <v>1.0090505340914836E-2</v>
      </c>
      <c r="J13" s="7">
        <f>$B13 * IFERROR(VLOOKUP("buildings|PM25|Non-fatal heart attacks", US_national_yearly!$D:$AM, 18, FALSE) / VLOOKUP("buildings|PM25|Non-fatal heart attacks", US_national_yearly!$D:$AM, 10, FALSE), 1)</f>
        <v>1.0277222254311861E-2</v>
      </c>
      <c r="K13" s="7">
        <f>$B13 * IFERROR(VLOOKUP("buildings|PM25|Non-fatal heart attacks", US_national_yearly!$D:$AM, 19, FALSE) / VLOOKUP("buildings|PM25|Non-fatal heart attacks", US_national_yearly!$D:$AM, 10, FALSE), 1)</f>
        <v>1.0463939167708883E-2</v>
      </c>
      <c r="L13" s="7">
        <f>$B13 * IFERROR(VLOOKUP("buildings|PM25|Non-fatal heart attacks", US_national_yearly!$D:$AM, 20, FALSE) / VLOOKUP("buildings|PM25|Non-fatal heart attacks", US_national_yearly!$D:$AM, 10, FALSE), 1)</f>
        <v>1.0650656081105905E-2</v>
      </c>
      <c r="M13" s="7">
        <f>$B13 * IFERROR(VLOOKUP("buildings|PM25|Non-fatal heart attacks", US_national_yearly!$D:$AM, 21, FALSE) / VLOOKUP("buildings|PM25|Non-fatal heart attacks", US_national_yearly!$D:$AM, 10, FALSE), 1)</f>
        <v>1.0837372994502928E-2</v>
      </c>
      <c r="N13" s="7">
        <f>$B13 * IFERROR(VLOOKUP("buildings|PM25|Non-fatal heart attacks", US_national_yearly!$D:$AM, 22, FALSE) / VLOOKUP("buildings|PM25|Non-fatal heart attacks", US_national_yearly!$D:$AM, 10, FALSE), 1)</f>
        <v>1.095799503768782E-2</v>
      </c>
      <c r="O13" s="7">
        <f>$B13 * IFERROR(VLOOKUP("buildings|PM25|Non-fatal heart attacks", US_national_yearly!$D:$AM, 23, FALSE) / VLOOKUP("buildings|PM25|Non-fatal heart attacks", US_national_yearly!$D:$AM, 10, FALSE), 1)</f>
        <v>1.107861708087271E-2</v>
      </c>
      <c r="P13" s="7">
        <f>$B13 * IFERROR(VLOOKUP("buildings|PM25|Non-fatal heart attacks", US_national_yearly!$D:$AM, 24, FALSE) / VLOOKUP("buildings|PM25|Non-fatal heart attacks", US_national_yearly!$D:$AM, 10, FALSE), 1)</f>
        <v>1.1199239124057599E-2</v>
      </c>
      <c r="Q13" s="7">
        <f>$B13 * IFERROR(VLOOKUP("buildings|PM25|Non-fatal heart attacks", US_national_yearly!$D:$AM, 25, FALSE) / VLOOKUP("buildings|PM25|Non-fatal heart attacks", US_national_yearly!$D:$AM, 10, FALSE), 1)</f>
        <v>1.1319861167242491E-2</v>
      </c>
      <c r="R13" s="7">
        <f>$B13 * IFERROR(VLOOKUP("buildings|PM25|Non-fatal heart attacks", US_national_yearly!$D:$AM, 26, FALSE) / VLOOKUP("buildings|PM25|Non-fatal heart attacks", US_national_yearly!$D:$AM, 10, FALSE), 1)</f>
        <v>1.1440483210427382E-2</v>
      </c>
      <c r="S13" s="7">
        <f>$B13 * IFERROR(VLOOKUP("buildings|PM25|Non-fatal heart attacks", US_national_yearly!$D:$AM, 27, FALSE) / VLOOKUP("buildings|PM25|Non-fatal heart attacks", US_national_yearly!$D:$AM, 10, FALSE), 1)</f>
        <v>1.1504281360030016E-2</v>
      </c>
      <c r="T13" s="7">
        <f>$B13 * IFERROR(VLOOKUP("buildings|PM25|Non-fatal heart attacks", US_national_yearly!$D:$AM, 28, FALSE) / VLOOKUP("buildings|PM25|Non-fatal heart attacks", US_national_yearly!$D:$AM, 10, FALSE), 1)</f>
        <v>1.1568079509632654E-2</v>
      </c>
      <c r="U13" s="7">
        <f>$B13 * IFERROR(VLOOKUP("buildings|PM25|Non-fatal heart attacks", US_national_yearly!$D:$AM, 29, FALSE) / VLOOKUP("buildings|PM25|Non-fatal heart attacks", US_national_yearly!$D:$AM, 10, FALSE), 1)</f>
        <v>1.163187765923529E-2</v>
      </c>
      <c r="V13" s="7">
        <f>$B13 * IFERROR(VLOOKUP("buildings|PM25|Non-fatal heart attacks", US_national_yearly!$D:$AM, 30, FALSE) / VLOOKUP("buildings|PM25|Non-fatal heart attacks", US_national_yearly!$D:$AM, 10, FALSE), 1)</f>
        <v>1.1695675808837925E-2</v>
      </c>
      <c r="W13" s="7">
        <f>$B13 * IFERROR(VLOOKUP("buildings|PM25|Non-fatal heart attacks", US_national_yearly!$D:$AM, 31, FALSE) / VLOOKUP("buildings|PM25|Non-fatal heart attacks", US_national_yearly!$D:$AM, 10, FALSE), 1)</f>
        <v>1.1759473958440562E-2</v>
      </c>
      <c r="X13" s="7">
        <f>$B13 * IFERROR(VLOOKUP("buildings|PM25|Non-fatal heart attacks", US_national_yearly!$D:$AM, 32, FALSE) / VLOOKUP("buildings|PM25|Non-fatal heart attacks", US_national_yearly!$D:$AM, 10, FALSE), 1)</f>
        <v>1.1808029009998011E-2</v>
      </c>
      <c r="Y13" s="7">
        <f>$B13 * IFERROR(VLOOKUP("buildings|PM25|Non-fatal heart attacks", US_national_yearly!$D:$AM, 33, FALSE) / VLOOKUP("buildings|PM25|Non-fatal heart attacks", US_national_yearly!$D:$AM, 10, FALSE), 1)</f>
        <v>1.1856584061555459E-2</v>
      </c>
      <c r="Z13" s="7">
        <f>$B13 * IFERROR(VLOOKUP("buildings|PM25|Non-fatal heart attacks", US_national_yearly!$D:$AM, 34, FALSE) / VLOOKUP("buildings|PM25|Non-fatal heart attacks", US_national_yearly!$D:$AM, 10, FALSE), 1)</f>
        <v>1.1905139113112905E-2</v>
      </c>
      <c r="AA13" s="7">
        <f>$B13 * IFERROR(VLOOKUP("buildings|PM25|Non-fatal heart attacks", US_national_yearly!$D:$AM, 35, FALSE) / VLOOKUP("buildings|PM25|Non-fatal heart attacks", US_national_yearly!$D:$AM, 10, FALSE), 1)</f>
        <v>1.1953694164670353E-2</v>
      </c>
      <c r="AB13" s="7">
        <f>$B13 * IFERROR(VLOOKUP("buildings|PM25|Non-fatal heart attacks", US_national_yearly!$D:$AM, 36, FALSE) / VLOOKUP("buildings|PM25|Non-fatal heart attacks", US_national_yearly!$D:$AM, 10, FALSE), 1)</f>
        <v>1.2002249216227803E-2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8.0791455042281068</v>
      </c>
      <c r="C14" s="7">
        <f>$B14 * IFERROR(VLOOKUP("buildings|PM25|Minor restricted activity days", US_national_yearly!$D:$AM, 11, FALSE) / VLOOKUP("buildings|PM25|Minor restricted activity days", US_national_yearly!$D:$AM, 10, FALSE), 1)</f>
        <v>8.099238792033864</v>
      </c>
      <c r="D14" s="7">
        <f>$B14 * IFERROR(VLOOKUP("buildings|PM25|Minor restricted activity days", US_national_yearly!$D:$AM, 12, FALSE) / VLOOKUP("buildings|PM25|Minor restricted activity days", US_national_yearly!$D:$AM, 10, FALSE), 1)</f>
        <v>8.1193320798396211</v>
      </c>
      <c r="E14" s="7">
        <f>$B14 * IFERROR(VLOOKUP("buildings|PM25|Minor restricted activity days", US_national_yearly!$D:$AM, 13, FALSE) / VLOOKUP("buildings|PM25|Minor restricted activity days", US_national_yearly!$D:$AM, 10, FALSE), 1)</f>
        <v>8.13942536764538</v>
      </c>
      <c r="F14" s="7">
        <f>$B14 * IFERROR(VLOOKUP("buildings|PM25|Minor restricted activity days", US_national_yearly!$D:$AM, 14, FALSE) / VLOOKUP("buildings|PM25|Minor restricted activity days", US_national_yearly!$D:$AM, 10, FALSE), 1)</f>
        <v>8.1595186554511354</v>
      </c>
      <c r="G14" s="7">
        <f>$B14 * IFERROR(VLOOKUP("buildings|PM25|Minor restricted activity days", US_national_yearly!$D:$AM, 15, FALSE) / VLOOKUP("buildings|PM25|Minor restricted activity days", US_national_yearly!$D:$AM, 10, FALSE), 1)</f>
        <v>8.1889894079037582</v>
      </c>
      <c r="H14" s="7">
        <f>$B14 * IFERROR(VLOOKUP("buildings|PM25|Minor restricted activity days", US_national_yearly!$D:$AM, 16, FALSE) / VLOOKUP("buildings|PM25|Minor restricted activity days", US_national_yearly!$D:$AM, 10, FALSE), 1)</f>
        <v>8.2184601603563774</v>
      </c>
      <c r="I14" s="7">
        <f>$B14 * IFERROR(VLOOKUP("buildings|PM25|Minor restricted activity days", US_national_yearly!$D:$AM, 17, FALSE) / VLOOKUP("buildings|PM25|Minor restricted activity days", US_national_yearly!$D:$AM, 10, FALSE), 1)</f>
        <v>8.2685736689810163</v>
      </c>
      <c r="J14" s="7">
        <f>$B14 * IFERROR(VLOOKUP("buildings|PM25|Minor restricted activity days", US_national_yearly!$D:$AM, 18, FALSE) / VLOOKUP("buildings|PM25|Minor restricted activity days", US_national_yearly!$D:$AM, 10, FALSE), 1)</f>
        <v>8.3186871776056588</v>
      </c>
      <c r="K14" s="7">
        <f>$B14 * IFERROR(VLOOKUP("buildings|PM25|Minor restricted activity days", US_national_yearly!$D:$AM, 19, FALSE) / VLOOKUP("buildings|PM25|Minor restricted activity days", US_national_yearly!$D:$AM, 10, FALSE), 1)</f>
        <v>8.3688006862302942</v>
      </c>
      <c r="L14" s="7">
        <f>$B14 * IFERROR(VLOOKUP("buildings|PM25|Minor restricted activity days", US_national_yearly!$D:$AM, 20, FALSE) / VLOOKUP("buildings|PM25|Minor restricted activity days", US_national_yearly!$D:$AM, 10, FALSE), 1)</f>
        <v>8.4189141948549313</v>
      </c>
      <c r="M14" s="7">
        <f>$B14 * IFERROR(VLOOKUP("buildings|PM25|Minor restricted activity days", US_national_yearly!$D:$AM, 21, FALSE) / VLOOKUP("buildings|PM25|Minor restricted activity days", US_national_yearly!$D:$AM, 10, FALSE), 1)</f>
        <v>8.4690277034795702</v>
      </c>
      <c r="N14" s="7">
        <f>$B14 * IFERROR(VLOOKUP("buildings|PM25|Minor restricted activity days", US_national_yearly!$D:$AM, 22, FALSE) / VLOOKUP("buildings|PM25|Minor restricted activity days", US_national_yearly!$D:$AM, 10, FALSE), 1)</f>
        <v>8.537119871130189</v>
      </c>
      <c r="O14" s="7">
        <f>$B14 * IFERROR(VLOOKUP("buildings|PM25|Minor restricted activity days", US_national_yearly!$D:$AM, 23, FALSE) / VLOOKUP("buildings|PM25|Minor restricted activity days", US_national_yearly!$D:$AM, 10, FALSE), 1)</f>
        <v>8.6052120387808078</v>
      </c>
      <c r="P14" s="7">
        <f>$B14 * IFERROR(VLOOKUP("buildings|PM25|Minor restricted activity days", US_national_yearly!$D:$AM, 24, FALSE) / VLOOKUP("buildings|PM25|Minor restricted activity days", US_national_yearly!$D:$AM, 10, FALSE), 1)</f>
        <v>8.6733042064314265</v>
      </c>
      <c r="Q14" s="7">
        <f>$B14 * IFERROR(VLOOKUP("buildings|PM25|Minor restricted activity days", US_national_yearly!$D:$AM, 25, FALSE) / VLOOKUP("buildings|PM25|Minor restricted activity days", US_national_yearly!$D:$AM, 10, FALSE), 1)</f>
        <v>8.7413963740820435</v>
      </c>
      <c r="R14" s="7">
        <f>$B14 * IFERROR(VLOOKUP("buildings|PM25|Minor restricted activity days", US_national_yearly!$D:$AM, 26, FALSE) / VLOOKUP("buildings|PM25|Minor restricted activity days", US_national_yearly!$D:$AM, 10, FALSE), 1)</f>
        <v>8.8094885417326623</v>
      </c>
      <c r="S14" s="7">
        <f>$B14 * IFERROR(VLOOKUP("buildings|PM25|Minor restricted activity days", US_national_yearly!$D:$AM, 27, FALSE) / VLOOKUP("buildings|PM25|Minor restricted activity days", US_national_yearly!$D:$AM, 10, FALSE), 1)</f>
        <v>8.8780026802296703</v>
      </c>
      <c r="T14" s="7">
        <f>$B14 * IFERROR(VLOOKUP("buildings|PM25|Minor restricted activity days", US_national_yearly!$D:$AM, 28, FALSE) / VLOOKUP("buildings|PM25|Minor restricted activity days", US_national_yearly!$D:$AM, 10, FALSE), 1)</f>
        <v>8.9465168187266784</v>
      </c>
      <c r="U14" s="7">
        <f>$B14 * IFERROR(VLOOKUP("buildings|PM25|Minor restricted activity days", US_national_yearly!$D:$AM, 29, FALSE) / VLOOKUP("buildings|PM25|Minor restricted activity days", US_national_yearly!$D:$AM, 10, FALSE), 1)</f>
        <v>9.0150309572236864</v>
      </c>
      <c r="V14" s="7">
        <f>$B14 * IFERROR(VLOOKUP("buildings|PM25|Minor restricted activity days", US_national_yearly!$D:$AM, 30, FALSE) / VLOOKUP("buildings|PM25|Minor restricted activity days", US_national_yearly!$D:$AM, 10, FALSE), 1)</f>
        <v>9.0835450957206927</v>
      </c>
      <c r="W14" s="7">
        <f>$B14 * IFERROR(VLOOKUP("buildings|PM25|Minor restricted activity days", US_national_yearly!$D:$AM, 31, FALSE) / VLOOKUP("buildings|PM25|Minor restricted activity days", US_national_yearly!$D:$AM, 10, FALSE), 1)</f>
        <v>9.1520592342177025</v>
      </c>
      <c r="X14" s="7">
        <f>$B14 * IFERROR(VLOOKUP("buildings|PM25|Minor restricted activity days", US_national_yearly!$D:$AM, 32, FALSE) / VLOOKUP("buildings|PM25|Minor restricted activity days", US_national_yearly!$D:$AM, 10, FALSE), 1)</f>
        <v>9.2115504436932998</v>
      </c>
      <c r="Y14" s="7">
        <f>$B14 * IFERROR(VLOOKUP("buildings|PM25|Minor restricted activity days", US_national_yearly!$D:$AM, 33, FALSE) / VLOOKUP("buildings|PM25|Minor restricted activity days", US_national_yearly!$D:$AM, 10, FALSE), 1)</f>
        <v>9.2710416531688971</v>
      </c>
      <c r="Z14" s="7">
        <f>$B14 * IFERROR(VLOOKUP("buildings|PM25|Minor restricted activity days", US_national_yearly!$D:$AM, 34, FALSE) / VLOOKUP("buildings|PM25|Minor restricted activity days", US_national_yearly!$D:$AM, 10, FALSE), 1)</f>
        <v>9.3305328626444926</v>
      </c>
      <c r="AA14" s="7">
        <f>$B14 * IFERROR(VLOOKUP("buildings|PM25|Minor restricted activity days", US_national_yearly!$D:$AM, 35, FALSE) / VLOOKUP("buildings|PM25|Minor restricted activity days", US_national_yearly!$D:$AM, 10, FALSE), 1)</f>
        <v>9.3900240721200881</v>
      </c>
      <c r="AB14" s="7">
        <f>$B14 * IFERROR(VLOOKUP("buildings|PM25|Minor restricted activity days", US_national_yearly!$D:$AM, 36, FALSE) / VLOOKUP("buildings|PM25|Minor restricted activity days", US_national_yearly!$D:$AM, 10, FALSE), 1)</f>
        <v>9.4495152815956853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1.3768482386681917</v>
      </c>
      <c r="C15" s="7">
        <f>$B15 * IFERROR(VLOOKUP("buildings|PM25|Work loss days", US_national_yearly!$D:$AM, 11, FALSE) / VLOOKUP("buildings|PM25|Work loss days", US_national_yearly!$D:$AM, 10, FALSE), 1)</f>
        <v>1.3811690853723873</v>
      </c>
      <c r="D15" s="7">
        <f>$B15 * IFERROR(VLOOKUP("buildings|PM25|Work loss days", US_national_yearly!$D:$AM, 12, FALSE) / VLOOKUP("buildings|PM25|Work loss days", US_national_yearly!$D:$AM, 10, FALSE), 1)</f>
        <v>1.3854899320765823</v>
      </c>
      <c r="E15" s="7">
        <f>$B15 * IFERROR(VLOOKUP("buildings|PM25|Work loss days", US_national_yearly!$D:$AM, 13, FALSE) / VLOOKUP("buildings|PM25|Work loss days", US_national_yearly!$D:$AM, 10, FALSE), 1)</f>
        <v>1.3898107787807774</v>
      </c>
      <c r="F15" s="7">
        <f>$B15 * IFERROR(VLOOKUP("buildings|PM25|Work loss days", US_national_yearly!$D:$AM, 14, FALSE) / VLOOKUP("buildings|PM25|Work loss days", US_national_yearly!$D:$AM, 10, FALSE), 1)</f>
        <v>1.3941316254849725</v>
      </c>
      <c r="G15" s="7">
        <f>$B15 * IFERROR(VLOOKUP("buildings|PM25|Work loss days", US_national_yearly!$D:$AM, 15, FALSE) / VLOOKUP("buildings|PM25|Work loss days", US_national_yearly!$D:$AM, 10, FALSE), 1)</f>
        <v>1.3997793593363066</v>
      </c>
      <c r="H15" s="7">
        <f>$B15 * IFERROR(VLOOKUP("buildings|PM25|Work loss days", US_national_yearly!$D:$AM, 16, FALSE) / VLOOKUP("buildings|PM25|Work loss days", US_national_yearly!$D:$AM, 10, FALSE), 1)</f>
        <v>1.4054270931876409</v>
      </c>
      <c r="I15" s="7">
        <f>$B15 * IFERROR(VLOOKUP("buildings|PM25|Work loss days", US_national_yearly!$D:$AM, 17, FALSE) / VLOOKUP("buildings|PM25|Work loss days", US_national_yearly!$D:$AM, 10, FALSE), 1)</f>
        <v>1.413721729596038</v>
      </c>
      <c r="J15" s="7">
        <f>$B15 * IFERROR(VLOOKUP("buildings|PM25|Work loss days", US_national_yearly!$D:$AM, 18, FALSE) / VLOOKUP("buildings|PM25|Work loss days", US_national_yearly!$D:$AM, 10, FALSE), 1)</f>
        <v>1.4220163660044352</v>
      </c>
      <c r="K15" s="7">
        <f>$B15 * IFERROR(VLOOKUP("buildings|PM25|Work loss days", US_national_yearly!$D:$AM, 19, FALSE) / VLOOKUP("buildings|PM25|Work loss days", US_national_yearly!$D:$AM, 10, FALSE), 1)</f>
        <v>1.4303110024128323</v>
      </c>
      <c r="L15" s="7">
        <f>$B15 * IFERROR(VLOOKUP("buildings|PM25|Work loss days", US_national_yearly!$D:$AM, 20, FALSE) / VLOOKUP("buildings|PM25|Work loss days", US_national_yearly!$D:$AM, 10, FALSE), 1)</f>
        <v>1.4386056388212294</v>
      </c>
      <c r="M15" s="7">
        <f>$B15 * IFERROR(VLOOKUP("buildings|PM25|Work loss days", US_national_yearly!$D:$AM, 21, FALSE) / VLOOKUP("buildings|PM25|Work loss days", US_national_yearly!$D:$AM, 10, FALSE), 1)</f>
        <v>1.4469002752296267</v>
      </c>
      <c r="N15" s="7">
        <f>$B15 * IFERROR(VLOOKUP("buildings|PM25|Work loss days", US_national_yearly!$D:$AM, 22, FALSE) / VLOOKUP("buildings|PM25|Work loss days", US_national_yearly!$D:$AM, 10, FALSE), 1)</f>
        <v>1.4573288348273501</v>
      </c>
      <c r="O15" s="7">
        <f>$B15 * IFERROR(VLOOKUP("buildings|PM25|Work loss days", US_national_yearly!$D:$AM, 23, FALSE) / VLOOKUP("buildings|PM25|Work loss days", US_national_yearly!$D:$AM, 10, FALSE), 1)</f>
        <v>1.4677573944250739</v>
      </c>
      <c r="P15" s="7">
        <f>$B15 * IFERROR(VLOOKUP("buildings|PM25|Work loss days", US_national_yearly!$D:$AM, 24, FALSE) / VLOOKUP("buildings|PM25|Work loss days", US_national_yearly!$D:$AM, 10, FALSE), 1)</f>
        <v>1.4781859540227973</v>
      </c>
      <c r="Q15" s="7">
        <f>$B15 * IFERROR(VLOOKUP("buildings|PM25|Work loss days", US_national_yearly!$D:$AM, 25, FALSE) / VLOOKUP("buildings|PM25|Work loss days", US_national_yearly!$D:$AM, 10, FALSE), 1)</f>
        <v>1.4886145136205209</v>
      </c>
      <c r="R15" s="7">
        <f>$B15 * IFERROR(VLOOKUP("buildings|PM25|Work loss days", US_national_yearly!$D:$AM, 26, FALSE) / VLOOKUP("buildings|PM25|Work loss days", US_national_yearly!$D:$AM, 10, FALSE), 1)</f>
        <v>1.4990430732182447</v>
      </c>
      <c r="S15" s="7">
        <f>$B15 * IFERROR(VLOOKUP("buildings|PM25|Work loss days", US_national_yearly!$D:$AM, 27, FALSE) / VLOOKUP("buildings|PM25|Work loss days", US_national_yearly!$D:$AM, 10, FALSE), 1)</f>
        <v>1.5105627133908806</v>
      </c>
      <c r="T15" s="7">
        <f>$B15 * IFERROR(VLOOKUP("buildings|PM25|Work loss days", US_national_yearly!$D:$AM, 28, FALSE) / VLOOKUP("buildings|PM25|Work loss days", US_national_yearly!$D:$AM, 10, FALSE), 1)</f>
        <v>1.5220823535635168</v>
      </c>
      <c r="U15" s="7">
        <f>$B15 * IFERROR(VLOOKUP("buildings|PM25|Work loss days", US_national_yearly!$D:$AM, 29, FALSE) / VLOOKUP("buildings|PM25|Work loss days", US_national_yearly!$D:$AM, 10, FALSE), 1)</f>
        <v>1.5336019937361529</v>
      </c>
      <c r="V15" s="7">
        <f>$B15 * IFERROR(VLOOKUP("buildings|PM25|Work loss days", US_national_yearly!$D:$AM, 30, FALSE) / VLOOKUP("buildings|PM25|Work loss days", US_national_yearly!$D:$AM, 10, FALSE), 1)</f>
        <v>1.545121633908789</v>
      </c>
      <c r="W15" s="7">
        <f>$B15 * IFERROR(VLOOKUP("buildings|PM25|Work loss days", US_national_yearly!$D:$AM, 31, FALSE) / VLOOKUP("buildings|PM25|Work loss days", US_national_yearly!$D:$AM, 10, FALSE), 1)</f>
        <v>1.5566412740814253</v>
      </c>
      <c r="X15" s="7">
        <f>$B15 * IFERROR(VLOOKUP("buildings|PM25|Work loss days", US_national_yearly!$D:$AM, 32, FALSE) / VLOOKUP("buildings|PM25|Work loss days", US_national_yearly!$D:$AM, 10, FALSE), 1)</f>
        <v>1.5668638568045252</v>
      </c>
      <c r="Y15" s="7">
        <f>$B15 * IFERROR(VLOOKUP("buildings|PM25|Work loss days", US_national_yearly!$D:$AM, 33, FALSE) / VLOOKUP("buildings|PM25|Work loss days", US_national_yearly!$D:$AM, 10, FALSE), 1)</f>
        <v>1.5770864395276258</v>
      </c>
      <c r="Z15" s="7">
        <f>$B15 * IFERROR(VLOOKUP("buildings|PM25|Work loss days", US_national_yearly!$D:$AM, 34, FALSE) / VLOOKUP("buildings|PM25|Work loss days", US_national_yearly!$D:$AM, 10, FALSE), 1)</f>
        <v>1.5873090222507258</v>
      </c>
      <c r="AA15" s="7">
        <f>$B15 * IFERROR(VLOOKUP("buildings|PM25|Work loss days", US_national_yearly!$D:$AM, 35, FALSE) / VLOOKUP("buildings|PM25|Work loss days", US_national_yearly!$D:$AM, 10, FALSE), 1)</f>
        <v>1.5975316049738262</v>
      </c>
      <c r="AB15" s="7">
        <f>$B15 * IFERROR(VLOOKUP("buildings|PM25|Work loss days", US_national_yearly!$D:$AM, 36, FALSE) / VLOOKUP("buildings|PM25|Work loss days", US_national_yearly!$D:$AM, 10, FALSE), 1)</f>
        <v>1.6077541876969264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1.5365861278143983E-3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1.5825090735714881E-3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1.628432019328578E-3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1.6743549650856675E-3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1.7202779108427572E-3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1.764279044292349E-3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1.8082801777419405E-3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1.8459491964358519E-3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1.8836182151297631E-3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1.9212872338236744E-3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1.9589562525175858E-3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1.9966252712114974E-3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2.0217787885611098E-3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2.0469323059107225E-3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2.0720858232603349E-3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2.0972393406099477E-3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2.12239285795956E-3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2.1357585929301873E-3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2.1491243279008147E-3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2.162490062871442E-3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2.1758557978420693E-3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2.189221532812697E-3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2.1982588613293128E-3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2.2072961898459286E-3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2.2163335183625443E-3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2.2253708468791596E-3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2.2344081753957758E-3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1.2263288664916363E-3</v>
      </c>
      <c r="C2" s="7">
        <f>$B2 * IFERROR(VLOOKUP("buildings|NOx|Premature mortality", US_national_yearly!$D:$AM, 11, FALSE) / VLOOKUP("buildings|NOx|Premature mortality", US_national_yearly!$D:$AM, 10, FALSE), 1)</f>
        <v>1.2443665501925731E-3</v>
      </c>
      <c r="D2" s="7">
        <f>$B2 * IFERROR(VLOOKUP("buildings|NOx|Premature mortality", US_national_yearly!$D:$AM, 12, FALSE) / VLOOKUP("buildings|NOx|Premature mortality", US_national_yearly!$D:$AM, 10, FALSE), 1)</f>
        <v>1.2624042338935098E-3</v>
      </c>
      <c r="E2" s="7">
        <f>$B2 * IFERROR(VLOOKUP("buildings|NOx|Premature mortality", US_national_yearly!$D:$AM, 13, FALSE) / VLOOKUP("buildings|NOx|Premature mortality", US_national_yearly!$D:$AM, 10, FALSE), 1)</f>
        <v>1.2804419175944466E-3</v>
      </c>
      <c r="F2" s="7">
        <f>$B2 * IFERROR(VLOOKUP("buildings|NOx|Premature mortality", US_national_yearly!$D:$AM, 14, FALSE) / VLOOKUP("buildings|NOx|Premature mortality", US_national_yearly!$D:$AM, 10, FALSE), 1)</f>
        <v>1.298479601295383E-3</v>
      </c>
      <c r="G2" s="7">
        <f>$B2 * IFERROR(VLOOKUP("buildings|NOx|Premature mortality", US_national_yearly!$D:$AM, 15, FALSE) / VLOOKUP("buildings|NOx|Premature mortality", US_national_yearly!$D:$AM, 10, FALSE), 1)</f>
        <v>1.3308637798597023E-3</v>
      </c>
      <c r="H2" s="7">
        <f>$B2 * IFERROR(VLOOKUP("buildings|NOx|Premature mortality", US_national_yearly!$D:$AM, 16, FALSE) / VLOOKUP("buildings|NOx|Premature mortality", US_national_yearly!$D:$AM, 10, FALSE), 1)</f>
        <v>1.3632479584240217E-3</v>
      </c>
      <c r="I2" s="7">
        <f>$B2 * IFERROR(VLOOKUP("buildings|NOx|Premature mortality", US_national_yearly!$D:$AM, 17, FALSE) / VLOOKUP("buildings|NOx|Premature mortality", US_national_yearly!$D:$AM, 10, FALSE), 1)</f>
        <v>1.3841763590787136E-3</v>
      </c>
      <c r="J2" s="7">
        <f>$B2 * IFERROR(VLOOKUP("buildings|NOx|Premature mortality", US_national_yearly!$D:$AM, 18, FALSE) / VLOOKUP("buildings|NOx|Premature mortality", US_national_yearly!$D:$AM, 10, FALSE), 1)</f>
        <v>1.405104759733405E-3</v>
      </c>
      <c r="K2" s="7">
        <f>$B2 * IFERROR(VLOOKUP("buildings|NOx|Premature mortality", US_national_yearly!$D:$AM, 19, FALSE) / VLOOKUP("buildings|NOx|Premature mortality", US_national_yearly!$D:$AM, 10, FALSE), 1)</f>
        <v>1.4260331603880966E-3</v>
      </c>
      <c r="L2" s="7">
        <f>$B2 * IFERROR(VLOOKUP("buildings|NOx|Premature mortality", US_national_yearly!$D:$AM, 20, FALSE) / VLOOKUP("buildings|NOx|Premature mortality", US_national_yearly!$D:$AM, 10, FALSE), 1)</f>
        <v>1.4469615610427885E-3</v>
      </c>
      <c r="M2" s="7">
        <f>$B2 * IFERROR(VLOOKUP("buildings|NOx|Premature mortality", US_national_yearly!$D:$AM, 21, FALSE) / VLOOKUP("buildings|NOx|Premature mortality", US_national_yearly!$D:$AM, 10, FALSE), 1)</f>
        <v>1.4678899616974801E-3</v>
      </c>
      <c r="N2" s="7">
        <f>$B2 * IFERROR(VLOOKUP("buildings|NOx|Premature mortality", US_national_yearly!$D:$AM, 22, FALSE) / VLOOKUP("buildings|NOx|Premature mortality", US_national_yearly!$D:$AM, 10, FALSE), 1)</f>
        <v>1.4833971076808601E-3</v>
      </c>
      <c r="O2" s="7">
        <f>$B2 * IFERROR(VLOOKUP("buildings|NOx|Premature mortality", US_national_yearly!$D:$AM, 23, FALSE) / VLOOKUP("buildings|NOx|Premature mortality", US_national_yearly!$D:$AM, 10, FALSE), 1)</f>
        <v>1.4989042536642403E-3</v>
      </c>
      <c r="P2" s="7">
        <f>$B2 * IFERROR(VLOOKUP("buildings|NOx|Premature mortality", US_national_yearly!$D:$AM, 24, FALSE) / VLOOKUP("buildings|NOx|Premature mortality", US_national_yearly!$D:$AM, 10, FALSE), 1)</f>
        <v>1.5144113996476208E-3</v>
      </c>
      <c r="Q2" s="7">
        <f>$B2 * IFERROR(VLOOKUP("buildings|NOx|Premature mortality", US_national_yearly!$D:$AM, 25, FALSE) / VLOOKUP("buildings|NOx|Premature mortality", US_national_yearly!$D:$AM, 10, FALSE), 1)</f>
        <v>1.5299185456310008E-3</v>
      </c>
      <c r="R2" s="7">
        <f>$B2 * IFERROR(VLOOKUP("buildings|NOx|Premature mortality", US_national_yearly!$D:$AM, 26, FALSE) / VLOOKUP("buildings|NOx|Premature mortality", US_national_yearly!$D:$AM, 10, FALSE), 1)</f>
        <v>1.545425691614381E-3</v>
      </c>
      <c r="S2" s="7">
        <f>$B2 * IFERROR(VLOOKUP("buildings|NOx|Premature mortality", US_national_yearly!$D:$AM, 27, FALSE) / VLOOKUP("buildings|NOx|Premature mortality", US_national_yearly!$D:$AM, 10, FALSE), 1)</f>
        <v>1.5524758515582798E-3</v>
      </c>
      <c r="T2" s="7">
        <f>$B2 * IFERROR(VLOOKUP("buildings|NOx|Premature mortality", US_national_yearly!$D:$AM, 28, FALSE) / VLOOKUP("buildings|NOx|Premature mortality", US_national_yearly!$D:$AM, 10, FALSE), 1)</f>
        <v>1.5595260115021786E-3</v>
      </c>
      <c r="U2" s="7">
        <f>$B2 * IFERROR(VLOOKUP("buildings|NOx|Premature mortality", US_national_yearly!$D:$AM, 29, FALSE) / VLOOKUP("buildings|NOx|Premature mortality", US_national_yearly!$D:$AM, 10, FALSE), 1)</f>
        <v>1.5665761714460775E-3</v>
      </c>
      <c r="V2" s="7">
        <f>$B2 * IFERROR(VLOOKUP("buildings|NOx|Premature mortality", US_national_yearly!$D:$AM, 30, FALSE) / VLOOKUP("buildings|NOx|Premature mortality", US_national_yearly!$D:$AM, 10, FALSE), 1)</f>
        <v>1.5736263313899763E-3</v>
      </c>
      <c r="W2" s="7">
        <f>$B2 * IFERROR(VLOOKUP("buildings|NOx|Premature mortality", US_national_yearly!$D:$AM, 31, FALSE) / VLOOKUP("buildings|NOx|Premature mortality", US_national_yearly!$D:$AM, 10, FALSE), 1)</f>
        <v>1.5806764913338751E-3</v>
      </c>
      <c r="X2" s="7">
        <f>$B2 * IFERROR(VLOOKUP("buildings|NOx|Premature mortality", US_national_yearly!$D:$AM, 32, FALSE) / VLOOKUP("buildings|NOx|Premature mortality", US_national_yearly!$D:$AM, 10, FALSE), 1)</f>
        <v>1.5809247922200301E-3</v>
      </c>
      <c r="Y2" s="7">
        <f>$B2 * IFERROR(VLOOKUP("buildings|NOx|Premature mortality", US_national_yearly!$D:$AM, 33, FALSE) / VLOOKUP("buildings|NOx|Premature mortality", US_national_yearly!$D:$AM, 10, FALSE), 1)</f>
        <v>1.5811730931061853E-3</v>
      </c>
      <c r="Z2" s="7">
        <f>$B2 * IFERROR(VLOOKUP("buildings|NOx|Premature mortality", US_national_yearly!$D:$AM, 34, FALSE) / VLOOKUP("buildings|NOx|Premature mortality", US_national_yearly!$D:$AM, 10, FALSE), 1)</f>
        <v>1.5814213939923404E-3</v>
      </c>
      <c r="AA2" s="7">
        <f>$B2 * IFERROR(VLOOKUP("buildings|NOx|Premature mortality", US_national_yearly!$D:$AM, 35, FALSE) / VLOOKUP("buildings|NOx|Premature mortality", US_national_yearly!$D:$AM, 10, FALSE), 1)</f>
        <v>1.5816696948784954E-3</v>
      </c>
      <c r="AB2" s="7">
        <f>$B2 * IFERROR(VLOOKUP("buildings|NOx|Premature mortality", US_national_yearly!$D:$AM, 36, FALSE) / VLOOKUP("buildings|NOx|Premature mortality", US_national_yearly!$D:$AM, 10, FALSE), 1)</f>
        <v>1.5819179957646508E-3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2.6196867276057305E-6</v>
      </c>
      <c r="C3" s="7">
        <f>$B3 * IFERROR(VLOOKUP("buildings|NOx|Infant mortality", US_national_yearly!$D:$AM, 11, FALSE) / VLOOKUP("buildings|NOx|Infant mortality", US_national_yearly!$D:$AM, 10, FALSE), 1)</f>
        <v>2.5948027782536023E-6</v>
      </c>
      <c r="D3" s="7">
        <f>$B3 * IFERROR(VLOOKUP("buildings|NOx|Infant mortality", US_national_yearly!$D:$AM, 12, FALSE) / VLOOKUP("buildings|NOx|Infant mortality", US_national_yearly!$D:$AM, 10, FALSE), 1)</f>
        <v>2.5699188289014733E-6</v>
      </c>
      <c r="E3" s="7">
        <f>$B3 * IFERROR(VLOOKUP("buildings|NOx|Infant mortality", US_national_yearly!$D:$AM, 13, FALSE) / VLOOKUP("buildings|NOx|Infant mortality", US_national_yearly!$D:$AM, 10, FALSE), 1)</f>
        <v>2.5450348795493451E-6</v>
      </c>
      <c r="F3" s="7">
        <f>$B3 * IFERROR(VLOOKUP("buildings|NOx|Infant mortality", US_national_yearly!$D:$AM, 14, FALSE) / VLOOKUP("buildings|NOx|Infant mortality", US_national_yearly!$D:$AM, 10, FALSE), 1)</f>
        <v>2.5201509301972165E-6</v>
      </c>
      <c r="G3" s="7">
        <f>$B3 * IFERROR(VLOOKUP("buildings|NOx|Infant mortality", US_national_yearly!$D:$AM, 15, FALSE) / VLOOKUP("buildings|NOx|Infant mortality", US_national_yearly!$D:$AM, 10, FALSE), 1)</f>
        <v>1.6727185446882943E-6</v>
      </c>
      <c r="H3" s="7">
        <f>$B3 * IFERROR(VLOOKUP("buildings|NOx|Infant mortality", US_national_yearly!$D:$AM, 16, FALSE) / VLOOKUP("buildings|NOx|Infant mortality", US_national_yearly!$D:$AM, 10, FALSE), 1)</f>
        <v>8.2528615917937219E-7</v>
      </c>
      <c r="I3" s="7">
        <f>$B3 * IFERROR(VLOOKUP("buildings|NOx|Infant mortality", US_national_yearly!$D:$AM, 17, FALSE) / VLOOKUP("buildings|NOx|Infant mortality", US_national_yearly!$D:$AM, 10, FALSE), 1)</f>
        <v>8.1945587693052316E-7</v>
      </c>
      <c r="J3" s="7">
        <f>$B3 * IFERROR(VLOOKUP("buildings|NOx|Infant mortality", US_national_yearly!$D:$AM, 18, FALSE) / VLOOKUP("buildings|NOx|Infant mortality", US_national_yearly!$D:$AM, 10, FALSE), 1)</f>
        <v>8.1362559468167392E-7</v>
      </c>
      <c r="K3" s="7">
        <f>$B3 * IFERROR(VLOOKUP("buildings|NOx|Infant mortality", US_national_yearly!$D:$AM, 19, FALSE) / VLOOKUP("buildings|NOx|Infant mortality", US_national_yearly!$D:$AM, 10, FALSE), 1)</f>
        <v>8.077953124328249E-7</v>
      </c>
      <c r="L3" s="7">
        <f>$B3 * IFERROR(VLOOKUP("buildings|NOx|Infant mortality", US_national_yearly!$D:$AM, 20, FALSE) / VLOOKUP("buildings|NOx|Infant mortality", US_national_yearly!$D:$AM, 10, FALSE), 1)</f>
        <v>8.0196503018397577E-7</v>
      </c>
      <c r="M3" s="7">
        <f>$B3 * IFERROR(VLOOKUP("buildings|NOx|Infant mortality", US_national_yearly!$D:$AM, 21, FALSE) / VLOOKUP("buildings|NOx|Infant mortality", US_national_yearly!$D:$AM, 10, FALSE), 1)</f>
        <v>7.9613474793512663E-7</v>
      </c>
      <c r="N3" s="7">
        <f>$B3 * IFERROR(VLOOKUP("buildings|NOx|Infant mortality", US_national_yearly!$D:$AM, 22, FALSE) / VLOOKUP("buildings|NOx|Infant mortality", US_national_yearly!$D:$AM, 10, FALSE), 1)</f>
        <v>7.92271346325891E-7</v>
      </c>
      <c r="O3" s="7">
        <f>$B3 * IFERROR(VLOOKUP("buildings|NOx|Infant mortality", US_national_yearly!$D:$AM, 23, FALSE) / VLOOKUP("buildings|NOx|Infant mortality", US_national_yearly!$D:$AM, 10, FALSE), 1)</f>
        <v>7.8840794471665537E-7</v>
      </c>
      <c r="P3" s="7">
        <f>$B3 * IFERROR(VLOOKUP("buildings|NOx|Infant mortality", US_national_yearly!$D:$AM, 24, FALSE) / VLOOKUP("buildings|NOx|Infant mortality", US_national_yearly!$D:$AM, 10, FALSE), 1)</f>
        <v>7.8454454310741974E-7</v>
      </c>
      <c r="Q3" s="7">
        <f>$B3 * IFERROR(VLOOKUP("buildings|NOx|Infant mortality", US_national_yearly!$D:$AM, 25, FALSE) / VLOOKUP("buildings|NOx|Infant mortality", US_national_yearly!$D:$AM, 10, FALSE), 1)</f>
        <v>7.8068114149818421E-7</v>
      </c>
      <c r="R3" s="7">
        <f>$B3 * IFERROR(VLOOKUP("buildings|NOx|Infant mortality", US_national_yearly!$D:$AM, 26, FALSE) / VLOOKUP("buildings|NOx|Infant mortality", US_national_yearly!$D:$AM, 10, FALSE), 1)</f>
        <v>7.7681773988894858E-7</v>
      </c>
      <c r="S3" s="7">
        <f>$B3 * IFERROR(VLOOKUP("buildings|NOx|Infant mortality", US_national_yearly!$D:$AM, 27, FALSE) / VLOOKUP("buildings|NOx|Infant mortality", US_national_yearly!$D:$AM, 10, FALSE), 1)</f>
        <v>7.721703145001128E-7</v>
      </c>
      <c r="T3" s="7">
        <f>$B3 * IFERROR(VLOOKUP("buildings|NOx|Infant mortality", US_national_yearly!$D:$AM, 28, FALSE) / VLOOKUP("buildings|NOx|Infant mortality", US_national_yearly!$D:$AM, 10, FALSE), 1)</f>
        <v>7.6752288911127703E-7</v>
      </c>
      <c r="U3" s="7">
        <f>$B3 * IFERROR(VLOOKUP("buildings|NOx|Infant mortality", US_national_yearly!$D:$AM, 29, FALSE) / VLOOKUP("buildings|NOx|Infant mortality", US_national_yearly!$D:$AM, 10, FALSE), 1)</f>
        <v>7.6287546372244125E-7</v>
      </c>
      <c r="V3" s="7">
        <f>$B3 * IFERROR(VLOOKUP("buildings|NOx|Infant mortality", US_national_yearly!$D:$AM, 30, FALSE) / VLOOKUP("buildings|NOx|Infant mortality", US_national_yearly!$D:$AM, 10, FALSE), 1)</f>
        <v>7.5822803833360537E-7</v>
      </c>
      <c r="W3" s="7">
        <f>$B3 * IFERROR(VLOOKUP("buildings|NOx|Infant mortality", US_national_yearly!$D:$AM, 31, FALSE) / VLOOKUP("buildings|NOx|Infant mortality", US_national_yearly!$D:$AM, 10, FALSE), 1)</f>
        <v>7.535806129447697E-7</v>
      </c>
      <c r="X3" s="7">
        <f>$B3 * IFERROR(VLOOKUP("buildings|NOx|Infant mortality", US_national_yearly!$D:$AM, 32, FALSE) / VLOOKUP("buildings|NOx|Infant mortality", US_national_yearly!$D:$AM, 10, FALSE), 1)</f>
        <v>7.4866322956382986E-7</v>
      </c>
      <c r="Y3" s="7">
        <f>$B3 * IFERROR(VLOOKUP("buildings|NOx|Infant mortality", US_national_yearly!$D:$AM, 33, FALSE) / VLOOKUP("buildings|NOx|Infant mortality", US_national_yearly!$D:$AM, 10, FALSE), 1)</f>
        <v>7.4374584618289023E-7</v>
      </c>
      <c r="Z3" s="7">
        <f>$B3 * IFERROR(VLOOKUP("buildings|NOx|Infant mortality", US_national_yearly!$D:$AM, 34, FALSE) / VLOOKUP("buildings|NOx|Infant mortality", US_national_yearly!$D:$AM, 10, FALSE), 1)</f>
        <v>7.388284628019504E-7</v>
      </c>
      <c r="AA3" s="7">
        <f>$B3 * IFERROR(VLOOKUP("buildings|NOx|Infant mortality", US_national_yearly!$D:$AM, 35, FALSE) / VLOOKUP("buildings|NOx|Infant mortality", US_national_yearly!$D:$AM, 10, FALSE), 1)</f>
        <v>7.3391107942101056E-7</v>
      </c>
      <c r="AB3" s="7">
        <f>$B3 * IFERROR(VLOOKUP("buildings|NOx|Infant mortality", US_national_yearly!$D:$AM, 36, FALSE) / VLOOKUP("buildings|NOx|Infant mortality", US_national_yearly!$D:$AM, 10, FALSE), 1)</f>
        <v>7.2899369604007073E-7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3.5405637441095488E-3</v>
      </c>
      <c r="C6" s="7">
        <f>$B6 * IFERROR(VLOOKUP("buildings|NOx|Asthma symptoms cough", US_national_yearly!$D:$AM, 11, FALSE) / VLOOKUP("buildings|NOx|Asthma symptoms cough", US_national_yearly!$D:$AM, 10, FALSE), 1)</f>
        <v>3.5890173233317883E-3</v>
      </c>
      <c r="D6" s="7">
        <f>$B6 * IFERROR(VLOOKUP("buildings|NOx|Asthma symptoms cough", US_national_yearly!$D:$AM, 12, FALSE) / VLOOKUP("buildings|NOx|Asthma symptoms cough", US_national_yearly!$D:$AM, 10, FALSE), 1)</f>
        <v>3.6374709025540283E-3</v>
      </c>
      <c r="E6" s="7">
        <f>$B6 * IFERROR(VLOOKUP("buildings|NOx|Asthma symptoms cough", US_national_yearly!$D:$AM, 13, FALSE) / VLOOKUP("buildings|NOx|Asthma symptoms cough", US_national_yearly!$D:$AM, 10, FALSE), 1)</f>
        <v>3.6859244817762679E-3</v>
      </c>
      <c r="F6" s="7">
        <f>$B6 * IFERROR(VLOOKUP("buildings|NOx|Asthma symptoms cough", US_national_yearly!$D:$AM, 14, FALSE) / VLOOKUP("buildings|NOx|Asthma symptoms cough", US_national_yearly!$D:$AM, 10, FALSE), 1)</f>
        <v>3.7343780609985075E-3</v>
      </c>
      <c r="G6" s="7">
        <f>$B6 * IFERROR(VLOOKUP("buildings|NOx|Asthma symptoms cough", US_national_yearly!$D:$AM, 15, FALSE) / VLOOKUP("buildings|NOx|Asthma symptoms cough", US_national_yearly!$D:$AM, 10, FALSE), 1)</f>
        <v>3.7731015500100831E-3</v>
      </c>
      <c r="H6" s="7">
        <f>$B6 * IFERROR(VLOOKUP("buildings|NOx|Asthma symptoms cough", US_national_yearly!$D:$AM, 16, FALSE) / VLOOKUP("buildings|NOx|Asthma symptoms cough", US_national_yearly!$D:$AM, 10, FALSE), 1)</f>
        <v>3.8118250390216583E-3</v>
      </c>
      <c r="I6" s="7">
        <f>$B6 * IFERROR(VLOOKUP("buildings|NOx|Asthma symptoms cough", US_national_yearly!$D:$AM, 17, FALSE) / VLOOKUP("buildings|NOx|Asthma symptoms cough", US_national_yearly!$D:$AM, 10, FALSE), 1)</f>
        <v>3.825226094875876E-3</v>
      </c>
      <c r="J6" s="7">
        <f>$B6 * IFERROR(VLOOKUP("buildings|NOx|Asthma symptoms cough", US_national_yearly!$D:$AM, 18, FALSE) / VLOOKUP("buildings|NOx|Asthma symptoms cough", US_national_yearly!$D:$AM, 10, FALSE), 1)</f>
        <v>3.838627150730094E-3</v>
      </c>
      <c r="K6" s="7">
        <f>$B6 * IFERROR(VLOOKUP("buildings|NOx|Asthma symptoms cough", US_national_yearly!$D:$AM, 19, FALSE) / VLOOKUP("buildings|NOx|Asthma symptoms cough", US_national_yearly!$D:$AM, 10, FALSE), 1)</f>
        <v>3.8520282065843113E-3</v>
      </c>
      <c r="L6" s="7">
        <f>$B6 * IFERROR(VLOOKUP("buildings|NOx|Asthma symptoms cough", US_national_yearly!$D:$AM, 20, FALSE) / VLOOKUP("buildings|NOx|Asthma symptoms cough", US_national_yearly!$D:$AM, 10, FALSE), 1)</f>
        <v>3.8654292624385289E-3</v>
      </c>
      <c r="M6" s="7">
        <f>$B6 * IFERROR(VLOOKUP("buildings|NOx|Asthma symptoms cough", US_national_yearly!$D:$AM, 21, FALSE) / VLOOKUP("buildings|NOx|Asthma symptoms cough", US_national_yearly!$D:$AM, 10, FALSE), 1)</f>
        <v>3.8788303182927461E-3</v>
      </c>
      <c r="N6" s="7">
        <f>$B6 * IFERROR(VLOOKUP("buildings|NOx|Asthma symptoms cough", US_national_yearly!$D:$AM, 22, FALSE) / VLOOKUP("buildings|NOx|Asthma symptoms cough", US_national_yearly!$D:$AM, 10, FALSE), 1)</f>
        <v>3.8943261241249105E-3</v>
      </c>
      <c r="O6" s="7">
        <f>$B6 * IFERROR(VLOOKUP("buildings|NOx|Asthma symptoms cough", US_national_yearly!$D:$AM, 23, FALSE) / VLOOKUP("buildings|NOx|Asthma symptoms cough", US_national_yearly!$D:$AM, 10, FALSE), 1)</f>
        <v>3.9098219299570748E-3</v>
      </c>
      <c r="P6" s="7">
        <f>$B6 * IFERROR(VLOOKUP("buildings|NOx|Asthma symptoms cough", US_national_yearly!$D:$AM, 24, FALSE) / VLOOKUP("buildings|NOx|Asthma symptoms cough", US_national_yearly!$D:$AM, 10, FALSE), 1)</f>
        <v>3.9253177357892388E-3</v>
      </c>
      <c r="Q6" s="7">
        <f>$B6 * IFERROR(VLOOKUP("buildings|NOx|Asthma symptoms cough", US_national_yearly!$D:$AM, 25, FALSE) / VLOOKUP("buildings|NOx|Asthma symptoms cough", US_national_yearly!$D:$AM, 10, FALSE), 1)</f>
        <v>3.9408135416214036E-3</v>
      </c>
      <c r="R6" s="7">
        <f>$B6 * IFERROR(VLOOKUP("buildings|NOx|Asthma symptoms cough", US_national_yearly!$D:$AM, 26, FALSE) / VLOOKUP("buildings|NOx|Asthma symptoms cough", US_national_yearly!$D:$AM, 10, FALSE), 1)</f>
        <v>3.9563093474535667E-3</v>
      </c>
      <c r="S6" s="7">
        <f>$B6 * IFERROR(VLOOKUP("buildings|NOx|Asthma symptoms cough", US_national_yearly!$D:$AM, 27, FALSE) / VLOOKUP("buildings|NOx|Asthma symptoms cough", US_national_yearly!$D:$AM, 10, FALSE), 1)</f>
        <v>3.9765471982689087E-3</v>
      </c>
      <c r="T6" s="7">
        <f>$B6 * IFERROR(VLOOKUP("buildings|NOx|Asthma symptoms cough", US_national_yearly!$D:$AM, 28, FALSE) / VLOOKUP("buildings|NOx|Asthma symptoms cough", US_national_yearly!$D:$AM, 10, FALSE), 1)</f>
        <v>3.9967850490842498E-3</v>
      </c>
      <c r="U6" s="7">
        <f>$B6 * IFERROR(VLOOKUP("buildings|NOx|Asthma symptoms cough", US_national_yearly!$D:$AM, 29, FALSE) / VLOOKUP("buildings|NOx|Asthma symptoms cough", US_national_yearly!$D:$AM, 10, FALSE), 1)</f>
        <v>4.01702289989959E-3</v>
      </c>
      <c r="V6" s="7">
        <f>$B6 * IFERROR(VLOOKUP("buildings|NOx|Asthma symptoms cough", US_national_yearly!$D:$AM, 30, FALSE) / VLOOKUP("buildings|NOx|Asthma symptoms cough", US_national_yearly!$D:$AM, 10, FALSE), 1)</f>
        <v>4.0372607507149329E-3</v>
      </c>
      <c r="W6" s="7">
        <f>$B6 * IFERROR(VLOOKUP("buildings|NOx|Asthma symptoms cough", US_national_yearly!$D:$AM, 31, FALSE) / VLOOKUP("buildings|NOx|Asthma symptoms cough", US_national_yearly!$D:$AM, 10, FALSE), 1)</f>
        <v>4.0574986015302732E-3</v>
      </c>
      <c r="X6" s="7">
        <f>$B6 * IFERROR(VLOOKUP("buildings|NOx|Asthma symptoms cough", US_national_yearly!$D:$AM, 32, FALSE) / VLOOKUP("buildings|NOx|Asthma symptoms cough", US_national_yearly!$D:$AM, 10, FALSE), 1)</f>
        <v>4.0763023497199158E-3</v>
      </c>
      <c r="Y6" s="7">
        <f>$B6 * IFERROR(VLOOKUP("buildings|NOx|Asthma symptoms cough", US_national_yearly!$D:$AM, 33, FALSE) / VLOOKUP("buildings|NOx|Asthma symptoms cough", US_national_yearly!$D:$AM, 10, FALSE), 1)</f>
        <v>4.0951060979095592E-3</v>
      </c>
      <c r="Z6" s="7">
        <f>$B6 * IFERROR(VLOOKUP("buildings|NOx|Asthma symptoms cough", US_national_yearly!$D:$AM, 34, FALSE) / VLOOKUP("buildings|NOx|Asthma symptoms cough", US_national_yearly!$D:$AM, 10, FALSE), 1)</f>
        <v>4.1139098460992026E-3</v>
      </c>
      <c r="AA6" s="7">
        <f>$B6 * IFERROR(VLOOKUP("buildings|NOx|Asthma symptoms cough", US_national_yearly!$D:$AM, 35, FALSE) / VLOOKUP("buildings|NOx|Asthma symptoms cough", US_national_yearly!$D:$AM, 10, FALSE), 1)</f>
        <v>4.1327135942888461E-3</v>
      </c>
      <c r="AB6" s="7">
        <f>$B6 * IFERROR(VLOOKUP("buildings|NOx|Asthma symptoms cough", US_national_yearly!$D:$AM, 36, FALSE) / VLOOKUP("buildings|NOx|Asthma symptoms cough", US_national_yearly!$D:$AM, 10, FALSE), 1)</f>
        <v>4.1515173424784895E-3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4.7678698966564445E-3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4.8331194947426361E-3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4.8983690928288276E-3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4.9636186909150191E-3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5.0288682890012107E-3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5.0810149442142632E-3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5.1331615994273149E-3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5.1512080164746185E-3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5.1692544335219213E-3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5.1873008505692259E-3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5.2053472676165296E-3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5.2233936846638332E-3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5.24426097889482E-3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5.2651282731258067E-3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5.2859955673567934E-3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5.3068628615877802E-3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5.3277301558187669E-3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5.354983284457741E-3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5.3822364130967151E-3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5.4094895417356893E-3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5.4367426703746634E-3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5.4639957990136375E-3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5.4893177056065849E-3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5.5146396121995324E-3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5.5399615187924807E-3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5.5652834253854264E-3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5.5906053319783738E-3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7.2845433072543644E-3</v>
      </c>
      <c r="C8" s="7">
        <f>$B8 * IFERROR(VLOOKUP("buildings|NOx|Asthma symptoms wheeze", US_national_yearly!$D:$AM, 11, FALSE) / VLOOKUP("buildings|NOx|Asthma symptoms wheeze", US_national_yearly!$D:$AM, 10, FALSE), 1)</f>
        <v>7.3842342666284337E-3</v>
      </c>
      <c r="D8" s="7">
        <f>$B8 * IFERROR(VLOOKUP("buildings|NOx|Asthma symptoms wheeze", US_national_yearly!$D:$AM, 12, FALSE) / VLOOKUP("buildings|NOx|Asthma symptoms wheeze", US_national_yearly!$D:$AM, 10, FALSE), 1)</f>
        <v>7.4839252260025021E-3</v>
      </c>
      <c r="E8" s="7">
        <f>$B8 * IFERROR(VLOOKUP("buildings|NOx|Asthma symptoms wheeze", US_national_yearly!$D:$AM, 13, FALSE) / VLOOKUP("buildings|NOx|Asthma symptoms wheeze", US_national_yearly!$D:$AM, 10, FALSE), 1)</f>
        <v>7.5836161853765696E-3</v>
      </c>
      <c r="F8" s="7">
        <f>$B8 * IFERROR(VLOOKUP("buildings|NOx|Asthma symptoms wheeze", US_national_yearly!$D:$AM, 14, FALSE) / VLOOKUP("buildings|NOx|Asthma symptoms wheeze", US_national_yearly!$D:$AM, 10, FALSE), 1)</f>
        <v>7.6833071447506406E-3</v>
      </c>
      <c r="G8" s="7">
        <f>$B8 * IFERROR(VLOOKUP("buildings|NOx|Asthma symptoms wheeze", US_national_yearly!$D:$AM, 15, FALSE) / VLOOKUP("buildings|NOx|Asthma symptoms wheeze", US_national_yearly!$D:$AM, 10, FALSE), 1)</f>
        <v>7.7629789013456477E-3</v>
      </c>
      <c r="H8" s="7">
        <f>$B8 * IFERROR(VLOOKUP("buildings|NOx|Asthma symptoms wheeze", US_national_yearly!$D:$AM, 16, FALSE) / VLOOKUP("buildings|NOx|Asthma symptoms wheeze", US_national_yearly!$D:$AM, 10, FALSE), 1)</f>
        <v>7.842650657940653E-3</v>
      </c>
      <c r="I8" s="7">
        <f>$B8 * IFERROR(VLOOKUP("buildings|NOx|Asthma symptoms wheeze", US_national_yearly!$D:$AM, 17, FALSE) / VLOOKUP("buildings|NOx|Asthma symptoms wheeze", US_national_yearly!$D:$AM, 10, FALSE), 1)</f>
        <v>7.8702226998085441E-3</v>
      </c>
      <c r="J8" s="7">
        <f>$B8 * IFERROR(VLOOKUP("buildings|NOx|Asthma symptoms wheeze", US_national_yearly!$D:$AM, 18, FALSE) / VLOOKUP("buildings|NOx|Asthma symptoms wheeze", US_national_yearly!$D:$AM, 10, FALSE), 1)</f>
        <v>7.8977947416764317E-3</v>
      </c>
      <c r="K8" s="7">
        <f>$B8 * IFERROR(VLOOKUP("buildings|NOx|Asthma symptoms wheeze", US_national_yearly!$D:$AM, 19, FALSE) / VLOOKUP("buildings|NOx|Asthma symptoms wheeze", US_national_yearly!$D:$AM, 10, FALSE), 1)</f>
        <v>7.9253667835443211E-3</v>
      </c>
      <c r="L8" s="7">
        <f>$B8 * IFERROR(VLOOKUP("buildings|NOx|Asthma symptoms wheeze", US_national_yearly!$D:$AM, 20, FALSE) / VLOOKUP("buildings|NOx|Asthma symptoms wheeze", US_national_yearly!$D:$AM, 10, FALSE), 1)</f>
        <v>7.9529388254122105E-3</v>
      </c>
      <c r="M8" s="7">
        <f>$B8 * IFERROR(VLOOKUP("buildings|NOx|Asthma symptoms wheeze", US_national_yearly!$D:$AM, 21, FALSE) / VLOOKUP("buildings|NOx|Asthma symptoms wheeze", US_national_yearly!$D:$AM, 10, FALSE), 1)</f>
        <v>7.9805108672800999E-3</v>
      </c>
      <c r="N8" s="7">
        <f>$B8 * IFERROR(VLOOKUP("buildings|NOx|Asthma symptoms wheeze", US_national_yearly!$D:$AM, 22, FALSE) / VLOOKUP("buildings|NOx|Asthma symptoms wheeze", US_national_yearly!$D:$AM, 10, FALSE), 1)</f>
        <v>8.0123927586657293E-3</v>
      </c>
      <c r="O8" s="7">
        <f>$B8 * IFERROR(VLOOKUP("buildings|NOx|Asthma symptoms wheeze", US_national_yearly!$D:$AM, 23, FALSE) / VLOOKUP("buildings|NOx|Asthma symptoms wheeze", US_national_yearly!$D:$AM, 10, FALSE), 1)</f>
        <v>8.0442746500513605E-3</v>
      </c>
      <c r="P8" s="7">
        <f>$B8 * IFERROR(VLOOKUP("buildings|NOx|Asthma symptoms wheeze", US_national_yearly!$D:$AM, 24, FALSE) / VLOOKUP("buildings|NOx|Asthma symptoms wheeze", US_national_yearly!$D:$AM, 10, FALSE), 1)</f>
        <v>8.07615654143699E-3</v>
      </c>
      <c r="Q8" s="7">
        <f>$B8 * IFERROR(VLOOKUP("buildings|NOx|Asthma symptoms wheeze", US_national_yearly!$D:$AM, 25, FALSE) / VLOOKUP("buildings|NOx|Asthma symptoms wheeze", US_national_yearly!$D:$AM, 10, FALSE), 1)</f>
        <v>8.1080384328226212E-3</v>
      </c>
      <c r="R8" s="7">
        <f>$B8 * IFERROR(VLOOKUP("buildings|NOx|Asthma symptoms wheeze", US_national_yearly!$D:$AM, 26, FALSE) / VLOOKUP("buildings|NOx|Asthma symptoms wheeze", US_national_yearly!$D:$AM, 10, FALSE), 1)</f>
        <v>8.1399203242082507E-3</v>
      </c>
      <c r="S8" s="7">
        <f>$B8 * IFERROR(VLOOKUP("buildings|NOx|Asthma symptoms wheeze", US_national_yearly!$D:$AM, 27, FALSE) / VLOOKUP("buildings|NOx|Asthma symptoms wheeze", US_national_yearly!$D:$AM, 10, FALSE), 1)</f>
        <v>8.1815587500322501E-3</v>
      </c>
      <c r="T8" s="7">
        <f>$B8 * IFERROR(VLOOKUP("buildings|NOx|Asthma symptoms wheeze", US_national_yearly!$D:$AM, 28, FALSE) / VLOOKUP("buildings|NOx|Asthma symptoms wheeze", US_national_yearly!$D:$AM, 10, FALSE), 1)</f>
        <v>8.2231971758562478E-3</v>
      </c>
      <c r="U8" s="7">
        <f>$B8 * IFERROR(VLOOKUP("buildings|NOx|Asthma symptoms wheeze", US_national_yearly!$D:$AM, 29, FALSE) / VLOOKUP("buildings|NOx|Asthma symptoms wheeze", US_national_yearly!$D:$AM, 10, FALSE), 1)</f>
        <v>8.2648356016802472E-3</v>
      </c>
      <c r="V8" s="7">
        <f>$B8 * IFERROR(VLOOKUP("buildings|NOx|Asthma symptoms wheeze", US_national_yearly!$D:$AM, 30, FALSE) / VLOOKUP("buildings|NOx|Asthma symptoms wheeze", US_national_yearly!$D:$AM, 10, FALSE), 1)</f>
        <v>8.3064740275042449E-3</v>
      </c>
      <c r="W8" s="7">
        <f>$B8 * IFERROR(VLOOKUP("buildings|NOx|Asthma symptoms wheeze", US_national_yearly!$D:$AM, 31, FALSE) / VLOOKUP("buildings|NOx|Asthma symptoms wheeze", US_national_yearly!$D:$AM, 10, FALSE), 1)</f>
        <v>8.3481124533282443E-3</v>
      </c>
      <c r="X8" s="7">
        <f>$B8 * IFERROR(VLOOKUP("buildings|NOx|Asthma symptoms wheeze", US_national_yearly!$D:$AM, 32, FALSE) / VLOOKUP("buildings|NOx|Asthma symptoms wheeze", US_national_yearly!$D:$AM, 10, FALSE), 1)</f>
        <v>8.3868002804790565E-3</v>
      </c>
      <c r="Y8" s="7">
        <f>$B8 * IFERROR(VLOOKUP("buildings|NOx|Asthma symptoms wheeze", US_national_yearly!$D:$AM, 33, FALSE) / VLOOKUP("buildings|NOx|Asthma symptoms wheeze", US_national_yearly!$D:$AM, 10, FALSE), 1)</f>
        <v>8.4254881076298704E-3</v>
      </c>
      <c r="Z8" s="7">
        <f>$B8 * IFERROR(VLOOKUP("buildings|NOx|Asthma symptoms wheeze", US_national_yearly!$D:$AM, 34, FALSE) / VLOOKUP("buildings|NOx|Asthma symptoms wheeze", US_national_yearly!$D:$AM, 10, FALSE), 1)</f>
        <v>8.4641759347806843E-3</v>
      </c>
      <c r="AA8" s="7">
        <f>$B8 * IFERROR(VLOOKUP("buildings|NOx|Asthma symptoms wheeze", US_national_yearly!$D:$AM, 35, FALSE) / VLOOKUP("buildings|NOx|Asthma symptoms wheeze", US_national_yearly!$D:$AM, 10, FALSE), 1)</f>
        <v>8.5028637619314982E-3</v>
      </c>
      <c r="AB8" s="7">
        <f>$B8 * IFERROR(VLOOKUP("buildings|NOx|Asthma symptoms wheeze", US_national_yearly!$D:$AM, 36, FALSE) / VLOOKUP("buildings|NOx|Asthma symptoms wheeze", US_national_yearly!$D:$AM, 10, FALSE), 1)</f>
        <v>8.5415515890823121E-3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6.5496814859870129E-5</v>
      </c>
      <c r="C12" s="7">
        <f>$B12 * IFERROR(VLOOKUP("buildings|NOx|Respiratory hospital admissions", US_national_yearly!$D:$AM, 11, FALSE) / VLOOKUP("buildings|NOx|Respiratory hospital admissions", US_national_yearly!$D:$AM, 10, FALSE), 1)</f>
        <v>6.7133210238279852E-5</v>
      </c>
      <c r="D12" s="7">
        <f>$B12 * IFERROR(VLOOKUP("buildings|NOx|Respiratory hospital admissions", US_national_yearly!$D:$AM, 12, FALSE) / VLOOKUP("buildings|NOx|Respiratory hospital admissions", US_national_yearly!$D:$AM, 10, FALSE), 1)</f>
        <v>6.8769605616689588E-5</v>
      </c>
      <c r="E12" s="7">
        <f>$B12 * IFERROR(VLOOKUP("buildings|NOx|Respiratory hospital admissions", US_national_yearly!$D:$AM, 13, FALSE) / VLOOKUP("buildings|NOx|Respiratory hospital admissions", US_national_yearly!$D:$AM, 10, FALSE), 1)</f>
        <v>7.0406000995099311E-5</v>
      </c>
      <c r="F12" s="7">
        <f>$B12 * IFERROR(VLOOKUP("buildings|NOx|Respiratory hospital admissions", US_national_yearly!$D:$AM, 14, FALSE) / VLOOKUP("buildings|NOx|Respiratory hospital admissions", US_national_yearly!$D:$AM, 10, FALSE), 1)</f>
        <v>7.2042396373509047E-5</v>
      </c>
      <c r="G12" s="7">
        <f>$B12 * IFERROR(VLOOKUP("buildings|NOx|Respiratory hospital admissions", US_national_yearly!$D:$AM, 15, FALSE) / VLOOKUP("buildings|NOx|Respiratory hospital admissions", US_national_yearly!$D:$AM, 10, FALSE), 1)</f>
        <v>7.3606840150424897E-5</v>
      </c>
      <c r="H12" s="7">
        <f>$B12 * IFERROR(VLOOKUP("buildings|NOx|Respiratory hospital admissions", US_national_yearly!$D:$AM, 16, FALSE) / VLOOKUP("buildings|NOx|Respiratory hospital admissions", US_national_yearly!$D:$AM, 10, FALSE), 1)</f>
        <v>7.5171283927340734E-5</v>
      </c>
      <c r="I12" s="7">
        <f>$B12 * IFERROR(VLOOKUP("buildings|NOx|Respiratory hospital admissions", US_national_yearly!$D:$AM, 17, FALSE) / VLOOKUP("buildings|NOx|Respiratory hospital admissions", US_national_yearly!$D:$AM, 10, FALSE), 1)</f>
        <v>7.6500242057120092E-5</v>
      </c>
      <c r="J12" s="7">
        <f>$B12 * IFERROR(VLOOKUP("buildings|NOx|Respiratory hospital admissions", US_national_yearly!$D:$AM, 18, FALSE) / VLOOKUP("buildings|NOx|Respiratory hospital admissions", US_national_yearly!$D:$AM, 10, FALSE), 1)</f>
        <v>7.782920018689945E-5</v>
      </c>
      <c r="K12" s="7">
        <f>$B12 * IFERROR(VLOOKUP("buildings|NOx|Respiratory hospital admissions", US_national_yearly!$D:$AM, 19, FALSE) / VLOOKUP("buildings|NOx|Respiratory hospital admissions", US_national_yearly!$D:$AM, 10, FALSE), 1)</f>
        <v>7.9158158316678821E-5</v>
      </c>
      <c r="L12" s="7">
        <f>$B12 * IFERROR(VLOOKUP("buildings|NOx|Respiratory hospital admissions", US_national_yearly!$D:$AM, 20, FALSE) / VLOOKUP("buildings|NOx|Respiratory hospital admissions", US_national_yearly!$D:$AM, 10, FALSE), 1)</f>
        <v>8.0487116446458179E-5</v>
      </c>
      <c r="M12" s="7">
        <f>$B12 * IFERROR(VLOOKUP("buildings|NOx|Respiratory hospital admissions", US_national_yearly!$D:$AM, 21, FALSE) / VLOOKUP("buildings|NOx|Respiratory hospital admissions", US_national_yearly!$D:$AM, 10, FALSE), 1)</f>
        <v>8.1816074576237537E-5</v>
      </c>
      <c r="N12" s="7">
        <f>$B12 * IFERROR(VLOOKUP("buildings|NOx|Respiratory hospital admissions", US_national_yearly!$D:$AM, 22, FALSE) / VLOOKUP("buildings|NOx|Respiratory hospital admissions", US_national_yearly!$D:$AM, 10, FALSE), 1)</f>
        <v>8.270447577379204E-5</v>
      </c>
      <c r="O12" s="7">
        <f>$B12 * IFERROR(VLOOKUP("buildings|NOx|Respiratory hospital admissions", US_national_yearly!$D:$AM, 23, FALSE) / VLOOKUP("buildings|NOx|Respiratory hospital admissions", US_national_yearly!$D:$AM, 10, FALSE), 1)</f>
        <v>8.3592876971346543E-5</v>
      </c>
      <c r="P12" s="7">
        <f>$B12 * IFERROR(VLOOKUP("buildings|NOx|Respiratory hospital admissions", US_national_yearly!$D:$AM, 24, FALSE) / VLOOKUP("buildings|NOx|Respiratory hospital admissions", US_national_yearly!$D:$AM, 10, FALSE), 1)</f>
        <v>8.4481278168901033E-5</v>
      </c>
      <c r="Q12" s="7">
        <f>$B12 * IFERROR(VLOOKUP("buildings|NOx|Respiratory hospital admissions", US_national_yearly!$D:$AM, 25, FALSE) / VLOOKUP("buildings|NOx|Respiratory hospital admissions", US_national_yearly!$D:$AM, 10, FALSE), 1)</f>
        <v>8.536967936645555E-5</v>
      </c>
      <c r="R12" s="7">
        <f>$B12 * IFERROR(VLOOKUP("buildings|NOx|Respiratory hospital admissions", US_national_yearly!$D:$AM, 26, FALSE) / VLOOKUP("buildings|NOx|Respiratory hospital admissions", US_national_yearly!$D:$AM, 10, FALSE), 1)</f>
        <v>8.6258080564010039E-5</v>
      </c>
      <c r="S12" s="7">
        <f>$B12 * IFERROR(VLOOKUP("buildings|NOx|Respiratory hospital admissions", US_national_yearly!$D:$AM, 27, FALSE) / VLOOKUP("buildings|NOx|Respiratory hospital admissions", US_national_yearly!$D:$AM, 10, FALSE), 1)</f>
        <v>8.6734414382096684E-5</v>
      </c>
      <c r="T12" s="7">
        <f>$B12 * IFERROR(VLOOKUP("buildings|NOx|Respiratory hospital admissions", US_national_yearly!$D:$AM, 28, FALSE) / VLOOKUP("buildings|NOx|Respiratory hospital admissions", US_national_yearly!$D:$AM, 10, FALSE), 1)</f>
        <v>8.7210748200183342E-5</v>
      </c>
      <c r="U12" s="7">
        <f>$B12 * IFERROR(VLOOKUP("buildings|NOx|Respiratory hospital admissions", US_national_yearly!$D:$AM, 29, FALSE) / VLOOKUP("buildings|NOx|Respiratory hospital admissions", US_national_yearly!$D:$AM, 10, FALSE), 1)</f>
        <v>8.7687082018269999E-5</v>
      </c>
      <c r="V12" s="7">
        <f>$B12 * IFERROR(VLOOKUP("buildings|NOx|Respiratory hospital admissions", US_national_yearly!$D:$AM, 30, FALSE) / VLOOKUP("buildings|NOx|Respiratory hospital admissions", US_national_yearly!$D:$AM, 10, FALSE), 1)</f>
        <v>8.8163415836356657E-5</v>
      </c>
      <c r="W12" s="7">
        <f>$B12 * IFERROR(VLOOKUP("buildings|NOx|Respiratory hospital admissions", US_national_yearly!$D:$AM, 31, FALSE) / VLOOKUP("buildings|NOx|Respiratory hospital admissions", US_national_yearly!$D:$AM, 10, FALSE), 1)</f>
        <v>8.8639749654443302E-5</v>
      </c>
      <c r="X12" s="7">
        <f>$B12 * IFERROR(VLOOKUP("buildings|NOx|Respiratory hospital admissions", US_national_yearly!$D:$AM, 32, FALSE) / VLOOKUP("buildings|NOx|Respiratory hospital admissions", US_national_yearly!$D:$AM, 10, FALSE), 1)</f>
        <v>8.8965822628534247E-5</v>
      </c>
      <c r="Y12" s="7">
        <f>$B12 * IFERROR(VLOOKUP("buildings|NOx|Respiratory hospital admissions", US_national_yearly!$D:$AM, 33, FALSE) / VLOOKUP("buildings|NOx|Respiratory hospital admissions", US_national_yearly!$D:$AM, 10, FALSE), 1)</f>
        <v>8.9291895602625193E-5</v>
      </c>
      <c r="Z12" s="7">
        <f>$B12 * IFERROR(VLOOKUP("buildings|NOx|Respiratory hospital admissions", US_national_yearly!$D:$AM, 34, FALSE) / VLOOKUP("buildings|NOx|Respiratory hospital admissions", US_national_yearly!$D:$AM, 10, FALSE), 1)</f>
        <v>8.9617968576716166E-5</v>
      </c>
      <c r="AA12" s="7">
        <f>$B12 * IFERROR(VLOOKUP("buildings|NOx|Respiratory hospital admissions", US_national_yearly!$D:$AM, 35, FALSE) / VLOOKUP("buildings|NOx|Respiratory hospital admissions", US_national_yearly!$D:$AM, 10, FALSE), 1)</f>
        <v>8.9944041550807111E-5</v>
      </c>
      <c r="AB12" s="7">
        <f>$B12 * IFERROR(VLOOKUP("buildings|NOx|Respiratory hospital admissions", US_national_yearly!$D:$AM, 36, FALSE) / VLOOKUP("buildings|NOx|Respiratory hospital admissions", US_national_yearly!$D:$AM, 10, FALSE), 1)</f>
        <v>9.0270114524898071E-5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4.871573082548464E-4</v>
      </c>
      <c r="C13" s="7">
        <f>$B13 * IFERROR(VLOOKUP("buildings|NOx|Non-fatal heart attacks", US_national_yearly!$D:$AM, 11, FALSE) / VLOOKUP("buildings|NOx|Non-fatal heart attacks", US_national_yearly!$D:$AM, 10, FALSE), 1)</f>
        <v>5.010938855969896E-4</v>
      </c>
      <c r="D13" s="7">
        <f>$B13 * IFERROR(VLOOKUP("buildings|NOx|Non-fatal heart attacks", US_national_yearly!$D:$AM, 12, FALSE) / VLOOKUP("buildings|NOx|Non-fatal heart attacks", US_national_yearly!$D:$AM, 10, FALSE), 1)</f>
        <v>5.1503046293913308E-4</v>
      </c>
      <c r="E13" s="7">
        <f>$B13 * IFERROR(VLOOKUP("buildings|NOx|Non-fatal heart attacks", US_national_yearly!$D:$AM, 13, FALSE) / VLOOKUP("buildings|NOx|Non-fatal heart attacks", US_national_yearly!$D:$AM, 10, FALSE), 1)</f>
        <v>5.2896704028127623E-4</v>
      </c>
      <c r="F13" s="7">
        <f>$B13 * IFERROR(VLOOKUP("buildings|NOx|Non-fatal heart attacks", US_national_yearly!$D:$AM, 14, FALSE) / VLOOKUP("buildings|NOx|Non-fatal heart attacks", US_national_yearly!$D:$AM, 10, FALSE), 1)</f>
        <v>5.4290361762341949E-4</v>
      </c>
      <c r="G13" s="7">
        <f>$B13 * IFERROR(VLOOKUP("buildings|NOx|Non-fatal heart attacks", US_national_yearly!$D:$AM, 15, FALSE) / VLOOKUP("buildings|NOx|Non-fatal heart attacks", US_national_yearly!$D:$AM, 10, FALSE), 1)</f>
        <v>5.5593008959028609E-4</v>
      </c>
      <c r="H13" s="7">
        <f>$B13 * IFERROR(VLOOKUP("buildings|NOx|Non-fatal heart attacks", US_national_yearly!$D:$AM, 16, FALSE) / VLOOKUP("buildings|NOx|Non-fatal heart attacks", US_national_yearly!$D:$AM, 10, FALSE), 1)</f>
        <v>5.6895656155715279E-4</v>
      </c>
      <c r="I13" s="7">
        <f>$B13 * IFERROR(VLOOKUP("buildings|NOx|Non-fatal heart attacks", US_national_yearly!$D:$AM, 17, FALSE) / VLOOKUP("buildings|NOx|Non-fatal heart attacks", US_national_yearly!$D:$AM, 10, FALSE), 1)</f>
        <v>5.7923351153694254E-4</v>
      </c>
      <c r="J13" s="7">
        <f>$B13 * IFERROR(VLOOKUP("buildings|NOx|Non-fatal heart attacks", US_national_yearly!$D:$AM, 18, FALSE) / VLOOKUP("buildings|NOx|Non-fatal heart attacks", US_national_yearly!$D:$AM, 10, FALSE), 1)</f>
        <v>5.895104615167324E-4</v>
      </c>
      <c r="K13" s="7">
        <f>$B13 * IFERROR(VLOOKUP("buildings|NOx|Non-fatal heart attacks", US_national_yearly!$D:$AM, 19, FALSE) / VLOOKUP("buildings|NOx|Non-fatal heart attacks", US_national_yearly!$D:$AM, 10, FALSE), 1)</f>
        <v>5.9978741149652236E-4</v>
      </c>
      <c r="L13" s="7">
        <f>$B13 * IFERROR(VLOOKUP("buildings|NOx|Non-fatal heart attacks", US_national_yearly!$D:$AM, 20, FALSE) / VLOOKUP("buildings|NOx|Non-fatal heart attacks", US_national_yearly!$D:$AM, 10, FALSE), 1)</f>
        <v>6.1006436147631178E-4</v>
      </c>
      <c r="M13" s="7">
        <f>$B13 * IFERROR(VLOOKUP("buildings|NOx|Non-fatal heart attacks", US_national_yearly!$D:$AM, 21, FALSE) / VLOOKUP("buildings|NOx|Non-fatal heart attacks", US_national_yearly!$D:$AM, 10, FALSE), 1)</f>
        <v>6.2034131145610185E-4</v>
      </c>
      <c r="N13" s="7">
        <f>$B13 * IFERROR(VLOOKUP("buildings|NOx|Non-fatal heart attacks", US_national_yearly!$D:$AM, 22, FALSE) / VLOOKUP("buildings|NOx|Non-fatal heart attacks", US_national_yearly!$D:$AM, 10, FALSE), 1)</f>
        <v>6.2652629148970084E-4</v>
      </c>
      <c r="O13" s="7">
        <f>$B13 * IFERROR(VLOOKUP("buildings|NOx|Non-fatal heart attacks", US_national_yearly!$D:$AM, 23, FALSE) / VLOOKUP("buildings|NOx|Non-fatal heart attacks", US_national_yearly!$D:$AM, 10, FALSE), 1)</f>
        <v>6.3271127152329971E-4</v>
      </c>
      <c r="P13" s="7">
        <f>$B13 * IFERROR(VLOOKUP("buildings|NOx|Non-fatal heart attacks", US_national_yearly!$D:$AM, 24, FALSE) / VLOOKUP("buildings|NOx|Non-fatal heart attacks", US_national_yearly!$D:$AM, 10, FALSE), 1)</f>
        <v>6.3889625155689881E-4</v>
      </c>
      <c r="Q13" s="7">
        <f>$B13 * IFERROR(VLOOKUP("buildings|NOx|Non-fatal heart attacks", US_national_yearly!$D:$AM, 25, FALSE) / VLOOKUP("buildings|NOx|Non-fatal heart attacks", US_national_yearly!$D:$AM, 10, FALSE), 1)</f>
        <v>6.450812315904978E-4</v>
      </c>
      <c r="R13" s="7">
        <f>$B13 * IFERROR(VLOOKUP("buildings|NOx|Non-fatal heart attacks", US_national_yearly!$D:$AM, 26, FALSE) / VLOOKUP("buildings|NOx|Non-fatal heart attacks", US_national_yearly!$D:$AM, 10, FALSE), 1)</f>
        <v>6.5126621162409667E-4</v>
      </c>
      <c r="S13" s="7">
        <f>$B13 * IFERROR(VLOOKUP("buildings|NOx|Non-fatal heart attacks", US_national_yearly!$D:$AM, 27, FALSE) / VLOOKUP("buildings|NOx|Non-fatal heart attacks", US_national_yearly!$D:$AM, 10, FALSE), 1)</f>
        <v>6.5407690918908531E-4</v>
      </c>
      <c r="T13" s="7">
        <f>$B13 * IFERROR(VLOOKUP("buildings|NOx|Non-fatal heart attacks", US_national_yearly!$D:$AM, 28, FALSE) / VLOOKUP("buildings|NOx|Non-fatal heart attacks", US_national_yearly!$D:$AM, 10, FALSE), 1)</f>
        <v>6.5688760675407427E-4</v>
      </c>
      <c r="U13" s="7">
        <f>$B13 * IFERROR(VLOOKUP("buildings|NOx|Non-fatal heart attacks", US_national_yearly!$D:$AM, 29, FALSE) / VLOOKUP("buildings|NOx|Non-fatal heart attacks", US_national_yearly!$D:$AM, 10, FALSE), 1)</f>
        <v>6.5969830431906291E-4</v>
      </c>
      <c r="V13" s="7">
        <f>$B13 * IFERROR(VLOOKUP("buildings|NOx|Non-fatal heart attacks", US_national_yearly!$D:$AM, 30, FALSE) / VLOOKUP("buildings|NOx|Non-fatal heart attacks", US_national_yearly!$D:$AM, 10, FALSE), 1)</f>
        <v>6.6250900188405165E-4</v>
      </c>
      <c r="W13" s="7">
        <f>$B13 * IFERROR(VLOOKUP("buildings|NOx|Non-fatal heart attacks", US_national_yearly!$D:$AM, 31, FALSE) / VLOOKUP("buildings|NOx|Non-fatal heart attacks", US_national_yearly!$D:$AM, 10, FALSE), 1)</f>
        <v>6.653196994490404E-4</v>
      </c>
      <c r="X13" s="7">
        <f>$B13 * IFERROR(VLOOKUP("buildings|NOx|Non-fatal heart attacks", US_national_yearly!$D:$AM, 32, FALSE) / VLOOKUP("buildings|NOx|Non-fatal heart attacks", US_national_yearly!$D:$AM, 10, FALSE), 1)</f>
        <v>6.6719982724070274E-4</v>
      </c>
      <c r="Y13" s="7">
        <f>$B13 * IFERROR(VLOOKUP("buildings|NOx|Non-fatal heart attacks", US_national_yearly!$D:$AM, 33, FALSE) / VLOOKUP("buildings|NOx|Non-fatal heart attacks", US_national_yearly!$D:$AM, 10, FALSE), 1)</f>
        <v>6.6907995503236509E-4</v>
      </c>
      <c r="Z13" s="7">
        <f>$B13 * IFERROR(VLOOKUP("buildings|NOx|Non-fatal heart attacks", US_national_yearly!$D:$AM, 34, FALSE) / VLOOKUP("buildings|NOx|Non-fatal heart attacks", US_national_yearly!$D:$AM, 10, FALSE), 1)</f>
        <v>6.7096008282402744E-4</v>
      </c>
      <c r="AA13" s="7">
        <f>$B13 * IFERROR(VLOOKUP("buildings|NOx|Non-fatal heart attacks", US_national_yearly!$D:$AM, 35, FALSE) / VLOOKUP("buildings|NOx|Non-fatal heart attacks", US_national_yearly!$D:$AM, 10, FALSE), 1)</f>
        <v>6.7284021061568978E-4</v>
      </c>
      <c r="AB13" s="7">
        <f>$B13 * IFERROR(VLOOKUP("buildings|NOx|Non-fatal heart attacks", US_national_yearly!$D:$AM, 36, FALSE) / VLOOKUP("buildings|NOx|Non-fatal heart attacks", US_national_yearly!$D:$AM, 10, FALSE), 1)</f>
        <v>6.7472033840735213E-4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0.46432777177040585</v>
      </c>
      <c r="C14" s="7">
        <f>$B14 * IFERROR(VLOOKUP("buildings|NOx|Minor restricted activity days", US_national_yearly!$D:$AM, 11, FALSE) / VLOOKUP("buildings|NOx|Minor restricted activity days", US_national_yearly!$D:$AM, 10, FALSE), 1)</f>
        <v>0.46504829866196845</v>
      </c>
      <c r="D14" s="7">
        <f>$B14 * IFERROR(VLOOKUP("buildings|NOx|Minor restricted activity days", US_national_yearly!$D:$AM, 12, FALSE) / VLOOKUP("buildings|NOx|Minor restricted activity days", US_national_yearly!$D:$AM, 10, FALSE), 1)</f>
        <v>0.46576882555353105</v>
      </c>
      <c r="E14" s="7">
        <f>$B14 * IFERROR(VLOOKUP("buildings|NOx|Minor restricted activity days", US_national_yearly!$D:$AM, 13, FALSE) / VLOOKUP("buildings|NOx|Minor restricted activity days", US_national_yearly!$D:$AM, 10, FALSE), 1)</f>
        <v>0.4664893524450936</v>
      </c>
      <c r="F14" s="7">
        <f>$B14 * IFERROR(VLOOKUP("buildings|NOx|Minor restricted activity days", US_national_yearly!$D:$AM, 14, FALSE) / VLOOKUP("buildings|NOx|Minor restricted activity days", US_national_yearly!$D:$AM, 10, FALSE), 1)</f>
        <v>0.4672098793366562</v>
      </c>
      <c r="G14" s="7">
        <f>$B14 * IFERROR(VLOOKUP("buildings|NOx|Minor restricted activity days", US_national_yearly!$D:$AM, 15, FALSE) / VLOOKUP("buildings|NOx|Minor restricted activity days", US_national_yearly!$D:$AM, 10, FALSE), 1)</f>
        <v>0.46850430714769148</v>
      </c>
      <c r="H14" s="7">
        <f>$B14 * IFERROR(VLOOKUP("buildings|NOx|Minor restricted activity days", US_national_yearly!$D:$AM, 16, FALSE) / VLOOKUP("buildings|NOx|Minor restricted activity days", US_national_yearly!$D:$AM, 10, FALSE), 1)</f>
        <v>0.46979873495872676</v>
      </c>
      <c r="I14" s="7">
        <f>$B14 * IFERROR(VLOOKUP("buildings|NOx|Minor restricted activity days", US_national_yearly!$D:$AM, 17, FALSE) / VLOOKUP("buildings|NOx|Minor restricted activity days", US_national_yearly!$D:$AM, 10, FALSE), 1)</f>
        <v>0.47232249988812686</v>
      </c>
      <c r="J14" s="7">
        <f>$B14 * IFERROR(VLOOKUP("buildings|NOx|Minor restricted activity days", US_national_yearly!$D:$AM, 18, FALSE) / VLOOKUP("buildings|NOx|Minor restricted activity days", US_national_yearly!$D:$AM, 10, FALSE), 1)</f>
        <v>0.47484626481752695</v>
      </c>
      <c r="K14" s="7">
        <f>$B14 * IFERROR(VLOOKUP("buildings|NOx|Minor restricted activity days", US_national_yearly!$D:$AM, 19, FALSE) / VLOOKUP("buildings|NOx|Minor restricted activity days", US_national_yearly!$D:$AM, 10, FALSE), 1)</f>
        <v>0.47737002974692705</v>
      </c>
      <c r="L14" s="7">
        <f>$B14 * IFERROR(VLOOKUP("buildings|NOx|Minor restricted activity days", US_national_yearly!$D:$AM, 20, FALSE) / VLOOKUP("buildings|NOx|Minor restricted activity days", US_national_yearly!$D:$AM, 10, FALSE), 1)</f>
        <v>0.47989379467632715</v>
      </c>
      <c r="M14" s="7">
        <f>$B14 * IFERROR(VLOOKUP("buildings|NOx|Minor restricted activity days", US_national_yearly!$D:$AM, 21, FALSE) / VLOOKUP("buildings|NOx|Minor restricted activity days", US_national_yearly!$D:$AM, 10, FALSE), 1)</f>
        <v>0.4824175596057273</v>
      </c>
      <c r="N14" s="7">
        <f>$B14 * IFERROR(VLOOKUP("buildings|NOx|Minor restricted activity days", US_national_yearly!$D:$AM, 22, FALSE) / VLOOKUP("buildings|NOx|Minor restricted activity days", US_national_yearly!$D:$AM, 10, FALSE), 1)</f>
        <v>0.48602807862325598</v>
      </c>
      <c r="O14" s="7">
        <f>$B14 * IFERROR(VLOOKUP("buildings|NOx|Minor restricted activity days", US_national_yearly!$D:$AM, 23, FALSE) / VLOOKUP("buildings|NOx|Minor restricted activity days", US_national_yearly!$D:$AM, 10, FALSE), 1)</f>
        <v>0.48963859764078455</v>
      </c>
      <c r="P14" s="7">
        <f>$B14 * IFERROR(VLOOKUP("buildings|NOx|Minor restricted activity days", US_national_yearly!$D:$AM, 24, FALSE) / VLOOKUP("buildings|NOx|Minor restricted activity days", US_national_yearly!$D:$AM, 10, FALSE), 1)</f>
        <v>0.49324911665831322</v>
      </c>
      <c r="Q14" s="7">
        <f>$B14 * IFERROR(VLOOKUP("buildings|NOx|Minor restricted activity days", US_national_yearly!$D:$AM, 25, FALSE) / VLOOKUP("buildings|NOx|Minor restricted activity days", US_national_yearly!$D:$AM, 10, FALSE), 1)</f>
        <v>0.49685963567584185</v>
      </c>
      <c r="R14" s="7">
        <f>$B14 * IFERROR(VLOOKUP("buildings|NOx|Minor restricted activity days", US_national_yearly!$D:$AM, 26, FALSE) / VLOOKUP("buildings|NOx|Minor restricted activity days", US_national_yearly!$D:$AM, 10, FALSE), 1)</f>
        <v>0.50047015469337042</v>
      </c>
      <c r="S14" s="7">
        <f>$B14 * IFERROR(VLOOKUP("buildings|NOx|Minor restricted activity days", US_national_yearly!$D:$AM, 27, FALSE) / VLOOKUP("buildings|NOx|Minor restricted activity days", US_national_yearly!$D:$AM, 10, FALSE), 1)</f>
        <v>0.50407963434050429</v>
      </c>
      <c r="T14" s="7">
        <f>$B14 * IFERROR(VLOOKUP("buildings|NOx|Minor restricted activity days", US_national_yearly!$D:$AM, 28, FALSE) / VLOOKUP("buildings|NOx|Minor restricted activity days", US_national_yearly!$D:$AM, 10, FALSE), 1)</f>
        <v>0.50768911398763816</v>
      </c>
      <c r="U14" s="7">
        <f>$B14 * IFERROR(VLOOKUP("buildings|NOx|Minor restricted activity days", US_national_yearly!$D:$AM, 29, FALSE) / VLOOKUP("buildings|NOx|Minor restricted activity days", US_national_yearly!$D:$AM, 10, FALSE), 1)</f>
        <v>0.51129859363477215</v>
      </c>
      <c r="V14" s="7">
        <f>$B14 * IFERROR(VLOOKUP("buildings|NOx|Minor restricted activity days", US_national_yearly!$D:$AM, 30, FALSE) / VLOOKUP("buildings|NOx|Minor restricted activity days", US_national_yearly!$D:$AM, 10, FALSE), 1)</f>
        <v>0.51490807328190602</v>
      </c>
      <c r="W14" s="7">
        <f>$B14 * IFERROR(VLOOKUP("buildings|NOx|Minor restricted activity days", US_national_yearly!$D:$AM, 31, FALSE) / VLOOKUP("buildings|NOx|Minor restricted activity days", US_national_yearly!$D:$AM, 10, FALSE), 1)</f>
        <v>0.51851755292903989</v>
      </c>
      <c r="X14" s="7">
        <f>$B14 * IFERROR(VLOOKUP("buildings|NOx|Minor restricted activity days", US_national_yearly!$D:$AM, 32, FALSE) / VLOOKUP("buildings|NOx|Minor restricted activity days", US_national_yearly!$D:$AM, 10, FALSE), 1)</f>
        <v>0.52157023813279901</v>
      </c>
      <c r="Y14" s="7">
        <f>$B14 * IFERROR(VLOOKUP("buildings|NOx|Minor restricted activity days", US_national_yearly!$D:$AM, 33, FALSE) / VLOOKUP("buildings|NOx|Minor restricted activity days", US_national_yearly!$D:$AM, 10, FALSE), 1)</f>
        <v>0.52462292333655813</v>
      </c>
      <c r="Z14" s="7">
        <f>$B14 * IFERROR(VLOOKUP("buildings|NOx|Minor restricted activity days", US_national_yearly!$D:$AM, 34, FALSE) / VLOOKUP("buildings|NOx|Minor restricted activity days", US_national_yearly!$D:$AM, 10, FALSE), 1)</f>
        <v>0.52767560854031714</v>
      </c>
      <c r="AA14" s="7">
        <f>$B14 * IFERROR(VLOOKUP("buildings|NOx|Minor restricted activity days", US_national_yearly!$D:$AM, 35, FALSE) / VLOOKUP("buildings|NOx|Minor restricted activity days", US_national_yearly!$D:$AM, 10, FALSE), 1)</f>
        <v>0.53072829374407626</v>
      </c>
      <c r="AB14" s="7">
        <f>$B14 * IFERROR(VLOOKUP("buildings|NOx|Minor restricted activity days", US_national_yearly!$D:$AM, 36, FALSE) / VLOOKUP("buildings|NOx|Minor restricted activity days", US_national_yearly!$D:$AM, 10, FALSE), 1)</f>
        <v>0.53378097894783538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7.9114681712255053E-2</v>
      </c>
      <c r="C15" s="7">
        <f>$B15 * IFERROR(VLOOKUP("buildings|NOx|Work loss days", US_national_yearly!$D:$AM, 11, FALSE) / VLOOKUP("buildings|NOx|Work loss days", US_national_yearly!$D:$AM, 10, FALSE), 1)</f>
        <v>7.9292035868123278E-2</v>
      </c>
      <c r="D15" s="7">
        <f>$B15 * IFERROR(VLOOKUP("buildings|NOx|Work loss days", US_national_yearly!$D:$AM, 12, FALSE) / VLOOKUP("buildings|NOx|Work loss days", US_national_yearly!$D:$AM, 10, FALSE), 1)</f>
        <v>7.946939002399149E-2</v>
      </c>
      <c r="E15" s="7">
        <f>$B15 * IFERROR(VLOOKUP("buildings|NOx|Work loss days", US_national_yearly!$D:$AM, 13, FALSE) / VLOOKUP("buildings|NOx|Work loss days", US_national_yearly!$D:$AM, 10, FALSE), 1)</f>
        <v>7.9646744179859702E-2</v>
      </c>
      <c r="F15" s="7">
        <f>$B15 * IFERROR(VLOOKUP("buildings|NOx|Work loss days", US_national_yearly!$D:$AM, 14, FALSE) / VLOOKUP("buildings|NOx|Work loss days", US_national_yearly!$D:$AM, 10, FALSE), 1)</f>
        <v>7.9824098335727928E-2</v>
      </c>
      <c r="G15" s="7">
        <f>$B15 * IFERROR(VLOOKUP("buildings|NOx|Work loss days", US_national_yearly!$D:$AM, 15, FALSE) / VLOOKUP("buildings|NOx|Work loss days", US_national_yearly!$D:$AM, 10, FALSE), 1)</f>
        <v>8.0082434547826764E-2</v>
      </c>
      <c r="H15" s="7">
        <f>$B15 * IFERROR(VLOOKUP("buildings|NOx|Work loss days", US_national_yearly!$D:$AM, 16, FALSE) / VLOOKUP("buildings|NOx|Work loss days", US_national_yearly!$D:$AM, 10, FALSE), 1)</f>
        <v>8.0340770759925614E-2</v>
      </c>
      <c r="I15" s="7">
        <f>$B15 * IFERROR(VLOOKUP("buildings|NOx|Work loss days", US_national_yearly!$D:$AM, 17, FALSE) / VLOOKUP("buildings|NOx|Work loss days", US_national_yearly!$D:$AM, 10, FALSE), 1)</f>
        <v>8.0758578282071933E-2</v>
      </c>
      <c r="J15" s="7">
        <f>$B15 * IFERROR(VLOOKUP("buildings|NOx|Work loss days", US_national_yearly!$D:$AM, 18, FALSE) / VLOOKUP("buildings|NOx|Work loss days", US_national_yearly!$D:$AM, 10, FALSE), 1)</f>
        <v>8.1176385804218251E-2</v>
      </c>
      <c r="K15" s="7">
        <f>$B15 * IFERROR(VLOOKUP("buildings|NOx|Work loss days", US_national_yearly!$D:$AM, 19, FALSE) / VLOOKUP("buildings|NOx|Work loss days", US_national_yearly!$D:$AM, 10, FALSE), 1)</f>
        <v>8.159419332636457E-2</v>
      </c>
      <c r="L15" s="7">
        <f>$B15 * IFERROR(VLOOKUP("buildings|NOx|Work loss days", US_national_yearly!$D:$AM, 20, FALSE) / VLOOKUP("buildings|NOx|Work loss days", US_national_yearly!$D:$AM, 10, FALSE), 1)</f>
        <v>8.2012000848510902E-2</v>
      </c>
      <c r="M15" s="7">
        <f>$B15 * IFERROR(VLOOKUP("buildings|NOx|Work loss days", US_national_yearly!$D:$AM, 21, FALSE) / VLOOKUP("buildings|NOx|Work loss days", US_national_yearly!$D:$AM, 10, FALSE), 1)</f>
        <v>8.2429808370657207E-2</v>
      </c>
      <c r="N15" s="7">
        <f>$B15 * IFERROR(VLOOKUP("buildings|NOx|Work loss days", US_national_yearly!$D:$AM, 22, FALSE) / VLOOKUP("buildings|NOx|Work loss days", US_national_yearly!$D:$AM, 10, FALSE), 1)</f>
        <v>8.2973376646136326E-2</v>
      </c>
      <c r="O15" s="7">
        <f>$B15 * IFERROR(VLOOKUP("buildings|NOx|Work loss days", US_national_yearly!$D:$AM, 23, FALSE) / VLOOKUP("buildings|NOx|Work loss days", US_national_yearly!$D:$AM, 10, FALSE), 1)</f>
        <v>8.3516944921615446E-2</v>
      </c>
      <c r="P15" s="7">
        <f>$B15 * IFERROR(VLOOKUP("buildings|NOx|Work loss days", US_national_yearly!$D:$AM, 24, FALSE) / VLOOKUP("buildings|NOx|Work loss days", US_national_yearly!$D:$AM, 10, FALSE), 1)</f>
        <v>8.4060513197094566E-2</v>
      </c>
      <c r="Q15" s="7">
        <f>$B15 * IFERROR(VLOOKUP("buildings|NOx|Work loss days", US_national_yearly!$D:$AM, 25, FALSE) / VLOOKUP("buildings|NOx|Work loss days", US_national_yearly!$D:$AM, 10, FALSE), 1)</f>
        <v>8.46040814725737E-2</v>
      </c>
      <c r="R15" s="7">
        <f>$B15 * IFERROR(VLOOKUP("buildings|NOx|Work loss days", US_national_yearly!$D:$AM, 26, FALSE) / VLOOKUP("buildings|NOx|Work loss days", US_national_yearly!$D:$AM, 10, FALSE), 1)</f>
        <v>8.514764974805282E-2</v>
      </c>
      <c r="S15" s="7">
        <f>$B15 * IFERROR(VLOOKUP("buildings|NOx|Work loss days", US_national_yearly!$D:$AM, 27, FALSE) / VLOOKUP("buildings|NOx|Work loss days", US_national_yearly!$D:$AM, 10, FALSE), 1)</f>
        <v>8.5753361331454434E-2</v>
      </c>
      <c r="T15" s="7">
        <f>$B15 * IFERROR(VLOOKUP("buildings|NOx|Work loss days", US_national_yearly!$D:$AM, 28, FALSE) / VLOOKUP("buildings|NOx|Work loss days", US_national_yearly!$D:$AM, 10, FALSE), 1)</f>
        <v>8.6359072914856075E-2</v>
      </c>
      <c r="U15" s="7">
        <f>$B15 * IFERROR(VLOOKUP("buildings|NOx|Work loss days", US_national_yearly!$D:$AM, 29, FALSE) / VLOOKUP("buildings|NOx|Work loss days", US_national_yearly!$D:$AM, 10, FALSE), 1)</f>
        <v>8.6964784498257688E-2</v>
      </c>
      <c r="V15" s="7">
        <f>$B15 * IFERROR(VLOOKUP("buildings|NOx|Work loss days", US_national_yearly!$D:$AM, 30, FALSE) / VLOOKUP("buildings|NOx|Work loss days", US_national_yearly!$D:$AM, 10, FALSE), 1)</f>
        <v>8.7570496081659316E-2</v>
      </c>
      <c r="W15" s="7">
        <f>$B15 * IFERROR(VLOOKUP("buildings|NOx|Work loss days", US_national_yearly!$D:$AM, 31, FALSE) / VLOOKUP("buildings|NOx|Work loss days", US_national_yearly!$D:$AM, 10, FALSE), 1)</f>
        <v>8.8176207665060929E-2</v>
      </c>
      <c r="X15" s="7">
        <f>$B15 * IFERROR(VLOOKUP("buildings|NOx|Work loss days", US_national_yearly!$D:$AM, 32, FALSE) / VLOOKUP("buildings|NOx|Work loss days", US_national_yearly!$D:$AM, 10, FALSE), 1)</f>
        <v>8.8702091875152655E-2</v>
      </c>
      <c r="Y15" s="7">
        <f>$B15 * IFERROR(VLOOKUP("buildings|NOx|Work loss days", US_national_yearly!$D:$AM, 33, FALSE) / VLOOKUP("buildings|NOx|Work loss days", US_national_yearly!$D:$AM, 10, FALSE), 1)</f>
        <v>8.9227976085244382E-2</v>
      </c>
      <c r="Z15" s="7">
        <f>$B15 * IFERROR(VLOOKUP("buildings|NOx|Work loss days", US_national_yearly!$D:$AM, 34, FALSE) / VLOOKUP("buildings|NOx|Work loss days", US_national_yearly!$D:$AM, 10, FALSE), 1)</f>
        <v>8.9753860295336108E-2</v>
      </c>
      <c r="AA15" s="7">
        <f>$B15 * IFERROR(VLOOKUP("buildings|NOx|Work loss days", US_national_yearly!$D:$AM, 35, FALSE) / VLOOKUP("buildings|NOx|Work loss days", US_national_yearly!$D:$AM, 10, FALSE), 1)</f>
        <v>9.0279744505427834E-2</v>
      </c>
      <c r="AB15" s="7">
        <f>$B15 * IFERROR(VLOOKUP("buildings|NOx|Work loss days", US_national_yearly!$D:$AM, 36, FALSE) / VLOOKUP("buildings|NOx|Work loss days", US_national_yearly!$D:$AM, 10, FALSE), 1)</f>
        <v>9.080562871551956E-2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8.9689062400734822E-5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9.2325928805015302E-5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9.4962795209295808E-5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9.7599661613576288E-5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1.0023652801785678E-4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1.0274150314365314E-4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1.0524647826944948E-4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1.0735416752116418E-4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1.0946185677287884E-4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1.1156954602459352E-4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1.1367723527630818E-4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1.1578492452802283E-4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1.1710335615205492E-4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1.1842178777608695E-4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1.1974021940011902E-4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1.2105865102415108E-4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1.2237708264818312E-4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1.2297951157048078E-4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1.235819404927784E-4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1.2418436941507606E-4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1.2478679833737371E-4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1.2538922725967137E-4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1.2572501505833675E-4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1.2606080285700212E-4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1.263965906556675E-4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1.267323784543329E-4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1.2706816625299828E-4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4.7590338253024706E-3</v>
      </c>
      <c r="C2" s="7">
        <f>$B2 * IFERROR(VLOOKUP("buildings|SO2|Premature mortality", US_national_yearly!$D:$AM, 11, FALSE) / VLOOKUP("buildings|SO2|Premature mortality", US_national_yearly!$D:$AM, 10, FALSE), 1)</f>
        <v>4.8193232257360032E-3</v>
      </c>
      <c r="D2" s="7">
        <f>$B2 * IFERROR(VLOOKUP("buildings|SO2|Premature mortality", US_national_yearly!$D:$AM, 12, FALSE) / VLOOKUP("buildings|SO2|Premature mortality", US_national_yearly!$D:$AM, 10, FALSE), 1)</f>
        <v>4.8796126261695348E-3</v>
      </c>
      <c r="E2" s="7">
        <f>$B2 * IFERROR(VLOOKUP("buildings|SO2|Premature mortality", US_national_yearly!$D:$AM, 13, FALSE) / VLOOKUP("buildings|SO2|Premature mortality", US_national_yearly!$D:$AM, 10, FALSE), 1)</f>
        <v>4.9399020266030682E-3</v>
      </c>
      <c r="F2" s="7">
        <f>$B2 * IFERROR(VLOOKUP("buildings|SO2|Premature mortality", US_national_yearly!$D:$AM, 14, FALSE) / VLOOKUP("buildings|SO2|Premature mortality", US_national_yearly!$D:$AM, 10, FALSE), 1)</f>
        <v>5.0001914270366007E-3</v>
      </c>
      <c r="G2" s="7">
        <f>$B2 * IFERROR(VLOOKUP("buildings|SO2|Premature mortality", US_national_yearly!$D:$AM, 15, FALSE) / VLOOKUP("buildings|SO2|Premature mortality", US_national_yearly!$D:$AM, 10, FALSE), 1)</f>
        <v>5.116356868521502E-3</v>
      </c>
      <c r="H2" s="7">
        <f>$B2 * IFERROR(VLOOKUP("buildings|SO2|Premature mortality", US_national_yearly!$D:$AM, 16, FALSE) / VLOOKUP("buildings|SO2|Premature mortality", US_national_yearly!$D:$AM, 10, FALSE), 1)</f>
        <v>5.2325223100064041E-3</v>
      </c>
      <c r="I2" s="7">
        <f>$B2 * IFERROR(VLOOKUP("buildings|SO2|Premature mortality", US_national_yearly!$D:$AM, 17, FALSE) / VLOOKUP("buildings|SO2|Premature mortality", US_national_yearly!$D:$AM, 10, FALSE), 1)</f>
        <v>5.3093302326813292E-3</v>
      </c>
      <c r="J2" s="7">
        <f>$B2 * IFERROR(VLOOKUP("buildings|SO2|Premature mortality", US_national_yearly!$D:$AM, 18, FALSE) / VLOOKUP("buildings|SO2|Premature mortality", US_national_yearly!$D:$AM, 10, FALSE), 1)</f>
        <v>5.3861381553562526E-3</v>
      </c>
      <c r="K2" s="7">
        <f>$B2 * IFERROR(VLOOKUP("buildings|SO2|Premature mortality", US_national_yearly!$D:$AM, 19, FALSE) / VLOOKUP("buildings|SO2|Premature mortality", US_national_yearly!$D:$AM, 10, FALSE), 1)</f>
        <v>5.4629460780311776E-3</v>
      </c>
      <c r="L2" s="7">
        <f>$B2 * IFERROR(VLOOKUP("buildings|SO2|Premature mortality", US_national_yearly!$D:$AM, 20, FALSE) / VLOOKUP("buildings|SO2|Premature mortality", US_national_yearly!$D:$AM, 10, FALSE), 1)</f>
        <v>5.5397540007061019E-3</v>
      </c>
      <c r="M2" s="7">
        <f>$B2 * IFERROR(VLOOKUP("buildings|SO2|Premature mortality", US_national_yearly!$D:$AM, 21, FALSE) / VLOOKUP("buildings|SO2|Premature mortality", US_national_yearly!$D:$AM, 10, FALSE), 1)</f>
        <v>5.6165619233810261E-3</v>
      </c>
      <c r="N2" s="7">
        <f>$B2 * IFERROR(VLOOKUP("buildings|SO2|Premature mortality", US_national_yearly!$D:$AM, 22, FALSE) / VLOOKUP("buildings|SO2|Premature mortality", US_national_yearly!$D:$AM, 10, FALSE), 1)</f>
        <v>5.676561574640848E-3</v>
      </c>
      <c r="O2" s="7">
        <f>$B2 * IFERROR(VLOOKUP("buildings|SO2|Premature mortality", US_national_yearly!$D:$AM, 23, FALSE) / VLOOKUP("buildings|SO2|Premature mortality", US_national_yearly!$D:$AM, 10, FALSE), 1)</f>
        <v>5.7365612259006665E-3</v>
      </c>
      <c r="P2" s="7">
        <f>$B2 * IFERROR(VLOOKUP("buildings|SO2|Premature mortality", US_national_yearly!$D:$AM, 24, FALSE) / VLOOKUP("buildings|SO2|Premature mortality", US_national_yearly!$D:$AM, 10, FALSE), 1)</f>
        <v>5.7965608771604876E-3</v>
      </c>
      <c r="Q2" s="7">
        <f>$B2 * IFERROR(VLOOKUP("buildings|SO2|Premature mortality", US_national_yearly!$D:$AM, 25, FALSE) / VLOOKUP("buildings|SO2|Premature mortality", US_national_yearly!$D:$AM, 10, FALSE), 1)</f>
        <v>5.8565605284203077E-3</v>
      </c>
      <c r="R2" s="7">
        <f>$B2 * IFERROR(VLOOKUP("buildings|SO2|Premature mortality", US_national_yearly!$D:$AM, 26, FALSE) / VLOOKUP("buildings|SO2|Premature mortality", US_national_yearly!$D:$AM, 10, FALSE), 1)</f>
        <v>5.9165601796801279E-3</v>
      </c>
      <c r="S2" s="7">
        <f>$B2 * IFERROR(VLOOKUP("buildings|SO2|Premature mortality", US_national_yearly!$D:$AM, 27, FALSE) / VLOOKUP("buildings|SO2|Premature mortality", US_national_yearly!$D:$AM, 10, FALSE), 1)</f>
        <v>5.9486726779148695E-3</v>
      </c>
      <c r="T2" s="7">
        <f>$B2 * IFERROR(VLOOKUP("buildings|SO2|Premature mortality", US_national_yearly!$D:$AM, 28, FALSE) / VLOOKUP("buildings|SO2|Premature mortality", US_national_yearly!$D:$AM, 10, FALSE), 1)</f>
        <v>5.9807851761496111E-3</v>
      </c>
      <c r="U2" s="7">
        <f>$B2 * IFERROR(VLOOKUP("buildings|SO2|Premature mortality", US_national_yearly!$D:$AM, 29, FALSE) / VLOOKUP("buildings|SO2|Premature mortality", US_national_yearly!$D:$AM, 10, FALSE), 1)</f>
        <v>6.0128976743843527E-3</v>
      </c>
      <c r="V2" s="7">
        <f>$B2 * IFERROR(VLOOKUP("buildings|SO2|Premature mortality", US_national_yearly!$D:$AM, 30, FALSE) / VLOOKUP("buildings|SO2|Premature mortality", US_national_yearly!$D:$AM, 10, FALSE), 1)</f>
        <v>6.0450101726190952E-3</v>
      </c>
      <c r="W2" s="7">
        <f>$B2 * IFERROR(VLOOKUP("buildings|SO2|Premature mortality", US_national_yearly!$D:$AM, 31, FALSE) / VLOOKUP("buildings|SO2|Premature mortality", US_national_yearly!$D:$AM, 10, FALSE), 1)</f>
        <v>6.0771226708538359E-3</v>
      </c>
      <c r="X2" s="7">
        <f>$B2 * IFERROR(VLOOKUP("buildings|SO2|Premature mortality", US_national_yearly!$D:$AM, 32, FALSE) / VLOOKUP("buildings|SO2|Premature mortality", US_national_yearly!$D:$AM, 10, FALSE), 1)</f>
        <v>6.0836114813986597E-3</v>
      </c>
      <c r="Y2" s="7">
        <f>$B2 * IFERROR(VLOOKUP("buildings|SO2|Premature mortality", US_national_yearly!$D:$AM, 33, FALSE) / VLOOKUP("buildings|SO2|Premature mortality", US_national_yearly!$D:$AM, 10, FALSE), 1)</f>
        <v>6.0901002919434843E-3</v>
      </c>
      <c r="Z2" s="7">
        <f>$B2 * IFERROR(VLOOKUP("buildings|SO2|Premature mortality", US_national_yearly!$D:$AM, 34, FALSE) / VLOOKUP("buildings|SO2|Premature mortality", US_national_yearly!$D:$AM, 10, FALSE), 1)</f>
        <v>6.0965891024883073E-3</v>
      </c>
      <c r="AA2" s="7">
        <f>$B2 * IFERROR(VLOOKUP("buildings|SO2|Premature mortality", US_national_yearly!$D:$AM, 35, FALSE) / VLOOKUP("buildings|SO2|Premature mortality", US_national_yearly!$D:$AM, 10, FALSE), 1)</f>
        <v>6.103077913033131E-3</v>
      </c>
      <c r="AB2" s="7">
        <f>$B2 * IFERROR(VLOOKUP("buildings|SO2|Premature mortality", US_national_yearly!$D:$AM, 36, FALSE) / VLOOKUP("buildings|SO2|Premature mortality", US_national_yearly!$D:$AM, 10, FALSE), 1)</f>
        <v>6.1095667235779548E-3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1.0213806408813429E-5</v>
      </c>
      <c r="C3" s="7">
        <f>$B3 * IFERROR(VLOOKUP("buildings|SO2|Infant mortality", US_national_yearly!$D:$AM, 11, FALSE) / VLOOKUP("buildings|SO2|Infant mortality", US_national_yearly!$D:$AM, 10, FALSE), 1)</f>
        <v>1.0126259714984478E-5</v>
      </c>
      <c r="D3" s="7">
        <f>$B3 * IFERROR(VLOOKUP("buildings|SO2|Infant mortality", US_national_yearly!$D:$AM, 12, FALSE) / VLOOKUP("buildings|SO2|Infant mortality", US_national_yearly!$D:$AM, 10, FALSE), 1)</f>
        <v>1.0038713021155527E-5</v>
      </c>
      <c r="E3" s="7">
        <f>$B3 * IFERROR(VLOOKUP("buildings|SO2|Infant mortality", US_national_yearly!$D:$AM, 13, FALSE) / VLOOKUP("buildings|SO2|Infant mortality", US_national_yearly!$D:$AM, 10, FALSE), 1)</f>
        <v>9.9511663273265778E-6</v>
      </c>
      <c r="F3" s="7">
        <f>$B3 * IFERROR(VLOOKUP("buildings|SO2|Infant mortality", US_national_yearly!$D:$AM, 14, FALSE) / VLOOKUP("buildings|SO2|Infant mortality", US_national_yearly!$D:$AM, 10, FALSE), 1)</f>
        <v>9.863619633497627E-6</v>
      </c>
      <c r="G3" s="7">
        <f>$B3 * IFERROR(VLOOKUP("buildings|SO2|Infant mortality", US_national_yearly!$D:$AM, 15, FALSE) / VLOOKUP("buildings|SO2|Infant mortality", US_national_yearly!$D:$AM, 10, FALSE), 1)</f>
        <v>6.5687799114215414E-6</v>
      </c>
      <c r="H3" s="7">
        <f>$B3 * IFERROR(VLOOKUP("buildings|SO2|Infant mortality", US_national_yearly!$D:$AM, 16, FALSE) / VLOOKUP("buildings|SO2|Infant mortality", US_national_yearly!$D:$AM, 10, FALSE), 1)</f>
        <v>3.2739401893454553E-6</v>
      </c>
      <c r="I3" s="7">
        <f>$B3 * IFERROR(VLOOKUP("buildings|SO2|Infant mortality", US_national_yearly!$D:$AM, 17, FALSE) / VLOOKUP("buildings|SO2|Infant mortality", US_national_yearly!$D:$AM, 10, FALSE), 1)</f>
        <v>3.2533991270564026E-6</v>
      </c>
      <c r="J3" s="7">
        <f>$B3 * IFERROR(VLOOKUP("buildings|SO2|Infant mortality", US_national_yearly!$D:$AM, 18, FALSE) / VLOOKUP("buildings|SO2|Infant mortality", US_national_yearly!$D:$AM, 10, FALSE), 1)</f>
        <v>3.2328580647673491E-6</v>
      </c>
      <c r="K3" s="7">
        <f>$B3 * IFERROR(VLOOKUP("buildings|SO2|Infant mortality", US_national_yearly!$D:$AM, 19, FALSE) / VLOOKUP("buildings|SO2|Infant mortality", US_national_yearly!$D:$AM, 10, FALSE), 1)</f>
        <v>3.2123170024782964E-6</v>
      </c>
      <c r="L3" s="7">
        <f>$B3 * IFERROR(VLOOKUP("buildings|SO2|Infant mortality", US_national_yearly!$D:$AM, 20, FALSE) / VLOOKUP("buildings|SO2|Infant mortality", US_national_yearly!$D:$AM, 10, FALSE), 1)</f>
        <v>3.1917759401892429E-6</v>
      </c>
      <c r="M3" s="7">
        <f>$B3 * IFERROR(VLOOKUP("buildings|SO2|Infant mortality", US_national_yearly!$D:$AM, 21, FALSE) / VLOOKUP("buildings|SO2|Infant mortality", US_national_yearly!$D:$AM, 10, FALSE), 1)</f>
        <v>3.1712348779001902E-6</v>
      </c>
      <c r="N3" s="7">
        <f>$B3 * IFERROR(VLOOKUP("buildings|SO2|Infant mortality", US_national_yearly!$D:$AM, 22, FALSE) / VLOOKUP("buildings|SO2|Infant mortality", US_national_yearly!$D:$AM, 10, FALSE), 1)</f>
        <v>3.1583578139635714E-6</v>
      </c>
      <c r="O3" s="7">
        <f>$B3 * IFERROR(VLOOKUP("buildings|SO2|Infant mortality", US_national_yearly!$D:$AM, 23, FALSE) / VLOOKUP("buildings|SO2|Infant mortality", US_national_yearly!$D:$AM, 10, FALSE), 1)</f>
        <v>3.1454807500269531E-6</v>
      </c>
      <c r="P3" s="7">
        <f>$B3 * IFERROR(VLOOKUP("buildings|SO2|Infant mortality", US_national_yearly!$D:$AM, 24, FALSE) / VLOOKUP("buildings|SO2|Infant mortality", US_national_yearly!$D:$AM, 10, FALSE), 1)</f>
        <v>3.1326036860903343E-6</v>
      </c>
      <c r="Q3" s="7">
        <f>$B3 * IFERROR(VLOOKUP("buildings|SO2|Infant mortality", US_national_yearly!$D:$AM, 25, FALSE) / VLOOKUP("buildings|SO2|Infant mortality", US_national_yearly!$D:$AM, 10, FALSE), 1)</f>
        <v>3.1197266221537159E-6</v>
      </c>
      <c r="R3" s="7">
        <f>$B3 * IFERROR(VLOOKUP("buildings|SO2|Infant mortality", US_national_yearly!$D:$AM, 26, FALSE) / VLOOKUP("buildings|SO2|Infant mortality", US_national_yearly!$D:$AM, 10, FALSE), 1)</f>
        <v>3.1068495582170976E-6</v>
      </c>
      <c r="S3" s="7">
        <f>$B3 * IFERROR(VLOOKUP("buildings|SO2|Infant mortality", US_national_yearly!$D:$AM, 27, FALSE) / VLOOKUP("buildings|SO2|Infant mortality", US_national_yearly!$D:$AM, 10, FALSE), 1)</f>
        <v>3.0906800483411331E-6</v>
      </c>
      <c r="T3" s="7">
        <f>$B3 * IFERROR(VLOOKUP("buildings|SO2|Infant mortality", US_national_yearly!$D:$AM, 28, FALSE) / VLOOKUP("buildings|SO2|Infant mortality", US_national_yearly!$D:$AM, 10, FALSE), 1)</f>
        <v>3.0745105384651687E-6</v>
      </c>
      <c r="U3" s="7">
        <f>$B3 * IFERROR(VLOOKUP("buildings|SO2|Infant mortality", US_national_yearly!$D:$AM, 29, FALSE) / VLOOKUP("buildings|SO2|Infant mortality", US_national_yearly!$D:$AM, 10, FALSE), 1)</f>
        <v>3.0583410285892043E-6</v>
      </c>
      <c r="V3" s="7">
        <f>$B3 * IFERROR(VLOOKUP("buildings|SO2|Infant mortality", US_national_yearly!$D:$AM, 30, FALSE) / VLOOKUP("buildings|SO2|Infant mortality", US_national_yearly!$D:$AM, 10, FALSE), 1)</f>
        <v>3.0421715187132399E-6</v>
      </c>
      <c r="W3" s="7">
        <f>$B3 * IFERROR(VLOOKUP("buildings|SO2|Infant mortality", US_national_yearly!$D:$AM, 31, FALSE) / VLOOKUP("buildings|SO2|Infant mortality", US_national_yearly!$D:$AM, 10, FALSE), 1)</f>
        <v>3.026002008837276E-6</v>
      </c>
      <c r="X3" s="7">
        <f>$B3 * IFERROR(VLOOKUP("buildings|SO2|Infant mortality", US_national_yearly!$D:$AM, 32, FALSE) / VLOOKUP("buildings|SO2|Infant mortality", US_national_yearly!$D:$AM, 10, FALSE), 1)</f>
        <v>3.0083423419683592E-6</v>
      </c>
      <c r="Y3" s="7">
        <f>$B3 * IFERROR(VLOOKUP("buildings|SO2|Infant mortality", US_national_yearly!$D:$AM, 33, FALSE) / VLOOKUP("buildings|SO2|Infant mortality", US_national_yearly!$D:$AM, 10, FALSE), 1)</f>
        <v>2.9906826750994425E-6</v>
      </c>
      <c r="Z3" s="7">
        <f>$B3 * IFERROR(VLOOKUP("buildings|SO2|Infant mortality", US_national_yearly!$D:$AM, 34, FALSE) / VLOOKUP("buildings|SO2|Infant mortality", US_national_yearly!$D:$AM, 10, FALSE), 1)</f>
        <v>2.9730230082305261E-6</v>
      </c>
      <c r="AA3" s="7">
        <f>$B3 * IFERROR(VLOOKUP("buildings|SO2|Infant mortality", US_national_yearly!$D:$AM, 35, FALSE) / VLOOKUP("buildings|SO2|Infant mortality", US_national_yearly!$D:$AM, 10, FALSE), 1)</f>
        <v>2.955363341361609E-6</v>
      </c>
      <c r="AB3" s="7">
        <f>$B3 * IFERROR(VLOOKUP("buildings|SO2|Infant mortality", US_national_yearly!$D:$AM, 36, FALSE) / VLOOKUP("buildings|SO2|Infant mortality", US_national_yearly!$D:$AM, 10, FALSE), 1)</f>
        <v>2.9377036744926926E-6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1.3833679581454988E-2</v>
      </c>
      <c r="C6" s="7">
        <f>$B6 * IFERROR(VLOOKUP("buildings|SO2|Asthma symptoms cough", US_national_yearly!$D:$AM, 11, FALSE) / VLOOKUP("buildings|SO2|Asthma symptoms cough", US_national_yearly!$D:$AM, 10, FALSE), 1)</f>
        <v>1.3833679581454988E-2</v>
      </c>
      <c r="D6" s="7">
        <f>$B6 * IFERROR(VLOOKUP("buildings|SO2|Asthma symptoms cough", US_national_yearly!$D:$AM, 12, FALSE) / VLOOKUP("buildings|SO2|Asthma symptoms cough", US_national_yearly!$D:$AM, 10, FALSE), 1)</f>
        <v>1.3833679581454988E-2</v>
      </c>
      <c r="E6" s="7">
        <f>$B6 * IFERROR(VLOOKUP("buildings|SO2|Asthma symptoms cough", US_national_yearly!$D:$AM, 13, FALSE) / VLOOKUP("buildings|SO2|Asthma symptoms cough", US_national_yearly!$D:$AM, 10, FALSE), 1)</f>
        <v>1.3833679581454988E-2</v>
      </c>
      <c r="F6" s="7">
        <f>$B6 * IFERROR(VLOOKUP("buildings|SO2|Asthma symptoms cough", US_national_yearly!$D:$AM, 14, FALSE) / VLOOKUP("buildings|SO2|Asthma symptoms cough", US_national_yearly!$D:$AM, 10, FALSE), 1)</f>
        <v>1.3833679581454988E-2</v>
      </c>
      <c r="G6" s="7">
        <f>$B6 * IFERROR(VLOOKUP("buildings|SO2|Asthma symptoms cough", US_national_yearly!$D:$AM, 15, FALSE) / VLOOKUP("buildings|SO2|Asthma symptoms cough", US_national_yearly!$D:$AM, 10, FALSE), 1)</f>
        <v>1.3833679581454988E-2</v>
      </c>
      <c r="H6" s="7">
        <f>$B6 * IFERROR(VLOOKUP("buildings|SO2|Asthma symptoms cough", US_national_yearly!$D:$AM, 16, FALSE) / VLOOKUP("buildings|SO2|Asthma symptoms cough", US_national_yearly!$D:$AM, 10, FALSE), 1)</f>
        <v>1.3833679581454988E-2</v>
      </c>
      <c r="I6" s="7">
        <f>$B6 * IFERROR(VLOOKUP("buildings|SO2|Asthma symptoms cough", US_national_yearly!$D:$AM, 17, FALSE) / VLOOKUP("buildings|SO2|Asthma symptoms cough", US_national_yearly!$D:$AM, 10, FALSE), 1)</f>
        <v>1.3833679581454988E-2</v>
      </c>
      <c r="J6" s="7">
        <f>$B6 * IFERROR(VLOOKUP("buildings|SO2|Asthma symptoms cough", US_national_yearly!$D:$AM, 18, FALSE) / VLOOKUP("buildings|SO2|Asthma symptoms cough", US_national_yearly!$D:$AM, 10, FALSE), 1)</f>
        <v>1.3833679581454988E-2</v>
      </c>
      <c r="K6" s="7">
        <f>$B6 * IFERROR(VLOOKUP("buildings|SO2|Asthma symptoms cough", US_national_yearly!$D:$AM, 19, FALSE) / VLOOKUP("buildings|SO2|Asthma symptoms cough", US_national_yearly!$D:$AM, 10, FALSE), 1)</f>
        <v>1.3833679581454988E-2</v>
      </c>
      <c r="L6" s="7">
        <f>$B6 * IFERROR(VLOOKUP("buildings|SO2|Asthma symptoms cough", US_national_yearly!$D:$AM, 20, FALSE) / VLOOKUP("buildings|SO2|Asthma symptoms cough", US_national_yearly!$D:$AM, 10, FALSE), 1)</f>
        <v>1.3833679581454988E-2</v>
      </c>
      <c r="M6" s="7">
        <f>$B6 * IFERROR(VLOOKUP("buildings|SO2|Asthma symptoms cough", US_national_yearly!$D:$AM, 21, FALSE) / VLOOKUP("buildings|SO2|Asthma symptoms cough", US_national_yearly!$D:$AM, 10, FALSE), 1)</f>
        <v>1.3833679581454988E-2</v>
      </c>
      <c r="N6" s="7">
        <f>$B6 * IFERROR(VLOOKUP("buildings|SO2|Asthma symptoms cough", US_national_yearly!$D:$AM, 22, FALSE) / VLOOKUP("buildings|SO2|Asthma symptoms cough", US_national_yearly!$D:$AM, 10, FALSE), 1)</f>
        <v>1.3833679581454988E-2</v>
      </c>
      <c r="O6" s="7">
        <f>$B6 * IFERROR(VLOOKUP("buildings|SO2|Asthma symptoms cough", US_national_yearly!$D:$AM, 23, FALSE) / VLOOKUP("buildings|SO2|Asthma symptoms cough", US_national_yearly!$D:$AM, 10, FALSE), 1)</f>
        <v>1.3833679581454988E-2</v>
      </c>
      <c r="P6" s="7">
        <f>$B6 * IFERROR(VLOOKUP("buildings|SO2|Asthma symptoms cough", US_national_yearly!$D:$AM, 24, FALSE) / VLOOKUP("buildings|SO2|Asthma symptoms cough", US_national_yearly!$D:$AM, 10, FALSE), 1)</f>
        <v>1.3833679581454988E-2</v>
      </c>
      <c r="Q6" s="7">
        <f>$B6 * IFERROR(VLOOKUP("buildings|SO2|Asthma symptoms cough", US_national_yearly!$D:$AM, 25, FALSE) / VLOOKUP("buildings|SO2|Asthma symptoms cough", US_national_yearly!$D:$AM, 10, FALSE), 1)</f>
        <v>1.3833679581454988E-2</v>
      </c>
      <c r="R6" s="7">
        <f>$B6 * IFERROR(VLOOKUP("buildings|SO2|Asthma symptoms cough", US_national_yearly!$D:$AM, 26, FALSE) / VLOOKUP("buildings|SO2|Asthma symptoms cough", US_national_yearly!$D:$AM, 10, FALSE), 1)</f>
        <v>1.3833679581454988E-2</v>
      </c>
      <c r="S6" s="7">
        <f>$B6 * IFERROR(VLOOKUP("buildings|SO2|Asthma symptoms cough", US_national_yearly!$D:$AM, 27, FALSE) / VLOOKUP("buildings|SO2|Asthma symptoms cough", US_national_yearly!$D:$AM, 10, FALSE), 1)</f>
        <v>1.3833679581454988E-2</v>
      </c>
      <c r="T6" s="7">
        <f>$B6 * IFERROR(VLOOKUP("buildings|SO2|Asthma symptoms cough", US_national_yearly!$D:$AM, 28, FALSE) / VLOOKUP("buildings|SO2|Asthma symptoms cough", US_national_yearly!$D:$AM, 10, FALSE), 1)</f>
        <v>1.3833679581454988E-2</v>
      </c>
      <c r="U6" s="7">
        <f>$B6 * IFERROR(VLOOKUP("buildings|SO2|Asthma symptoms cough", US_national_yearly!$D:$AM, 29, FALSE) / VLOOKUP("buildings|SO2|Asthma symptoms cough", US_national_yearly!$D:$AM, 10, FALSE), 1)</f>
        <v>1.3833679581454988E-2</v>
      </c>
      <c r="V6" s="7">
        <f>$B6 * IFERROR(VLOOKUP("buildings|SO2|Asthma symptoms cough", US_national_yearly!$D:$AM, 30, FALSE) / VLOOKUP("buildings|SO2|Asthma symptoms cough", US_national_yearly!$D:$AM, 10, FALSE), 1)</f>
        <v>1.3833679581454988E-2</v>
      </c>
      <c r="W6" s="7">
        <f>$B6 * IFERROR(VLOOKUP("buildings|SO2|Asthma symptoms cough", US_national_yearly!$D:$AM, 31, FALSE) / VLOOKUP("buildings|SO2|Asthma symptoms cough", US_national_yearly!$D:$AM, 10, FALSE), 1)</f>
        <v>1.3833679581454988E-2</v>
      </c>
      <c r="X6" s="7">
        <f>$B6 * IFERROR(VLOOKUP("buildings|SO2|Asthma symptoms cough", US_national_yearly!$D:$AM, 32, FALSE) / VLOOKUP("buildings|SO2|Asthma symptoms cough", US_national_yearly!$D:$AM, 10, FALSE), 1)</f>
        <v>1.3833679581454988E-2</v>
      </c>
      <c r="Y6" s="7">
        <f>$B6 * IFERROR(VLOOKUP("buildings|SO2|Asthma symptoms cough", US_national_yearly!$D:$AM, 33, FALSE) / VLOOKUP("buildings|SO2|Asthma symptoms cough", US_national_yearly!$D:$AM, 10, FALSE), 1)</f>
        <v>1.3833679581454988E-2</v>
      </c>
      <c r="Z6" s="7">
        <f>$B6 * IFERROR(VLOOKUP("buildings|SO2|Asthma symptoms cough", US_national_yearly!$D:$AM, 34, FALSE) / VLOOKUP("buildings|SO2|Asthma symptoms cough", US_national_yearly!$D:$AM, 10, FALSE), 1)</f>
        <v>1.3833679581454988E-2</v>
      </c>
      <c r="AA6" s="7">
        <f>$B6 * IFERROR(VLOOKUP("buildings|SO2|Asthma symptoms cough", US_national_yearly!$D:$AM, 35, FALSE) / VLOOKUP("buildings|SO2|Asthma symptoms cough", US_national_yearly!$D:$AM, 10, FALSE), 1)</f>
        <v>1.3833679581454988E-2</v>
      </c>
      <c r="AB6" s="7">
        <f>$B6 * IFERROR(VLOOKUP("buildings|SO2|Asthma symptoms cough", US_national_yearly!$D:$AM, 36, FALSE) / VLOOKUP("buildings|SO2|Asthma symptoms cough", US_national_yearly!$D:$AM, 10, FALSE), 1)</f>
        <v>1.3833679581454988E-2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1.8629067009517105E-2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1.8629067009517105E-2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1.8629067009517105E-2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1.8629067009517105E-2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1.8629067009517105E-2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1.8629067009517105E-2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1.8629067009517105E-2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1.8629067009517105E-2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1.8629067009517105E-2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1.8629067009517105E-2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1.8629067009517105E-2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1.8629067009517105E-2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1.8629067009517105E-2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1.8629067009517105E-2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1.8629067009517105E-2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1.8629067009517105E-2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1.8629067009517105E-2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1.8629067009517105E-2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1.8629067009517105E-2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1.8629067009517105E-2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1.8629067009517105E-2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1.8629067009517105E-2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1.8629067009517105E-2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1.8629067009517105E-2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1.8629067009517105E-2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1.8629067009517105E-2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1.8629067009517105E-2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2.8462021123884143E-2</v>
      </c>
      <c r="C8" s="7">
        <f>$B8 * IFERROR(VLOOKUP("buildings|SO2|Asthma symptoms wheeze", US_national_yearly!$D:$AM, 11, FALSE) / VLOOKUP("buildings|SO2|Asthma symptoms wheeze", US_national_yearly!$D:$AM, 10, FALSE), 1)</f>
        <v>2.8462021123884143E-2</v>
      </c>
      <c r="D8" s="7">
        <f>$B8 * IFERROR(VLOOKUP("buildings|SO2|Asthma symptoms wheeze", US_national_yearly!$D:$AM, 12, FALSE) / VLOOKUP("buildings|SO2|Asthma symptoms wheeze", US_national_yearly!$D:$AM, 10, FALSE), 1)</f>
        <v>2.8462021123884143E-2</v>
      </c>
      <c r="E8" s="7">
        <f>$B8 * IFERROR(VLOOKUP("buildings|SO2|Asthma symptoms wheeze", US_national_yearly!$D:$AM, 13, FALSE) / VLOOKUP("buildings|SO2|Asthma symptoms wheeze", US_national_yearly!$D:$AM, 10, FALSE), 1)</f>
        <v>2.8462021123884143E-2</v>
      </c>
      <c r="F8" s="7">
        <f>$B8 * IFERROR(VLOOKUP("buildings|SO2|Asthma symptoms wheeze", US_national_yearly!$D:$AM, 14, FALSE) / VLOOKUP("buildings|SO2|Asthma symptoms wheeze", US_national_yearly!$D:$AM, 10, FALSE), 1)</f>
        <v>2.8462021123884143E-2</v>
      </c>
      <c r="G8" s="7">
        <f>$B8 * IFERROR(VLOOKUP("buildings|SO2|Asthma symptoms wheeze", US_national_yearly!$D:$AM, 15, FALSE) / VLOOKUP("buildings|SO2|Asthma symptoms wheeze", US_national_yearly!$D:$AM, 10, FALSE), 1)</f>
        <v>2.8462021123884143E-2</v>
      </c>
      <c r="H8" s="7">
        <f>$B8 * IFERROR(VLOOKUP("buildings|SO2|Asthma symptoms wheeze", US_national_yearly!$D:$AM, 16, FALSE) / VLOOKUP("buildings|SO2|Asthma symptoms wheeze", US_national_yearly!$D:$AM, 10, FALSE), 1)</f>
        <v>2.8462021123884143E-2</v>
      </c>
      <c r="I8" s="7">
        <f>$B8 * IFERROR(VLOOKUP("buildings|SO2|Asthma symptoms wheeze", US_national_yearly!$D:$AM, 17, FALSE) / VLOOKUP("buildings|SO2|Asthma symptoms wheeze", US_national_yearly!$D:$AM, 10, FALSE), 1)</f>
        <v>2.8462021123884143E-2</v>
      </c>
      <c r="J8" s="7">
        <f>$B8 * IFERROR(VLOOKUP("buildings|SO2|Asthma symptoms wheeze", US_national_yearly!$D:$AM, 18, FALSE) / VLOOKUP("buildings|SO2|Asthma symptoms wheeze", US_national_yearly!$D:$AM, 10, FALSE), 1)</f>
        <v>2.8462021123884143E-2</v>
      </c>
      <c r="K8" s="7">
        <f>$B8 * IFERROR(VLOOKUP("buildings|SO2|Asthma symptoms wheeze", US_national_yearly!$D:$AM, 19, FALSE) / VLOOKUP("buildings|SO2|Asthma symptoms wheeze", US_national_yearly!$D:$AM, 10, FALSE), 1)</f>
        <v>2.8462021123884143E-2</v>
      </c>
      <c r="L8" s="7">
        <f>$B8 * IFERROR(VLOOKUP("buildings|SO2|Asthma symptoms wheeze", US_national_yearly!$D:$AM, 20, FALSE) / VLOOKUP("buildings|SO2|Asthma symptoms wheeze", US_national_yearly!$D:$AM, 10, FALSE), 1)</f>
        <v>2.8462021123884143E-2</v>
      </c>
      <c r="M8" s="7">
        <f>$B8 * IFERROR(VLOOKUP("buildings|SO2|Asthma symptoms wheeze", US_national_yearly!$D:$AM, 21, FALSE) / VLOOKUP("buildings|SO2|Asthma symptoms wheeze", US_national_yearly!$D:$AM, 10, FALSE), 1)</f>
        <v>2.8462021123884143E-2</v>
      </c>
      <c r="N8" s="7">
        <f>$B8 * IFERROR(VLOOKUP("buildings|SO2|Asthma symptoms wheeze", US_national_yearly!$D:$AM, 22, FALSE) / VLOOKUP("buildings|SO2|Asthma symptoms wheeze", US_national_yearly!$D:$AM, 10, FALSE), 1)</f>
        <v>2.8462021123884143E-2</v>
      </c>
      <c r="O8" s="7">
        <f>$B8 * IFERROR(VLOOKUP("buildings|SO2|Asthma symptoms wheeze", US_national_yearly!$D:$AM, 23, FALSE) / VLOOKUP("buildings|SO2|Asthma symptoms wheeze", US_national_yearly!$D:$AM, 10, FALSE), 1)</f>
        <v>2.8462021123884143E-2</v>
      </c>
      <c r="P8" s="7">
        <f>$B8 * IFERROR(VLOOKUP("buildings|SO2|Asthma symptoms wheeze", US_national_yearly!$D:$AM, 24, FALSE) / VLOOKUP("buildings|SO2|Asthma symptoms wheeze", US_national_yearly!$D:$AM, 10, FALSE), 1)</f>
        <v>2.8462021123884143E-2</v>
      </c>
      <c r="Q8" s="7">
        <f>$B8 * IFERROR(VLOOKUP("buildings|SO2|Asthma symptoms wheeze", US_national_yearly!$D:$AM, 25, FALSE) / VLOOKUP("buildings|SO2|Asthma symptoms wheeze", US_national_yearly!$D:$AM, 10, FALSE), 1)</f>
        <v>2.8462021123884143E-2</v>
      </c>
      <c r="R8" s="7">
        <f>$B8 * IFERROR(VLOOKUP("buildings|SO2|Asthma symptoms wheeze", US_national_yearly!$D:$AM, 26, FALSE) / VLOOKUP("buildings|SO2|Asthma symptoms wheeze", US_national_yearly!$D:$AM, 10, FALSE), 1)</f>
        <v>2.8462021123884143E-2</v>
      </c>
      <c r="S8" s="7">
        <f>$B8 * IFERROR(VLOOKUP("buildings|SO2|Asthma symptoms wheeze", US_national_yearly!$D:$AM, 27, FALSE) / VLOOKUP("buildings|SO2|Asthma symptoms wheeze", US_national_yearly!$D:$AM, 10, FALSE), 1)</f>
        <v>2.8462021123884143E-2</v>
      </c>
      <c r="T8" s="7">
        <f>$B8 * IFERROR(VLOOKUP("buildings|SO2|Asthma symptoms wheeze", US_national_yearly!$D:$AM, 28, FALSE) / VLOOKUP("buildings|SO2|Asthma symptoms wheeze", US_national_yearly!$D:$AM, 10, FALSE), 1)</f>
        <v>2.8462021123884143E-2</v>
      </c>
      <c r="U8" s="7">
        <f>$B8 * IFERROR(VLOOKUP("buildings|SO2|Asthma symptoms wheeze", US_national_yearly!$D:$AM, 29, FALSE) / VLOOKUP("buildings|SO2|Asthma symptoms wheeze", US_national_yearly!$D:$AM, 10, FALSE), 1)</f>
        <v>2.8462021123884143E-2</v>
      </c>
      <c r="V8" s="7">
        <f>$B8 * IFERROR(VLOOKUP("buildings|SO2|Asthma symptoms wheeze", US_national_yearly!$D:$AM, 30, FALSE) / VLOOKUP("buildings|SO2|Asthma symptoms wheeze", US_national_yearly!$D:$AM, 10, FALSE), 1)</f>
        <v>2.8462021123884143E-2</v>
      </c>
      <c r="W8" s="7">
        <f>$B8 * IFERROR(VLOOKUP("buildings|SO2|Asthma symptoms wheeze", US_national_yearly!$D:$AM, 31, FALSE) / VLOOKUP("buildings|SO2|Asthma symptoms wheeze", US_national_yearly!$D:$AM, 10, FALSE), 1)</f>
        <v>2.8462021123884143E-2</v>
      </c>
      <c r="X8" s="7">
        <f>$B8 * IFERROR(VLOOKUP("buildings|SO2|Asthma symptoms wheeze", US_national_yearly!$D:$AM, 32, FALSE) / VLOOKUP("buildings|SO2|Asthma symptoms wheeze", US_national_yearly!$D:$AM, 10, FALSE), 1)</f>
        <v>2.8462021123884143E-2</v>
      </c>
      <c r="Y8" s="7">
        <f>$B8 * IFERROR(VLOOKUP("buildings|SO2|Asthma symptoms wheeze", US_national_yearly!$D:$AM, 33, FALSE) / VLOOKUP("buildings|SO2|Asthma symptoms wheeze", US_national_yearly!$D:$AM, 10, FALSE), 1)</f>
        <v>2.8462021123884143E-2</v>
      </c>
      <c r="Z8" s="7">
        <f>$B8 * IFERROR(VLOOKUP("buildings|SO2|Asthma symptoms wheeze", US_national_yearly!$D:$AM, 34, FALSE) / VLOOKUP("buildings|SO2|Asthma symptoms wheeze", US_national_yearly!$D:$AM, 10, FALSE), 1)</f>
        <v>2.8462021123884143E-2</v>
      </c>
      <c r="AA8" s="7">
        <f>$B8 * IFERROR(VLOOKUP("buildings|SO2|Asthma symptoms wheeze", US_national_yearly!$D:$AM, 35, FALSE) / VLOOKUP("buildings|SO2|Asthma symptoms wheeze", US_national_yearly!$D:$AM, 10, FALSE), 1)</f>
        <v>2.8462021123884143E-2</v>
      </c>
      <c r="AB8" s="7">
        <f>$B8 * IFERROR(VLOOKUP("buildings|SO2|Asthma symptoms wheeze", US_national_yearly!$D:$AM, 36, FALSE) / VLOOKUP("buildings|SO2|Asthma symptoms wheeze", US_national_yearly!$D:$AM, 10, FALSE), 1)</f>
        <v>2.8462021123884143E-2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2.5049966802936485E-4</v>
      </c>
      <c r="C12" s="7">
        <f>$B12 * IFERROR(VLOOKUP("buildings|SO2|Respiratory hospital admissions", US_national_yearly!$D:$AM, 11, FALSE) / VLOOKUP("buildings|SO2|Respiratory hospital admissions", US_national_yearly!$D:$AM, 10, FALSE), 1)</f>
        <v>2.5197921501520664E-4</v>
      </c>
      <c r="D12" s="7">
        <f>$B12 * IFERROR(VLOOKUP("buildings|SO2|Respiratory hospital admissions", US_national_yearly!$D:$AM, 12, FALSE) / VLOOKUP("buildings|SO2|Respiratory hospital admissions", US_national_yearly!$D:$AM, 10, FALSE), 1)</f>
        <v>2.5345876200104844E-4</v>
      </c>
      <c r="E12" s="7">
        <f>$B12 * IFERROR(VLOOKUP("buildings|SO2|Respiratory hospital admissions", US_national_yearly!$D:$AM, 13, FALSE) / VLOOKUP("buildings|SO2|Respiratory hospital admissions", US_national_yearly!$D:$AM, 10, FALSE), 1)</f>
        <v>2.5493830898689024E-4</v>
      </c>
      <c r="F12" s="7">
        <f>$B12 * IFERROR(VLOOKUP("buildings|SO2|Respiratory hospital admissions", US_national_yearly!$D:$AM, 14, FALSE) / VLOOKUP("buildings|SO2|Respiratory hospital admissions", US_national_yearly!$D:$AM, 10, FALSE), 1)</f>
        <v>2.5641785597273198E-4</v>
      </c>
      <c r="G12" s="7">
        <f>$B12 * IFERROR(VLOOKUP("buildings|SO2|Respiratory hospital admissions", US_national_yearly!$D:$AM, 15, FALSE) / VLOOKUP("buildings|SO2|Respiratory hospital admissions", US_national_yearly!$D:$AM, 10, FALSE), 1)</f>
        <v>2.5803037578509328E-4</v>
      </c>
      <c r="H12" s="7">
        <f>$B12 * IFERROR(VLOOKUP("buildings|SO2|Respiratory hospital admissions", US_national_yearly!$D:$AM, 16, FALSE) / VLOOKUP("buildings|SO2|Respiratory hospital admissions", US_national_yearly!$D:$AM, 10, FALSE), 1)</f>
        <v>2.5964289559745463E-4</v>
      </c>
      <c r="I12" s="7">
        <f>$B12 * IFERROR(VLOOKUP("buildings|SO2|Respiratory hospital admissions", US_national_yearly!$D:$AM, 17, FALSE) / VLOOKUP("buildings|SO2|Respiratory hospital admissions", US_national_yearly!$D:$AM, 10, FALSE), 1)</f>
        <v>2.6122979298633803E-4</v>
      </c>
      <c r="J12" s="7">
        <f>$B12 * IFERROR(VLOOKUP("buildings|SO2|Respiratory hospital admissions", US_national_yearly!$D:$AM, 18, FALSE) / VLOOKUP("buildings|SO2|Respiratory hospital admissions", US_national_yearly!$D:$AM, 10, FALSE), 1)</f>
        <v>2.6281669037522153E-4</v>
      </c>
      <c r="K12" s="7">
        <f>$B12 * IFERROR(VLOOKUP("buildings|SO2|Respiratory hospital admissions", US_national_yearly!$D:$AM, 19, FALSE) / VLOOKUP("buildings|SO2|Respiratory hospital admissions", US_national_yearly!$D:$AM, 10, FALSE), 1)</f>
        <v>2.6440358776410493E-4</v>
      </c>
      <c r="L12" s="7">
        <f>$B12 * IFERROR(VLOOKUP("buildings|SO2|Respiratory hospital admissions", US_national_yearly!$D:$AM, 20, FALSE) / VLOOKUP("buildings|SO2|Respiratory hospital admissions", US_national_yearly!$D:$AM, 10, FALSE), 1)</f>
        <v>2.6599048515298833E-4</v>
      </c>
      <c r="M12" s="7">
        <f>$B12 * IFERROR(VLOOKUP("buildings|SO2|Respiratory hospital admissions", US_national_yearly!$D:$AM, 21, FALSE) / VLOOKUP("buildings|SO2|Respiratory hospital admissions", US_national_yearly!$D:$AM, 10, FALSE), 1)</f>
        <v>2.6757738254187184E-4</v>
      </c>
      <c r="N12" s="7">
        <f>$B12 * IFERROR(VLOOKUP("buildings|SO2|Respiratory hospital admissions", US_national_yearly!$D:$AM, 22, FALSE) / VLOOKUP("buildings|SO2|Respiratory hospital admissions", US_national_yearly!$D:$AM, 10, FALSE), 1)</f>
        <v>2.6873608033194124E-4</v>
      </c>
      <c r="O12" s="7">
        <f>$B12 * IFERROR(VLOOKUP("buildings|SO2|Respiratory hospital admissions", US_national_yearly!$D:$AM, 23, FALSE) / VLOOKUP("buildings|SO2|Respiratory hospital admissions", US_national_yearly!$D:$AM, 10, FALSE), 1)</f>
        <v>2.6989477812201069E-4</v>
      </c>
      <c r="P12" s="7">
        <f>$B12 * IFERROR(VLOOKUP("buildings|SO2|Respiratory hospital admissions", US_national_yearly!$D:$AM, 24, FALSE) / VLOOKUP("buildings|SO2|Respiratory hospital admissions", US_national_yearly!$D:$AM, 10, FALSE), 1)</f>
        <v>2.7105347591208014E-4</v>
      </c>
      <c r="Q12" s="7">
        <f>$B12 * IFERROR(VLOOKUP("buildings|SO2|Respiratory hospital admissions", US_national_yearly!$D:$AM, 25, FALSE) / VLOOKUP("buildings|SO2|Respiratory hospital admissions", US_national_yearly!$D:$AM, 10, FALSE), 1)</f>
        <v>2.7221217370214959E-4</v>
      </c>
      <c r="R12" s="7">
        <f>$B12 * IFERROR(VLOOKUP("buildings|SO2|Respiratory hospital admissions", US_national_yearly!$D:$AM, 26, FALSE) / VLOOKUP("buildings|SO2|Respiratory hospital admissions", US_national_yearly!$D:$AM, 10, FALSE), 1)</f>
        <v>2.7337087149221904E-4</v>
      </c>
      <c r="S12" s="7">
        <f>$B12 * IFERROR(VLOOKUP("buildings|SO2|Respiratory hospital admissions", US_national_yearly!$D:$AM, 27, FALSE) / VLOOKUP("buildings|SO2|Respiratory hospital admissions", US_national_yearly!$D:$AM, 10, FALSE), 1)</f>
        <v>2.7447570343617741E-4</v>
      </c>
      <c r="T12" s="7">
        <f>$B12 * IFERROR(VLOOKUP("buildings|SO2|Respiratory hospital admissions", US_national_yearly!$D:$AM, 28, FALSE) / VLOOKUP("buildings|SO2|Respiratory hospital admissions", US_national_yearly!$D:$AM, 10, FALSE), 1)</f>
        <v>2.7558053538013588E-4</v>
      </c>
      <c r="U12" s="7">
        <f>$B12 * IFERROR(VLOOKUP("buildings|SO2|Respiratory hospital admissions", US_national_yearly!$D:$AM, 29, FALSE) / VLOOKUP("buildings|SO2|Respiratory hospital admissions", US_national_yearly!$D:$AM, 10, FALSE), 1)</f>
        <v>2.766853673240943E-4</v>
      </c>
      <c r="V12" s="7">
        <f>$B12 * IFERROR(VLOOKUP("buildings|SO2|Respiratory hospital admissions", US_national_yearly!$D:$AM, 30, FALSE) / VLOOKUP("buildings|SO2|Respiratory hospital admissions", US_national_yearly!$D:$AM, 10, FALSE), 1)</f>
        <v>2.7779019926805267E-4</v>
      </c>
      <c r="W12" s="7">
        <f>$B12 * IFERROR(VLOOKUP("buildings|SO2|Respiratory hospital admissions", US_national_yearly!$D:$AM, 31, FALSE) / VLOOKUP("buildings|SO2|Respiratory hospital admissions", US_national_yearly!$D:$AM, 10, FALSE), 1)</f>
        <v>2.7889503121201114E-4</v>
      </c>
      <c r="X12" s="7">
        <f>$B12 * IFERROR(VLOOKUP("buildings|SO2|Respiratory hospital admissions", US_national_yearly!$D:$AM, 32, FALSE) / VLOOKUP("buildings|SO2|Respiratory hospital admissions", US_national_yearly!$D:$AM, 10, FALSE), 1)</f>
        <v>2.7994490982460798E-4</v>
      </c>
      <c r="Y12" s="7">
        <f>$B12 * IFERROR(VLOOKUP("buildings|SO2|Respiratory hospital admissions", US_national_yearly!$D:$AM, 33, FALSE) / VLOOKUP("buildings|SO2|Respiratory hospital admissions", US_national_yearly!$D:$AM, 10, FALSE), 1)</f>
        <v>2.8099478843720486E-4</v>
      </c>
      <c r="Z12" s="7">
        <f>$B12 * IFERROR(VLOOKUP("buildings|SO2|Respiratory hospital admissions", US_national_yearly!$D:$AM, 34, FALSE) / VLOOKUP("buildings|SO2|Respiratory hospital admissions", US_national_yearly!$D:$AM, 10, FALSE), 1)</f>
        <v>2.8204466704980169E-4</v>
      </c>
      <c r="AA12" s="7">
        <f>$B12 * IFERROR(VLOOKUP("buildings|SO2|Respiratory hospital admissions", US_national_yearly!$D:$AM, 35, FALSE) / VLOOKUP("buildings|SO2|Respiratory hospital admissions", US_national_yearly!$D:$AM, 10, FALSE), 1)</f>
        <v>2.8309454566239858E-4</v>
      </c>
      <c r="AB12" s="7">
        <f>$B12 * IFERROR(VLOOKUP("buildings|SO2|Respiratory hospital admissions", US_national_yearly!$D:$AM, 36, FALSE) / VLOOKUP("buildings|SO2|Respiratory hospital admissions", US_national_yearly!$D:$AM, 10, FALSE), 1)</f>
        <v>2.8414442427499546E-4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1.9065368501950278E-3</v>
      </c>
      <c r="C13" s="7">
        <f>$B13 * IFERROR(VLOOKUP("buildings|SO2|Non-fatal heart attacks", US_national_yearly!$D:$AM, 11, FALSE) / VLOOKUP("buildings|SO2|Non-fatal heart attacks", US_national_yearly!$D:$AM, 10, FALSE), 1)</f>
        <v>1.9625239423817029E-3</v>
      </c>
      <c r="D13" s="7">
        <f>$B13 * IFERROR(VLOOKUP("buildings|SO2|Non-fatal heart attacks", US_national_yearly!$D:$AM, 12, FALSE) / VLOOKUP("buildings|SO2|Non-fatal heart attacks", US_national_yearly!$D:$AM, 10, FALSE), 1)</f>
        <v>2.0185110345683779E-3</v>
      </c>
      <c r="E13" s="7">
        <f>$B13 * IFERROR(VLOOKUP("buildings|SO2|Non-fatal heart attacks", US_national_yearly!$D:$AM, 13, FALSE) / VLOOKUP("buildings|SO2|Non-fatal heart attacks", US_national_yearly!$D:$AM, 10, FALSE), 1)</f>
        <v>2.0744981267550528E-3</v>
      </c>
      <c r="F13" s="7">
        <f>$B13 * IFERROR(VLOOKUP("buildings|SO2|Non-fatal heart attacks", US_national_yearly!$D:$AM, 14, FALSE) / VLOOKUP("buildings|SO2|Non-fatal heart attacks", US_national_yearly!$D:$AM, 10, FALSE), 1)</f>
        <v>2.1304852189417281E-3</v>
      </c>
      <c r="G13" s="7">
        <f>$B13 * IFERROR(VLOOKUP("buildings|SO2|Non-fatal heart attacks", US_national_yearly!$D:$AM, 15, FALSE) / VLOOKUP("buildings|SO2|Non-fatal heart attacks", US_national_yearly!$D:$AM, 10, FALSE), 1)</f>
        <v>2.1832900764883457E-3</v>
      </c>
      <c r="H13" s="7">
        <f>$B13 * IFERROR(VLOOKUP("buildings|SO2|Non-fatal heart attacks", US_national_yearly!$D:$AM, 16, FALSE) / VLOOKUP("buildings|SO2|Non-fatal heart attacks", US_national_yearly!$D:$AM, 10, FALSE), 1)</f>
        <v>2.2360949340349632E-3</v>
      </c>
      <c r="I13" s="7">
        <f>$B13 * IFERROR(VLOOKUP("buildings|SO2|Non-fatal heart attacks", US_national_yearly!$D:$AM, 17, FALSE) / VLOOKUP("buildings|SO2|Non-fatal heart attacks", US_national_yearly!$D:$AM, 10, FALSE), 1)</f>
        <v>2.2785993442549766E-3</v>
      </c>
      <c r="J13" s="7">
        <f>$B13 * IFERROR(VLOOKUP("buildings|SO2|Non-fatal heart attacks", US_national_yearly!$D:$AM, 18, FALSE) / VLOOKUP("buildings|SO2|Non-fatal heart attacks", US_national_yearly!$D:$AM, 10, FALSE), 1)</f>
        <v>2.3211037544749904E-3</v>
      </c>
      <c r="K13" s="7">
        <f>$B13 * IFERROR(VLOOKUP("buildings|SO2|Non-fatal heart attacks", US_national_yearly!$D:$AM, 19, FALSE) / VLOOKUP("buildings|SO2|Non-fatal heart attacks", US_national_yearly!$D:$AM, 10, FALSE), 1)</f>
        <v>2.3636081646950043E-3</v>
      </c>
      <c r="L13" s="7">
        <f>$B13 * IFERROR(VLOOKUP("buildings|SO2|Non-fatal heart attacks", US_national_yearly!$D:$AM, 20, FALSE) / VLOOKUP("buildings|SO2|Non-fatal heart attacks", US_national_yearly!$D:$AM, 10, FALSE), 1)</f>
        <v>2.4061125749150181E-3</v>
      </c>
      <c r="M13" s="7">
        <f>$B13 * IFERROR(VLOOKUP("buildings|SO2|Non-fatal heart attacks", US_national_yearly!$D:$AM, 21, FALSE) / VLOOKUP("buildings|SO2|Non-fatal heart attacks", US_national_yearly!$D:$AM, 10, FALSE), 1)</f>
        <v>2.448616985135032E-3</v>
      </c>
      <c r="N13" s="7">
        <f>$B13 * IFERROR(VLOOKUP("buildings|SO2|Non-fatal heart attacks", US_national_yearly!$D:$AM, 22, FALSE) / VLOOKUP("buildings|SO2|Non-fatal heart attacks", US_national_yearly!$D:$AM, 10, FALSE), 1)</f>
        <v>2.4762043232208525E-3</v>
      </c>
      <c r="O13" s="7">
        <f>$B13 * IFERROR(VLOOKUP("buildings|SO2|Non-fatal heart attacks", US_national_yearly!$D:$AM, 23, FALSE) / VLOOKUP("buildings|SO2|Non-fatal heart attacks", US_national_yearly!$D:$AM, 10, FALSE), 1)</f>
        <v>2.5037916613066735E-3</v>
      </c>
      <c r="P13" s="7">
        <f>$B13 * IFERROR(VLOOKUP("buildings|SO2|Non-fatal heart attacks", US_national_yearly!$D:$AM, 24, FALSE) / VLOOKUP("buildings|SO2|Non-fatal heart attacks", US_national_yearly!$D:$AM, 10, FALSE), 1)</f>
        <v>2.5313789993924945E-3</v>
      </c>
      <c r="Q13" s="7">
        <f>$B13 * IFERROR(VLOOKUP("buildings|SO2|Non-fatal heart attacks", US_national_yearly!$D:$AM, 25, FALSE) / VLOOKUP("buildings|SO2|Non-fatal heart attacks", US_national_yearly!$D:$AM, 10, FALSE), 1)</f>
        <v>2.558966337478315E-3</v>
      </c>
      <c r="R13" s="7">
        <f>$B13 * IFERROR(VLOOKUP("buildings|SO2|Non-fatal heart attacks", US_national_yearly!$D:$AM, 26, FALSE) / VLOOKUP("buildings|SO2|Non-fatal heart attacks", US_national_yearly!$D:$AM, 10, FALSE), 1)</f>
        <v>2.586553675564136E-3</v>
      </c>
      <c r="S13" s="7">
        <f>$B13 * IFERROR(VLOOKUP("buildings|SO2|Non-fatal heart attacks", US_national_yearly!$D:$AM, 27, FALSE) / VLOOKUP("buildings|SO2|Non-fatal heart attacks", US_national_yearly!$D:$AM, 10, FALSE), 1)</f>
        <v>2.6009597383416841E-3</v>
      </c>
      <c r="T13" s="7">
        <f>$B13 * IFERROR(VLOOKUP("buildings|SO2|Non-fatal heart attacks", US_national_yearly!$D:$AM, 28, FALSE) / VLOOKUP("buildings|SO2|Non-fatal heart attacks", US_national_yearly!$D:$AM, 10, FALSE), 1)</f>
        <v>2.6153658011192323E-3</v>
      </c>
      <c r="U13" s="7">
        <f>$B13 * IFERROR(VLOOKUP("buildings|SO2|Non-fatal heart attacks", US_national_yearly!$D:$AM, 29, FALSE) / VLOOKUP("buildings|SO2|Non-fatal heart attacks", US_national_yearly!$D:$AM, 10, FALSE), 1)</f>
        <v>2.6297718638967796E-3</v>
      </c>
      <c r="V13" s="7">
        <f>$B13 * IFERROR(VLOOKUP("buildings|SO2|Non-fatal heart attacks", US_national_yearly!$D:$AM, 30, FALSE) / VLOOKUP("buildings|SO2|Non-fatal heart attacks", US_national_yearly!$D:$AM, 10, FALSE), 1)</f>
        <v>2.6441779266743277E-3</v>
      </c>
      <c r="W13" s="7">
        <f>$B13 * IFERROR(VLOOKUP("buildings|SO2|Non-fatal heart attacks", US_national_yearly!$D:$AM, 31, FALSE) / VLOOKUP("buildings|SO2|Non-fatal heart attacks", US_national_yearly!$D:$AM, 10, FALSE), 1)</f>
        <v>2.6585839894518754E-3</v>
      </c>
      <c r="X13" s="7">
        <f>$B13 * IFERROR(VLOOKUP("buildings|SO2|Non-fatal heart attacks", US_national_yearly!$D:$AM, 32, FALSE) / VLOOKUP("buildings|SO2|Non-fatal heart attacks", US_national_yearly!$D:$AM, 10, FALSE), 1)</f>
        <v>2.669464505963651E-3</v>
      </c>
      <c r="Y13" s="7">
        <f>$B13 * IFERROR(VLOOKUP("buildings|SO2|Non-fatal heart attacks", US_national_yearly!$D:$AM, 33, FALSE) / VLOOKUP("buildings|SO2|Non-fatal heart attacks", US_national_yearly!$D:$AM, 10, FALSE), 1)</f>
        <v>2.6803450224754262E-3</v>
      </c>
      <c r="Z13" s="7">
        <f>$B13 * IFERROR(VLOOKUP("buildings|SO2|Non-fatal heart attacks", US_national_yearly!$D:$AM, 34, FALSE) / VLOOKUP("buildings|SO2|Non-fatal heart attacks", US_national_yearly!$D:$AM, 10, FALSE), 1)</f>
        <v>2.691225538987201E-3</v>
      </c>
      <c r="AA13" s="7">
        <f>$B13 * IFERROR(VLOOKUP("buildings|SO2|Non-fatal heart attacks", US_national_yearly!$D:$AM, 35, FALSE) / VLOOKUP("buildings|SO2|Non-fatal heart attacks", US_national_yearly!$D:$AM, 10, FALSE), 1)</f>
        <v>2.7021060554989762E-3</v>
      </c>
      <c r="AB13" s="7">
        <f>$B13 * IFERROR(VLOOKUP("buildings|SO2|Non-fatal heart attacks", US_national_yearly!$D:$AM, 36, FALSE) / VLOOKUP("buildings|SO2|Non-fatal heart attacks", US_national_yearly!$D:$AM, 10, FALSE), 1)</f>
        <v>2.7129865720107514E-3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1.8318428855016513</v>
      </c>
      <c r="C14" s="7">
        <f>$B14 * IFERROR(VLOOKUP("buildings|SO2|Minor restricted activity days", US_national_yearly!$D:$AM, 11, FALSE) / VLOOKUP("buildings|SO2|Minor restricted activity days", US_national_yearly!$D:$AM, 10, FALSE), 1)</f>
        <v>1.8364800992679609</v>
      </c>
      <c r="D14" s="7">
        <f>$B14 * IFERROR(VLOOKUP("buildings|SO2|Minor restricted activity days", US_national_yearly!$D:$AM, 12, FALSE) / VLOOKUP("buildings|SO2|Minor restricted activity days", US_national_yearly!$D:$AM, 10, FALSE), 1)</f>
        <v>1.8411173130342708</v>
      </c>
      <c r="E14" s="7">
        <f>$B14 * IFERROR(VLOOKUP("buildings|SO2|Minor restricted activity days", US_national_yearly!$D:$AM, 13, FALSE) / VLOOKUP("buildings|SO2|Minor restricted activity days", US_national_yearly!$D:$AM, 10, FALSE), 1)</f>
        <v>1.8457545268005811</v>
      </c>
      <c r="F14" s="7">
        <f>$B14 * IFERROR(VLOOKUP("buildings|SO2|Minor restricted activity days", US_national_yearly!$D:$AM, 14, FALSE) / VLOOKUP("buildings|SO2|Minor restricted activity days", US_national_yearly!$D:$AM, 10, FALSE), 1)</f>
        <v>1.8503917405668906</v>
      </c>
      <c r="G14" s="7">
        <f>$B14 * IFERROR(VLOOKUP("buildings|SO2|Minor restricted activity days", US_national_yearly!$D:$AM, 15, FALSE) / VLOOKUP("buildings|SO2|Minor restricted activity days", US_national_yearly!$D:$AM, 10, FALSE), 1)</f>
        <v>1.857210282178104</v>
      </c>
      <c r="H14" s="7">
        <f>$B14 * IFERROR(VLOOKUP("buildings|SO2|Minor restricted activity days", US_national_yearly!$D:$AM, 16, FALSE) / VLOOKUP("buildings|SO2|Minor restricted activity days", US_national_yearly!$D:$AM, 10, FALSE), 1)</f>
        <v>1.8640288237893172</v>
      </c>
      <c r="I14" s="7">
        <f>$B14 * IFERROR(VLOOKUP("buildings|SO2|Minor restricted activity days", US_national_yearly!$D:$AM, 17, FALSE) / VLOOKUP("buildings|SO2|Minor restricted activity days", US_national_yearly!$D:$AM, 10, FALSE), 1)</f>
        <v>1.8756414863410509</v>
      </c>
      <c r="J14" s="7">
        <f>$B14 * IFERROR(VLOOKUP("buildings|SO2|Minor restricted activity days", US_national_yearly!$D:$AM, 18, FALSE) / VLOOKUP("buildings|SO2|Minor restricted activity days", US_national_yearly!$D:$AM, 10, FALSE), 1)</f>
        <v>1.8872541488927848</v>
      </c>
      <c r="K14" s="7">
        <f>$B14 * IFERROR(VLOOKUP("buildings|SO2|Minor restricted activity days", US_national_yearly!$D:$AM, 19, FALSE) / VLOOKUP("buildings|SO2|Minor restricted activity days", US_national_yearly!$D:$AM, 10, FALSE), 1)</f>
        <v>1.8988668114445184</v>
      </c>
      <c r="L14" s="7">
        <f>$B14 * IFERROR(VLOOKUP("buildings|SO2|Minor restricted activity days", US_national_yearly!$D:$AM, 20, FALSE) / VLOOKUP("buildings|SO2|Minor restricted activity days", US_national_yearly!$D:$AM, 10, FALSE), 1)</f>
        <v>1.9104794739962521</v>
      </c>
      <c r="M14" s="7">
        <f>$B14 * IFERROR(VLOOKUP("buildings|SO2|Minor restricted activity days", US_national_yearly!$D:$AM, 21, FALSE) / VLOOKUP("buildings|SO2|Minor restricted activity days", US_national_yearly!$D:$AM, 10, FALSE), 1)</f>
        <v>1.9220921365479855</v>
      </c>
      <c r="N14" s="7">
        <f>$B14 * IFERROR(VLOOKUP("buildings|SO2|Minor restricted activity days", US_national_yearly!$D:$AM, 22, FALSE) / VLOOKUP("buildings|SO2|Minor restricted activity days", US_national_yearly!$D:$AM, 10, FALSE), 1)</f>
        <v>1.9379718423514944</v>
      </c>
      <c r="O14" s="7">
        <f>$B14 * IFERROR(VLOOKUP("buildings|SO2|Minor restricted activity days", US_national_yearly!$D:$AM, 23, FALSE) / VLOOKUP("buildings|SO2|Minor restricted activity days", US_national_yearly!$D:$AM, 10, FALSE), 1)</f>
        <v>1.9538515481550032</v>
      </c>
      <c r="P14" s="7">
        <f>$B14 * IFERROR(VLOOKUP("buildings|SO2|Minor restricted activity days", US_national_yearly!$D:$AM, 24, FALSE) / VLOOKUP("buildings|SO2|Minor restricted activity days", US_national_yearly!$D:$AM, 10, FALSE), 1)</f>
        <v>1.9697312539585117</v>
      </c>
      <c r="Q14" s="7">
        <f>$B14 * IFERROR(VLOOKUP("buildings|SO2|Minor restricted activity days", US_national_yearly!$D:$AM, 25, FALSE) / VLOOKUP("buildings|SO2|Minor restricted activity days", US_national_yearly!$D:$AM, 10, FALSE), 1)</f>
        <v>1.9856109597620204</v>
      </c>
      <c r="R14" s="7">
        <f>$B14 * IFERROR(VLOOKUP("buildings|SO2|Minor restricted activity days", US_national_yearly!$D:$AM, 26, FALSE) / VLOOKUP("buildings|SO2|Minor restricted activity days", US_national_yearly!$D:$AM, 10, FALSE), 1)</f>
        <v>2.0014906655655293</v>
      </c>
      <c r="S14" s="7">
        <f>$B14 * IFERROR(VLOOKUP("buildings|SO2|Minor restricted activity days", US_national_yearly!$D:$AM, 27, FALSE) / VLOOKUP("buildings|SO2|Minor restricted activity days", US_national_yearly!$D:$AM, 10, FALSE), 1)</f>
        <v>2.0176789946941578</v>
      </c>
      <c r="T14" s="7">
        <f>$B14 * IFERROR(VLOOKUP("buildings|SO2|Minor restricted activity days", US_national_yearly!$D:$AM, 28, FALSE) / VLOOKUP("buildings|SO2|Minor restricted activity days", US_national_yearly!$D:$AM, 10, FALSE), 1)</f>
        <v>2.0338673238227867</v>
      </c>
      <c r="U14" s="7">
        <f>$B14 * IFERROR(VLOOKUP("buildings|SO2|Minor restricted activity days", US_national_yearly!$D:$AM, 29, FALSE) / VLOOKUP("buildings|SO2|Minor restricted activity days", US_national_yearly!$D:$AM, 10, FALSE), 1)</f>
        <v>2.0500556529514151</v>
      </c>
      <c r="V14" s="7">
        <f>$B14 * IFERROR(VLOOKUP("buildings|SO2|Minor restricted activity days", US_national_yearly!$D:$AM, 30, FALSE) / VLOOKUP("buildings|SO2|Minor restricted activity days", US_national_yearly!$D:$AM, 10, FALSE), 1)</f>
        <v>2.0662439820800436</v>
      </c>
      <c r="W14" s="7">
        <f>$B14 * IFERROR(VLOOKUP("buildings|SO2|Minor restricted activity days", US_national_yearly!$D:$AM, 31, FALSE) / VLOOKUP("buildings|SO2|Minor restricted activity days", US_national_yearly!$D:$AM, 10, FALSE), 1)</f>
        <v>2.0824323112086729</v>
      </c>
      <c r="X14" s="7">
        <f>$B14 * IFERROR(VLOOKUP("buildings|SO2|Minor restricted activity days", US_national_yearly!$D:$AM, 32, FALSE) / VLOOKUP("buildings|SO2|Minor restricted activity days", US_national_yearly!$D:$AM, 10, FALSE), 1)</f>
        <v>2.0966690098429233</v>
      </c>
      <c r="Y14" s="7">
        <f>$B14 * IFERROR(VLOOKUP("buildings|SO2|Minor restricted activity days", US_national_yearly!$D:$AM, 33, FALSE) / VLOOKUP("buildings|SO2|Minor restricted activity days", US_national_yearly!$D:$AM, 10, FALSE), 1)</f>
        <v>2.1109057084771745</v>
      </c>
      <c r="Z14" s="7">
        <f>$B14 * IFERROR(VLOOKUP("buildings|SO2|Minor restricted activity days", US_national_yearly!$D:$AM, 34, FALSE) / VLOOKUP("buildings|SO2|Minor restricted activity days", US_national_yearly!$D:$AM, 10, FALSE), 1)</f>
        <v>2.1251424071114249</v>
      </c>
      <c r="AA14" s="7">
        <f>$B14 * IFERROR(VLOOKUP("buildings|SO2|Minor restricted activity days", US_national_yearly!$D:$AM, 35, FALSE) / VLOOKUP("buildings|SO2|Minor restricted activity days", US_national_yearly!$D:$AM, 10, FALSE), 1)</f>
        <v>2.1393791057456761</v>
      </c>
      <c r="AB14" s="7">
        <f>$B14 * IFERROR(VLOOKUP("buildings|SO2|Minor restricted activity days", US_national_yearly!$D:$AM, 36, FALSE) / VLOOKUP("buildings|SO2|Minor restricted activity days", US_national_yearly!$D:$AM, 10, FALSE), 1)</f>
        <v>2.1536158043799265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0.31224238367193535</v>
      </c>
      <c r="C15" s="7">
        <f>$B15 * IFERROR(VLOOKUP("buildings|SO2|Work loss days", US_national_yearly!$D:$AM, 11, FALSE) / VLOOKUP("buildings|SO2|Work loss days", US_national_yearly!$D:$AM, 10, FALSE), 1)</f>
        <v>0.31325685409151688</v>
      </c>
      <c r="D15" s="7">
        <f>$B15 * IFERROR(VLOOKUP("buildings|SO2|Work loss days", US_national_yearly!$D:$AM, 12, FALSE) / VLOOKUP("buildings|SO2|Work loss days", US_national_yearly!$D:$AM, 10, FALSE), 1)</f>
        <v>0.31427132451109846</v>
      </c>
      <c r="E15" s="7">
        <f>$B15 * IFERROR(VLOOKUP("buildings|SO2|Work loss days", US_national_yearly!$D:$AM, 13, FALSE) / VLOOKUP("buildings|SO2|Work loss days", US_national_yearly!$D:$AM, 10, FALSE), 1)</f>
        <v>0.31528579493067999</v>
      </c>
      <c r="F15" s="7">
        <f>$B15 * IFERROR(VLOOKUP("buildings|SO2|Work loss days", US_national_yearly!$D:$AM, 14, FALSE) / VLOOKUP("buildings|SO2|Work loss days", US_national_yearly!$D:$AM, 10, FALSE), 1)</f>
        <v>0.31630026535026151</v>
      </c>
      <c r="G15" s="7">
        <f>$B15 * IFERROR(VLOOKUP("buildings|SO2|Work loss days", US_national_yearly!$D:$AM, 15, FALSE) / VLOOKUP("buildings|SO2|Work loss days", US_national_yearly!$D:$AM, 10, FALSE), 1)</f>
        <v>0.31762521985762904</v>
      </c>
      <c r="H15" s="7">
        <f>$B15 * IFERROR(VLOOKUP("buildings|SO2|Work loss days", US_national_yearly!$D:$AM, 16, FALSE) / VLOOKUP("buildings|SO2|Work loss days", US_national_yearly!$D:$AM, 10, FALSE), 1)</f>
        <v>0.31895017436499667</v>
      </c>
      <c r="I15" s="7">
        <f>$B15 * IFERROR(VLOOKUP("buildings|SO2|Work loss days", US_national_yearly!$D:$AM, 17, FALSE) / VLOOKUP("buildings|SO2|Work loss days", US_national_yearly!$D:$AM, 10, FALSE), 1)</f>
        <v>0.32088733201534198</v>
      </c>
      <c r="J15" s="7">
        <f>$B15 * IFERROR(VLOOKUP("buildings|SO2|Work loss days", US_national_yearly!$D:$AM, 18, FALSE) / VLOOKUP("buildings|SO2|Work loss days", US_national_yearly!$D:$AM, 10, FALSE), 1)</f>
        <v>0.32282448966568728</v>
      </c>
      <c r="K15" s="7">
        <f>$B15 * IFERROR(VLOOKUP("buildings|SO2|Work loss days", US_national_yearly!$D:$AM, 19, FALSE) / VLOOKUP("buildings|SO2|Work loss days", US_national_yearly!$D:$AM, 10, FALSE), 1)</f>
        <v>0.32476164731603263</v>
      </c>
      <c r="L15" s="7">
        <f>$B15 * IFERROR(VLOOKUP("buildings|SO2|Work loss days", US_national_yearly!$D:$AM, 20, FALSE) / VLOOKUP("buildings|SO2|Work loss days", US_national_yearly!$D:$AM, 10, FALSE), 1)</f>
        <v>0.32669880496637788</v>
      </c>
      <c r="M15" s="7">
        <f>$B15 * IFERROR(VLOOKUP("buildings|SO2|Work loss days", US_national_yearly!$D:$AM, 21, FALSE) / VLOOKUP("buildings|SO2|Work loss days", US_national_yearly!$D:$AM, 10, FALSE), 1)</f>
        <v>0.32863596261672318</v>
      </c>
      <c r="N15" s="7">
        <f>$B15 * IFERROR(VLOOKUP("buildings|SO2|Work loss days", US_national_yearly!$D:$AM, 22, FALSE) / VLOOKUP("buildings|SO2|Work loss days", US_national_yearly!$D:$AM, 10, FALSE), 1)</f>
        <v>0.33106512657712428</v>
      </c>
      <c r="O15" s="7">
        <f>$B15 * IFERROR(VLOOKUP("buildings|SO2|Work loss days", US_national_yearly!$D:$AM, 23, FALSE) / VLOOKUP("buildings|SO2|Work loss days", US_national_yearly!$D:$AM, 10, FALSE), 1)</f>
        <v>0.33349429053752533</v>
      </c>
      <c r="P15" s="7">
        <f>$B15 * IFERROR(VLOOKUP("buildings|SO2|Work loss days", US_national_yearly!$D:$AM, 24, FALSE) / VLOOKUP("buildings|SO2|Work loss days", US_national_yearly!$D:$AM, 10, FALSE), 1)</f>
        <v>0.33592345449792638</v>
      </c>
      <c r="Q15" s="7">
        <f>$B15 * IFERROR(VLOOKUP("buildings|SO2|Work loss days", US_national_yearly!$D:$AM, 25, FALSE) / VLOOKUP("buildings|SO2|Work loss days", US_national_yearly!$D:$AM, 10, FALSE), 1)</f>
        <v>0.33835261845832754</v>
      </c>
      <c r="R15" s="7">
        <f>$B15 * IFERROR(VLOOKUP("buildings|SO2|Work loss days", US_national_yearly!$D:$AM, 26, FALSE) / VLOOKUP("buildings|SO2|Work loss days", US_national_yearly!$D:$AM, 10, FALSE), 1)</f>
        <v>0.34078178241872847</v>
      </c>
      <c r="S15" s="7">
        <f>$B15 * IFERROR(VLOOKUP("buildings|SO2|Work loss days", US_national_yearly!$D:$AM, 27, FALSE) / VLOOKUP("buildings|SO2|Work loss days", US_national_yearly!$D:$AM, 10, FALSE), 1)</f>
        <v>0.34349537134396008</v>
      </c>
      <c r="T15" s="7">
        <f>$B15 * IFERROR(VLOOKUP("buildings|SO2|Work loss days", US_national_yearly!$D:$AM, 28, FALSE) / VLOOKUP("buildings|SO2|Work loss days", US_national_yearly!$D:$AM, 10, FALSE), 1)</f>
        <v>0.34620896026919162</v>
      </c>
      <c r="U15" s="7">
        <f>$B15 * IFERROR(VLOOKUP("buildings|SO2|Work loss days", US_national_yearly!$D:$AM, 29, FALSE) / VLOOKUP("buildings|SO2|Work loss days", US_national_yearly!$D:$AM, 10, FALSE), 1)</f>
        <v>0.34892254919442317</v>
      </c>
      <c r="V15" s="7">
        <f>$B15 * IFERROR(VLOOKUP("buildings|SO2|Work loss days", US_national_yearly!$D:$AM, 30, FALSE) / VLOOKUP("buildings|SO2|Work loss days", US_national_yearly!$D:$AM, 10, FALSE), 1)</f>
        <v>0.35163613811965472</v>
      </c>
      <c r="W15" s="7">
        <f>$B15 * IFERROR(VLOOKUP("buildings|SO2|Work loss days", US_national_yearly!$D:$AM, 31, FALSE) / VLOOKUP("buildings|SO2|Work loss days", US_national_yearly!$D:$AM, 10, FALSE), 1)</f>
        <v>0.35434972704488626</v>
      </c>
      <c r="X15" s="7">
        <f>$B15 * IFERROR(VLOOKUP("buildings|SO2|Work loss days", US_national_yearly!$D:$AM, 32, FALSE) / VLOOKUP("buildings|SO2|Work loss days", US_national_yearly!$D:$AM, 10, FALSE), 1)</f>
        <v>0.35678621003829986</v>
      </c>
      <c r="Y15" s="7">
        <f>$B15 * IFERROR(VLOOKUP("buildings|SO2|Work loss days", US_national_yearly!$D:$AM, 33, FALSE) / VLOOKUP("buildings|SO2|Work loss days", US_national_yearly!$D:$AM, 10, FALSE), 1)</f>
        <v>0.3592226930317135</v>
      </c>
      <c r="Z15" s="7">
        <f>$B15 * IFERROR(VLOOKUP("buildings|SO2|Work loss days", US_national_yearly!$D:$AM, 34, FALSE) / VLOOKUP("buildings|SO2|Work loss days", US_national_yearly!$D:$AM, 10, FALSE), 1)</f>
        <v>0.36165917602512704</v>
      </c>
      <c r="AA15" s="7">
        <f>$B15 * IFERROR(VLOOKUP("buildings|SO2|Work loss days", US_national_yearly!$D:$AM, 35, FALSE) / VLOOKUP("buildings|SO2|Work loss days", US_national_yearly!$D:$AM, 10, FALSE), 1)</f>
        <v>0.36409565901854063</v>
      </c>
      <c r="AB15" s="7">
        <f>$B15 * IFERROR(VLOOKUP("buildings|SO2|Work loss days", US_national_yearly!$D:$AM, 36, FALSE) / VLOOKUP("buildings|SO2|Work loss days", US_national_yearly!$D:$AM, 10, FALSE), 1)</f>
        <v>0.36653214201195417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3.4313553604600278E-4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3.5351516588839503E-4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3.6389479573078727E-4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3.7427442557317958E-4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3.8465405541557182E-4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3.9459711907817799E-4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4.0454018274078409E-4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4.1306136826959466E-4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4.2158255379840507E-4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4.3010373932721564E-4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4.3862492485602611E-4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4.4714611038483652E-4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4.5286791569339744E-4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4.585897210019583E-4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4.6431152631051922E-4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4.7003333161908003E-4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4.7575513692764095E-4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4.7876411346787627E-4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4.817730900081116E-4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4.8478206654834687E-4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4.8779104308858219E-4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4.9080001962881746E-4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4.9282055413989352E-4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4.9484108865096958E-4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4.9686162316204565E-4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4.9888215767312171E-4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5.0090269218419777E-4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1.6917094073569727E-2</v>
      </c>
      <c r="C2" s="7">
        <f>$B2 * IFERROR(VLOOKUP("industry|PM25|Premature mortality", US_national_yearly!$D:$AM, 11, FALSE) / VLOOKUP("industry|PM25|Premature mortality", US_national_yearly!$D:$AM, 10, FALSE), 1)</f>
        <v>1.7127767178063618E-2</v>
      </c>
      <c r="D2" s="7">
        <f>$B2 * IFERROR(VLOOKUP("industry|PM25|Premature mortality", US_national_yearly!$D:$AM, 12, FALSE) / VLOOKUP("industry|PM25|Premature mortality", US_national_yearly!$D:$AM, 10, FALSE), 1)</f>
        <v>1.7338440282557502E-2</v>
      </c>
      <c r="E2" s="7">
        <f>$B2 * IFERROR(VLOOKUP("industry|PM25|Premature mortality", US_national_yearly!$D:$AM, 13, FALSE) / VLOOKUP("industry|PM25|Premature mortality", US_national_yearly!$D:$AM, 10, FALSE), 1)</f>
        <v>1.7549113387051389E-2</v>
      </c>
      <c r="F2" s="7">
        <f>$B2 * IFERROR(VLOOKUP("industry|PM25|Premature mortality", US_national_yearly!$D:$AM, 14, FALSE) / VLOOKUP("industry|PM25|Premature mortality", US_national_yearly!$D:$AM, 10, FALSE), 1)</f>
        <v>1.7759786491545276E-2</v>
      </c>
      <c r="G2" s="7">
        <f>$B2 * IFERROR(VLOOKUP("industry|PM25|Premature mortality", US_national_yearly!$D:$AM, 15, FALSE) / VLOOKUP("industry|PM25|Premature mortality", US_national_yearly!$D:$AM, 10, FALSE), 1)</f>
        <v>1.81696477440693E-2</v>
      </c>
      <c r="H2" s="7">
        <f>$B2 * IFERROR(VLOOKUP("industry|PM25|Premature mortality", US_national_yearly!$D:$AM, 16, FALSE) / VLOOKUP("industry|PM25|Premature mortality", US_national_yearly!$D:$AM, 10, FALSE), 1)</f>
        <v>1.8579508996593327E-2</v>
      </c>
      <c r="I2" s="7">
        <f>$B2 * IFERROR(VLOOKUP("industry|PM25|Premature mortality", US_national_yearly!$D:$AM, 17, FALSE) / VLOOKUP("industry|PM25|Premature mortality", US_national_yearly!$D:$AM, 10, FALSE), 1)</f>
        <v>1.8850139019123385E-2</v>
      </c>
      <c r="J2" s="7">
        <f>$B2 * IFERROR(VLOOKUP("industry|PM25|Premature mortality", US_national_yearly!$D:$AM, 18, FALSE) / VLOOKUP("industry|PM25|Premature mortality", US_national_yearly!$D:$AM, 10, FALSE), 1)</f>
        <v>1.912076904165344E-2</v>
      </c>
      <c r="K2" s="7">
        <f>$B2 * IFERROR(VLOOKUP("industry|PM25|Premature mortality", US_national_yearly!$D:$AM, 19, FALSE) / VLOOKUP("industry|PM25|Premature mortality", US_national_yearly!$D:$AM, 10, FALSE), 1)</f>
        <v>1.9391399064183495E-2</v>
      </c>
      <c r="L2" s="7">
        <f>$B2 * IFERROR(VLOOKUP("industry|PM25|Premature mortality", US_national_yearly!$D:$AM, 20, FALSE) / VLOOKUP("industry|PM25|Premature mortality", US_national_yearly!$D:$AM, 10, FALSE), 1)</f>
        <v>1.9662029086713551E-2</v>
      </c>
      <c r="M2" s="7">
        <f>$B2 * IFERROR(VLOOKUP("industry|PM25|Premature mortality", US_national_yearly!$D:$AM, 21, FALSE) / VLOOKUP("industry|PM25|Premature mortality", US_national_yearly!$D:$AM, 10, FALSE), 1)</f>
        <v>1.9932659109243609E-2</v>
      </c>
      <c r="N2" s="7">
        <f>$B2 * IFERROR(VLOOKUP("industry|PM25|Premature mortality", US_national_yearly!$D:$AM, 22, FALSE) / VLOOKUP("industry|PM25|Premature mortality", US_national_yearly!$D:$AM, 10, FALSE), 1)</f>
        <v>2.0143503034813156E-2</v>
      </c>
      <c r="O2" s="7">
        <f>$B2 * IFERROR(VLOOKUP("industry|PM25|Premature mortality", US_national_yearly!$D:$AM, 23, FALSE) / VLOOKUP("industry|PM25|Premature mortality", US_national_yearly!$D:$AM, 10, FALSE), 1)</f>
        <v>2.0354346960382699E-2</v>
      </c>
      <c r="P2" s="7">
        <f>$B2 * IFERROR(VLOOKUP("industry|PM25|Premature mortality", US_national_yearly!$D:$AM, 24, FALSE) / VLOOKUP("industry|PM25|Premature mortality", US_national_yearly!$D:$AM, 10, FALSE), 1)</f>
        <v>2.0565190885952246E-2</v>
      </c>
      <c r="Q2" s="7">
        <f>$B2 * IFERROR(VLOOKUP("industry|PM25|Premature mortality", US_national_yearly!$D:$AM, 25, FALSE) / VLOOKUP("industry|PM25|Premature mortality", US_national_yearly!$D:$AM, 10, FALSE), 1)</f>
        <v>2.0776034811521793E-2</v>
      </c>
      <c r="R2" s="7">
        <f>$B2 * IFERROR(VLOOKUP("industry|PM25|Premature mortality", US_national_yearly!$D:$AM, 26, FALSE) / VLOOKUP("industry|PM25|Premature mortality", US_national_yearly!$D:$AM, 10, FALSE), 1)</f>
        <v>2.0986878737091336E-2</v>
      </c>
      <c r="S2" s="7">
        <f>$B2 * IFERROR(VLOOKUP("industry|PM25|Premature mortality", US_national_yearly!$D:$AM, 27, FALSE) / VLOOKUP("industry|PM25|Premature mortality", US_national_yearly!$D:$AM, 10, FALSE), 1)</f>
        <v>2.1100726636756013E-2</v>
      </c>
      <c r="T2" s="7">
        <f>$B2 * IFERROR(VLOOKUP("industry|PM25|Premature mortality", US_national_yearly!$D:$AM, 28, FALSE) / VLOOKUP("industry|PM25|Premature mortality", US_national_yearly!$D:$AM, 10, FALSE), 1)</f>
        <v>2.1214574536420693E-2</v>
      </c>
      <c r="U2" s="7">
        <f>$B2 * IFERROR(VLOOKUP("industry|PM25|Premature mortality", US_national_yearly!$D:$AM, 29, FALSE) / VLOOKUP("industry|PM25|Premature mortality", US_national_yearly!$D:$AM, 10, FALSE), 1)</f>
        <v>2.1328422436085379E-2</v>
      </c>
      <c r="V2" s="7">
        <f>$B2 * IFERROR(VLOOKUP("industry|PM25|Premature mortality", US_national_yearly!$D:$AM, 30, FALSE) / VLOOKUP("industry|PM25|Premature mortality", US_national_yearly!$D:$AM, 10, FALSE), 1)</f>
        <v>2.1442270335750056E-2</v>
      </c>
      <c r="W2" s="7">
        <f>$B2 * IFERROR(VLOOKUP("industry|PM25|Premature mortality", US_national_yearly!$D:$AM, 31, FALSE) / VLOOKUP("industry|PM25|Premature mortality", US_national_yearly!$D:$AM, 10, FALSE), 1)</f>
        <v>2.1556118235414732E-2</v>
      </c>
      <c r="X2" s="7">
        <f>$B2 * IFERROR(VLOOKUP("industry|PM25|Premature mortality", US_national_yearly!$D:$AM, 32, FALSE) / VLOOKUP("industry|PM25|Premature mortality", US_national_yearly!$D:$AM, 10, FALSE), 1)</f>
        <v>2.1579623836253427E-2</v>
      </c>
      <c r="Y2" s="7">
        <f>$B2 * IFERROR(VLOOKUP("industry|PM25|Premature mortality", US_national_yearly!$D:$AM, 33, FALSE) / VLOOKUP("industry|PM25|Premature mortality", US_national_yearly!$D:$AM, 10, FALSE), 1)</f>
        <v>2.1603129437092129E-2</v>
      </c>
      <c r="Z2" s="7">
        <f>$B2 * IFERROR(VLOOKUP("industry|PM25|Premature mortality", US_national_yearly!$D:$AM, 34, FALSE) / VLOOKUP("industry|PM25|Premature mortality", US_national_yearly!$D:$AM, 10, FALSE), 1)</f>
        <v>2.1626635037930823E-2</v>
      </c>
      <c r="AA2" s="7">
        <f>$B2 * IFERROR(VLOOKUP("industry|PM25|Premature mortality", US_national_yearly!$D:$AM, 35, FALSE) / VLOOKUP("industry|PM25|Premature mortality", US_national_yearly!$D:$AM, 10, FALSE), 1)</f>
        <v>2.1650140638769522E-2</v>
      </c>
      <c r="AB2" s="7">
        <f>$B2 * IFERROR(VLOOKUP("industry|PM25|Premature mortality", US_national_yearly!$D:$AM, 36, FALSE) / VLOOKUP("industry|PM25|Premature mortality", US_national_yearly!$D:$AM, 10, FALSE), 1)</f>
        <v>2.167364623960822E-2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3.4673680214119885E-5</v>
      </c>
      <c r="C3" s="7">
        <f>$B3 * IFERROR(VLOOKUP("industry|PM25|Infant mortality", US_national_yearly!$D:$AM, 11, FALSE) / VLOOKUP("industry|PM25|Infant mortality", US_national_yearly!$D:$AM, 10, FALSE), 1)</f>
        <v>3.4371781721453174E-5</v>
      </c>
      <c r="D3" s="7">
        <f>$B3 * IFERROR(VLOOKUP("industry|PM25|Infant mortality", US_national_yearly!$D:$AM, 12, FALSE) / VLOOKUP("industry|PM25|Infant mortality", US_national_yearly!$D:$AM, 10, FALSE), 1)</f>
        <v>3.4069883228786463E-5</v>
      </c>
      <c r="E3" s="7">
        <f>$B3 * IFERROR(VLOOKUP("industry|PM25|Infant mortality", US_national_yearly!$D:$AM, 13, FALSE) / VLOOKUP("industry|PM25|Infant mortality", US_national_yearly!$D:$AM, 10, FALSE), 1)</f>
        <v>3.3767984736119745E-5</v>
      </c>
      <c r="F3" s="7">
        <f>$B3 * IFERROR(VLOOKUP("industry|PM25|Infant mortality", US_national_yearly!$D:$AM, 14, FALSE) / VLOOKUP("industry|PM25|Infant mortality", US_national_yearly!$D:$AM, 10, FALSE), 1)</f>
        <v>3.3466086243453034E-5</v>
      </c>
      <c r="G3" s="7">
        <f>$B3 * IFERROR(VLOOKUP("industry|PM25|Infant mortality", US_national_yearly!$D:$AM, 15, FALSE) / VLOOKUP("industry|PM25|Infant mortality", US_national_yearly!$D:$AM, 10, FALSE), 1)</f>
        <v>2.2236039112956026E-5</v>
      </c>
      <c r="H3" s="7">
        <f>$B3 * IFERROR(VLOOKUP("industry|PM25|Infant mortality", US_national_yearly!$D:$AM, 16, FALSE) / VLOOKUP("industry|PM25|Infant mortality", US_national_yearly!$D:$AM, 10, FALSE), 1)</f>
        <v>1.1005991982459019E-5</v>
      </c>
      <c r="I3" s="7">
        <f>$B3 * IFERROR(VLOOKUP("industry|PM25|Infant mortality", US_national_yearly!$D:$AM, 17, FALSE) / VLOOKUP("industry|PM25|Infant mortality", US_national_yearly!$D:$AM, 10, FALSE), 1)</f>
        <v>1.0932736250458637E-5</v>
      </c>
      <c r="J3" s="7">
        <f>$B3 * IFERROR(VLOOKUP("industry|PM25|Infant mortality", US_national_yearly!$D:$AM, 18, FALSE) / VLOOKUP("industry|PM25|Infant mortality", US_national_yearly!$D:$AM, 10, FALSE), 1)</f>
        <v>1.0859480518458256E-5</v>
      </c>
      <c r="K3" s="7">
        <f>$B3 * IFERROR(VLOOKUP("industry|PM25|Infant mortality", US_national_yearly!$D:$AM, 19, FALSE) / VLOOKUP("industry|PM25|Infant mortality", US_national_yearly!$D:$AM, 10, FALSE), 1)</f>
        <v>1.0786224786457873E-5</v>
      </c>
      <c r="L3" s="7">
        <f>$B3 * IFERROR(VLOOKUP("industry|PM25|Infant mortality", US_national_yearly!$D:$AM, 20, FALSE) / VLOOKUP("industry|PM25|Infant mortality", US_national_yearly!$D:$AM, 10, FALSE), 1)</f>
        <v>1.0712969054457489E-5</v>
      </c>
      <c r="M3" s="7">
        <f>$B3 * IFERROR(VLOOKUP("industry|PM25|Infant mortality", US_national_yearly!$D:$AM, 21, FALSE) / VLOOKUP("industry|PM25|Infant mortality", US_national_yearly!$D:$AM, 10, FALSE), 1)</f>
        <v>1.0639713322457108E-5</v>
      </c>
      <c r="N3" s="7">
        <f>$B3 * IFERROR(VLOOKUP("industry|PM25|Infant mortality", US_national_yearly!$D:$AM, 22, FALSE) / VLOOKUP("industry|PM25|Infant mortality", US_national_yearly!$D:$AM, 10, FALSE), 1)</f>
        <v>1.0592969031861073E-5</v>
      </c>
      <c r="O3" s="7">
        <f>$B3 * IFERROR(VLOOKUP("industry|PM25|Infant mortality", US_national_yearly!$D:$AM, 23, FALSE) / VLOOKUP("industry|PM25|Infant mortality", US_national_yearly!$D:$AM, 10, FALSE), 1)</f>
        <v>1.0546224741265041E-5</v>
      </c>
      <c r="P3" s="7">
        <f>$B3 * IFERROR(VLOOKUP("industry|PM25|Infant mortality", US_national_yearly!$D:$AM, 24, FALSE) / VLOOKUP("industry|PM25|Infant mortality", US_national_yearly!$D:$AM, 10, FALSE), 1)</f>
        <v>1.049948045066901E-5</v>
      </c>
      <c r="Q3" s="7">
        <f>$B3 * IFERROR(VLOOKUP("industry|PM25|Infant mortality", US_national_yearly!$D:$AM, 25, FALSE) / VLOOKUP("industry|PM25|Infant mortality", US_national_yearly!$D:$AM, 10, FALSE), 1)</f>
        <v>1.0452736160072977E-5</v>
      </c>
      <c r="R3" s="7">
        <f>$B3 * IFERROR(VLOOKUP("industry|PM25|Infant mortality", US_national_yearly!$D:$AM, 26, FALSE) / VLOOKUP("industry|PM25|Infant mortality", US_national_yearly!$D:$AM, 10, FALSE), 1)</f>
        <v>1.0405991869476944E-5</v>
      </c>
      <c r="S3" s="7">
        <f>$B3 * IFERROR(VLOOKUP("industry|PM25|Infant mortality", US_national_yearly!$D:$AM, 27, FALSE) / VLOOKUP("industry|PM25|Infant mortality", US_national_yearly!$D:$AM, 10, FALSE), 1)</f>
        <v>1.0348500612603099E-5</v>
      </c>
      <c r="T3" s="7">
        <f>$B3 * IFERROR(VLOOKUP("industry|PM25|Infant mortality", US_national_yearly!$D:$AM, 28, FALSE) / VLOOKUP("industry|PM25|Infant mortality", US_national_yearly!$D:$AM, 10, FALSE), 1)</f>
        <v>1.0291009355729257E-5</v>
      </c>
      <c r="U3" s="7">
        <f>$B3 * IFERROR(VLOOKUP("industry|PM25|Infant mortality", US_national_yearly!$D:$AM, 29, FALSE) / VLOOKUP("industry|PM25|Infant mortality", US_national_yearly!$D:$AM, 10, FALSE), 1)</f>
        <v>1.0233518098855412E-5</v>
      </c>
      <c r="V3" s="7">
        <f>$B3 * IFERROR(VLOOKUP("industry|PM25|Infant mortality", US_national_yearly!$D:$AM, 30, FALSE) / VLOOKUP("industry|PM25|Infant mortality", US_national_yearly!$D:$AM, 10, FALSE), 1)</f>
        <v>1.0176026841981568E-5</v>
      </c>
      <c r="W3" s="7">
        <f>$B3 * IFERROR(VLOOKUP("industry|PM25|Infant mortality", US_national_yearly!$D:$AM, 31, FALSE) / VLOOKUP("industry|PM25|Infant mortality", US_national_yearly!$D:$AM, 10, FALSE), 1)</f>
        <v>1.0118535585107724E-5</v>
      </c>
      <c r="X3" s="7">
        <f>$B3 * IFERROR(VLOOKUP("industry|PM25|Infant mortality", US_national_yearly!$D:$AM, 32, FALSE) / VLOOKUP("industry|PM25|Infant mortality", US_national_yearly!$D:$AM, 10, FALSE), 1)</f>
        <v>1.0057098973283969E-5</v>
      </c>
      <c r="Y3" s="7">
        <f>$B3 * IFERROR(VLOOKUP("industry|PM25|Infant mortality", US_national_yearly!$D:$AM, 33, FALSE) / VLOOKUP("industry|PM25|Infant mortality", US_national_yearly!$D:$AM, 10, FALSE), 1)</f>
        <v>9.995662361460215E-6</v>
      </c>
      <c r="Z3" s="7">
        <f>$B3 * IFERROR(VLOOKUP("industry|PM25|Infant mortality", US_national_yearly!$D:$AM, 34, FALSE) / VLOOKUP("industry|PM25|Infant mortality", US_national_yearly!$D:$AM, 10, FALSE), 1)</f>
        <v>9.9342257496364595E-6</v>
      </c>
      <c r="AA3" s="7">
        <f>$B3 * IFERROR(VLOOKUP("industry|PM25|Infant mortality", US_national_yearly!$D:$AM, 35, FALSE) / VLOOKUP("industry|PM25|Infant mortality", US_national_yearly!$D:$AM, 10, FALSE), 1)</f>
        <v>9.8727891378127057E-6</v>
      </c>
      <c r="AB3" s="7">
        <f>$B3 * IFERROR(VLOOKUP("industry|PM25|Infant mortality", US_national_yearly!$D:$AM, 36, FALSE) / VLOOKUP("industry|PM25|Infant mortality", US_national_yearly!$D:$AM, 10, FALSE), 1)</f>
        <v>9.8113525259889502E-6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4.6753695670961756E-2</v>
      </c>
      <c r="C6" s="7">
        <f>$B6 * IFERROR(VLOOKUP("industry|PM25|Asthma symptoms cough", US_national_yearly!$D:$AM, 11, FALSE) / VLOOKUP("industry|PM25|Asthma symptoms cough", US_national_yearly!$D:$AM, 10, FALSE), 1)</f>
        <v>4.6753695670961756E-2</v>
      </c>
      <c r="D6" s="7">
        <f>$B6 * IFERROR(VLOOKUP("industry|PM25|Asthma symptoms cough", US_national_yearly!$D:$AM, 12, FALSE) / VLOOKUP("industry|PM25|Asthma symptoms cough", US_national_yearly!$D:$AM, 10, FALSE), 1)</f>
        <v>4.6753695670961756E-2</v>
      </c>
      <c r="E6" s="7">
        <f>$B6 * IFERROR(VLOOKUP("industry|PM25|Asthma symptoms cough", US_national_yearly!$D:$AM, 13, FALSE) / VLOOKUP("industry|PM25|Asthma symptoms cough", US_national_yearly!$D:$AM, 10, FALSE), 1)</f>
        <v>4.6753695670961756E-2</v>
      </c>
      <c r="F6" s="7">
        <f>$B6 * IFERROR(VLOOKUP("industry|PM25|Asthma symptoms cough", US_national_yearly!$D:$AM, 14, FALSE) / VLOOKUP("industry|PM25|Asthma symptoms cough", US_national_yearly!$D:$AM, 10, FALSE), 1)</f>
        <v>4.6753695670961756E-2</v>
      </c>
      <c r="G6" s="7">
        <f>$B6 * IFERROR(VLOOKUP("industry|PM25|Asthma symptoms cough", US_national_yearly!$D:$AM, 15, FALSE) / VLOOKUP("industry|PM25|Asthma symptoms cough", US_national_yearly!$D:$AM, 10, FALSE), 1)</f>
        <v>4.6753695670961756E-2</v>
      </c>
      <c r="H6" s="7">
        <f>$B6 * IFERROR(VLOOKUP("industry|PM25|Asthma symptoms cough", US_national_yearly!$D:$AM, 16, FALSE) / VLOOKUP("industry|PM25|Asthma symptoms cough", US_national_yearly!$D:$AM, 10, FALSE), 1)</f>
        <v>4.6753695670961756E-2</v>
      </c>
      <c r="I6" s="7">
        <f>$B6 * IFERROR(VLOOKUP("industry|PM25|Asthma symptoms cough", US_national_yearly!$D:$AM, 17, FALSE) / VLOOKUP("industry|PM25|Asthma symptoms cough", US_national_yearly!$D:$AM, 10, FALSE), 1)</f>
        <v>4.6753695670961756E-2</v>
      </c>
      <c r="J6" s="7">
        <f>$B6 * IFERROR(VLOOKUP("industry|PM25|Asthma symptoms cough", US_national_yearly!$D:$AM, 18, FALSE) / VLOOKUP("industry|PM25|Asthma symptoms cough", US_national_yearly!$D:$AM, 10, FALSE), 1)</f>
        <v>4.6753695670961756E-2</v>
      </c>
      <c r="K6" s="7">
        <f>$B6 * IFERROR(VLOOKUP("industry|PM25|Asthma symptoms cough", US_national_yearly!$D:$AM, 19, FALSE) / VLOOKUP("industry|PM25|Asthma symptoms cough", US_national_yearly!$D:$AM, 10, FALSE), 1)</f>
        <v>4.6753695670961756E-2</v>
      </c>
      <c r="L6" s="7">
        <f>$B6 * IFERROR(VLOOKUP("industry|PM25|Asthma symptoms cough", US_national_yearly!$D:$AM, 20, FALSE) / VLOOKUP("industry|PM25|Asthma symptoms cough", US_national_yearly!$D:$AM, 10, FALSE), 1)</f>
        <v>4.6753695670961756E-2</v>
      </c>
      <c r="M6" s="7">
        <f>$B6 * IFERROR(VLOOKUP("industry|PM25|Asthma symptoms cough", US_national_yearly!$D:$AM, 21, FALSE) / VLOOKUP("industry|PM25|Asthma symptoms cough", US_national_yearly!$D:$AM, 10, FALSE), 1)</f>
        <v>4.6753695670961756E-2</v>
      </c>
      <c r="N6" s="7">
        <f>$B6 * IFERROR(VLOOKUP("industry|PM25|Asthma symptoms cough", US_national_yearly!$D:$AM, 22, FALSE) / VLOOKUP("industry|PM25|Asthma symptoms cough", US_national_yearly!$D:$AM, 10, FALSE), 1)</f>
        <v>4.6753695670961756E-2</v>
      </c>
      <c r="O6" s="7">
        <f>$B6 * IFERROR(VLOOKUP("industry|PM25|Asthma symptoms cough", US_national_yearly!$D:$AM, 23, FALSE) / VLOOKUP("industry|PM25|Asthma symptoms cough", US_national_yearly!$D:$AM, 10, FALSE), 1)</f>
        <v>4.6753695670961756E-2</v>
      </c>
      <c r="P6" s="7">
        <f>$B6 * IFERROR(VLOOKUP("industry|PM25|Asthma symptoms cough", US_national_yearly!$D:$AM, 24, FALSE) / VLOOKUP("industry|PM25|Asthma symptoms cough", US_national_yearly!$D:$AM, 10, FALSE), 1)</f>
        <v>4.6753695670961756E-2</v>
      </c>
      <c r="Q6" s="7">
        <f>$B6 * IFERROR(VLOOKUP("industry|PM25|Asthma symptoms cough", US_national_yearly!$D:$AM, 25, FALSE) / VLOOKUP("industry|PM25|Asthma symptoms cough", US_national_yearly!$D:$AM, 10, FALSE), 1)</f>
        <v>4.6753695670961756E-2</v>
      </c>
      <c r="R6" s="7">
        <f>$B6 * IFERROR(VLOOKUP("industry|PM25|Asthma symptoms cough", US_national_yearly!$D:$AM, 26, FALSE) / VLOOKUP("industry|PM25|Asthma symptoms cough", US_national_yearly!$D:$AM, 10, FALSE), 1)</f>
        <v>4.6753695670961756E-2</v>
      </c>
      <c r="S6" s="7">
        <f>$B6 * IFERROR(VLOOKUP("industry|PM25|Asthma symptoms cough", US_national_yearly!$D:$AM, 27, FALSE) / VLOOKUP("industry|PM25|Asthma symptoms cough", US_national_yearly!$D:$AM, 10, FALSE), 1)</f>
        <v>4.6753695670961756E-2</v>
      </c>
      <c r="T6" s="7">
        <f>$B6 * IFERROR(VLOOKUP("industry|PM25|Asthma symptoms cough", US_national_yearly!$D:$AM, 28, FALSE) / VLOOKUP("industry|PM25|Asthma symptoms cough", US_national_yearly!$D:$AM, 10, FALSE), 1)</f>
        <v>4.6753695670961756E-2</v>
      </c>
      <c r="U6" s="7">
        <f>$B6 * IFERROR(VLOOKUP("industry|PM25|Asthma symptoms cough", US_national_yearly!$D:$AM, 29, FALSE) / VLOOKUP("industry|PM25|Asthma symptoms cough", US_national_yearly!$D:$AM, 10, FALSE), 1)</f>
        <v>4.6753695670961756E-2</v>
      </c>
      <c r="V6" s="7">
        <f>$B6 * IFERROR(VLOOKUP("industry|PM25|Asthma symptoms cough", US_national_yearly!$D:$AM, 30, FALSE) / VLOOKUP("industry|PM25|Asthma symptoms cough", US_national_yearly!$D:$AM, 10, FALSE), 1)</f>
        <v>4.6753695670961756E-2</v>
      </c>
      <c r="W6" s="7">
        <f>$B6 * IFERROR(VLOOKUP("industry|PM25|Asthma symptoms cough", US_national_yearly!$D:$AM, 31, FALSE) / VLOOKUP("industry|PM25|Asthma symptoms cough", US_national_yearly!$D:$AM, 10, FALSE), 1)</f>
        <v>4.6753695670961756E-2</v>
      </c>
      <c r="X6" s="7">
        <f>$B6 * IFERROR(VLOOKUP("industry|PM25|Asthma symptoms cough", US_national_yearly!$D:$AM, 32, FALSE) / VLOOKUP("industry|PM25|Asthma symptoms cough", US_national_yearly!$D:$AM, 10, FALSE), 1)</f>
        <v>4.6753695670961756E-2</v>
      </c>
      <c r="Y6" s="7">
        <f>$B6 * IFERROR(VLOOKUP("industry|PM25|Asthma symptoms cough", US_national_yearly!$D:$AM, 33, FALSE) / VLOOKUP("industry|PM25|Asthma symptoms cough", US_national_yearly!$D:$AM, 10, FALSE), 1)</f>
        <v>4.6753695670961756E-2</v>
      </c>
      <c r="Z6" s="7">
        <f>$B6 * IFERROR(VLOOKUP("industry|PM25|Asthma symptoms cough", US_national_yearly!$D:$AM, 34, FALSE) / VLOOKUP("industry|PM25|Asthma symptoms cough", US_national_yearly!$D:$AM, 10, FALSE), 1)</f>
        <v>4.6753695670961756E-2</v>
      </c>
      <c r="AA6" s="7">
        <f>$B6 * IFERROR(VLOOKUP("industry|PM25|Asthma symptoms cough", US_national_yearly!$D:$AM, 35, FALSE) / VLOOKUP("industry|PM25|Asthma symptoms cough", US_national_yearly!$D:$AM, 10, FALSE), 1)</f>
        <v>4.6753695670961756E-2</v>
      </c>
      <c r="AB6" s="7">
        <f>$B6 * IFERROR(VLOOKUP("industry|PM25|Asthma symptoms cough", US_national_yearly!$D:$AM, 36, FALSE) / VLOOKUP("industry|PM25|Asthma symptoms cough", US_national_yearly!$D:$AM, 10, FALSE), 1)</f>
        <v>4.6753695670961756E-2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6.2957535986498156E-2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6.2957535986498156E-2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6.2957535986498156E-2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6.2957535986498156E-2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6.2957535986498156E-2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6.2957535986498156E-2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6.2957535986498156E-2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6.2957535986498156E-2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6.2957535986498156E-2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6.2957535986498156E-2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6.2957535986498156E-2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6.2957535986498156E-2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6.2957535986498156E-2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6.2957535986498156E-2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6.2957535986498156E-2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6.2957535986498156E-2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6.2957535986498156E-2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6.2957535986498156E-2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6.2957535986498156E-2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6.2957535986498156E-2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6.2957535986498156E-2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6.2957535986498156E-2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6.2957535986498156E-2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6.2957535986498156E-2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6.2957535986498156E-2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6.2957535986498156E-2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6.2957535986498156E-2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9.6199493786767884E-2</v>
      </c>
      <c r="C8" s="7">
        <f>$B8 * IFERROR(VLOOKUP("industry|PM25|Asthma symptoms wheeze", US_national_yearly!$D:$AM, 11, FALSE) / VLOOKUP("industry|PM25|Asthma symptoms wheeze", US_national_yearly!$D:$AM, 10, FALSE), 1)</f>
        <v>9.6199493786767884E-2</v>
      </c>
      <c r="D8" s="7">
        <f>$B8 * IFERROR(VLOOKUP("industry|PM25|Asthma symptoms wheeze", US_national_yearly!$D:$AM, 12, FALSE) / VLOOKUP("industry|PM25|Asthma symptoms wheeze", US_national_yearly!$D:$AM, 10, FALSE), 1)</f>
        <v>9.6199493786767884E-2</v>
      </c>
      <c r="E8" s="7">
        <f>$B8 * IFERROR(VLOOKUP("industry|PM25|Asthma symptoms wheeze", US_national_yearly!$D:$AM, 13, FALSE) / VLOOKUP("industry|PM25|Asthma symptoms wheeze", US_national_yearly!$D:$AM, 10, FALSE), 1)</f>
        <v>9.6199493786767884E-2</v>
      </c>
      <c r="F8" s="7">
        <f>$B8 * IFERROR(VLOOKUP("industry|PM25|Asthma symptoms wheeze", US_national_yearly!$D:$AM, 14, FALSE) / VLOOKUP("industry|PM25|Asthma symptoms wheeze", US_national_yearly!$D:$AM, 10, FALSE), 1)</f>
        <v>9.6199493786767884E-2</v>
      </c>
      <c r="G8" s="7">
        <f>$B8 * IFERROR(VLOOKUP("industry|PM25|Asthma symptoms wheeze", US_national_yearly!$D:$AM, 15, FALSE) / VLOOKUP("industry|PM25|Asthma symptoms wheeze", US_national_yearly!$D:$AM, 10, FALSE), 1)</f>
        <v>9.6199493786767884E-2</v>
      </c>
      <c r="H8" s="7">
        <f>$B8 * IFERROR(VLOOKUP("industry|PM25|Asthma symptoms wheeze", US_national_yearly!$D:$AM, 16, FALSE) / VLOOKUP("industry|PM25|Asthma symptoms wheeze", US_national_yearly!$D:$AM, 10, FALSE), 1)</f>
        <v>9.6199493786767884E-2</v>
      </c>
      <c r="I8" s="7">
        <f>$B8 * IFERROR(VLOOKUP("industry|PM25|Asthma symptoms wheeze", US_national_yearly!$D:$AM, 17, FALSE) / VLOOKUP("industry|PM25|Asthma symptoms wheeze", US_national_yearly!$D:$AM, 10, FALSE), 1)</f>
        <v>9.6199493786767884E-2</v>
      </c>
      <c r="J8" s="7">
        <f>$B8 * IFERROR(VLOOKUP("industry|PM25|Asthma symptoms wheeze", US_national_yearly!$D:$AM, 18, FALSE) / VLOOKUP("industry|PM25|Asthma symptoms wheeze", US_national_yearly!$D:$AM, 10, FALSE), 1)</f>
        <v>9.6199493786767884E-2</v>
      </c>
      <c r="K8" s="7">
        <f>$B8 * IFERROR(VLOOKUP("industry|PM25|Asthma symptoms wheeze", US_national_yearly!$D:$AM, 19, FALSE) / VLOOKUP("industry|PM25|Asthma symptoms wheeze", US_national_yearly!$D:$AM, 10, FALSE), 1)</f>
        <v>9.6199493786767884E-2</v>
      </c>
      <c r="L8" s="7">
        <f>$B8 * IFERROR(VLOOKUP("industry|PM25|Asthma symptoms wheeze", US_national_yearly!$D:$AM, 20, FALSE) / VLOOKUP("industry|PM25|Asthma symptoms wheeze", US_national_yearly!$D:$AM, 10, FALSE), 1)</f>
        <v>9.6199493786767884E-2</v>
      </c>
      <c r="M8" s="7">
        <f>$B8 * IFERROR(VLOOKUP("industry|PM25|Asthma symptoms wheeze", US_national_yearly!$D:$AM, 21, FALSE) / VLOOKUP("industry|PM25|Asthma symptoms wheeze", US_national_yearly!$D:$AM, 10, FALSE), 1)</f>
        <v>9.6199493786767884E-2</v>
      </c>
      <c r="N8" s="7">
        <f>$B8 * IFERROR(VLOOKUP("industry|PM25|Asthma symptoms wheeze", US_national_yearly!$D:$AM, 22, FALSE) / VLOOKUP("industry|PM25|Asthma symptoms wheeze", US_national_yearly!$D:$AM, 10, FALSE), 1)</f>
        <v>9.6199493786767884E-2</v>
      </c>
      <c r="O8" s="7">
        <f>$B8 * IFERROR(VLOOKUP("industry|PM25|Asthma symptoms wheeze", US_national_yearly!$D:$AM, 23, FALSE) / VLOOKUP("industry|PM25|Asthma symptoms wheeze", US_national_yearly!$D:$AM, 10, FALSE), 1)</f>
        <v>9.6199493786767884E-2</v>
      </c>
      <c r="P8" s="7">
        <f>$B8 * IFERROR(VLOOKUP("industry|PM25|Asthma symptoms wheeze", US_national_yearly!$D:$AM, 24, FALSE) / VLOOKUP("industry|PM25|Asthma symptoms wheeze", US_national_yearly!$D:$AM, 10, FALSE), 1)</f>
        <v>9.6199493786767884E-2</v>
      </c>
      <c r="Q8" s="7">
        <f>$B8 * IFERROR(VLOOKUP("industry|PM25|Asthma symptoms wheeze", US_national_yearly!$D:$AM, 25, FALSE) / VLOOKUP("industry|PM25|Asthma symptoms wheeze", US_national_yearly!$D:$AM, 10, FALSE), 1)</f>
        <v>9.6199493786767884E-2</v>
      </c>
      <c r="R8" s="7">
        <f>$B8 * IFERROR(VLOOKUP("industry|PM25|Asthma symptoms wheeze", US_national_yearly!$D:$AM, 26, FALSE) / VLOOKUP("industry|PM25|Asthma symptoms wheeze", US_national_yearly!$D:$AM, 10, FALSE), 1)</f>
        <v>9.6199493786767884E-2</v>
      </c>
      <c r="S8" s="7">
        <f>$B8 * IFERROR(VLOOKUP("industry|PM25|Asthma symptoms wheeze", US_national_yearly!$D:$AM, 27, FALSE) / VLOOKUP("industry|PM25|Asthma symptoms wheeze", US_national_yearly!$D:$AM, 10, FALSE), 1)</f>
        <v>9.6199493786767884E-2</v>
      </c>
      <c r="T8" s="7">
        <f>$B8 * IFERROR(VLOOKUP("industry|PM25|Asthma symptoms wheeze", US_national_yearly!$D:$AM, 28, FALSE) / VLOOKUP("industry|PM25|Asthma symptoms wheeze", US_national_yearly!$D:$AM, 10, FALSE), 1)</f>
        <v>9.6199493786767884E-2</v>
      </c>
      <c r="U8" s="7">
        <f>$B8 * IFERROR(VLOOKUP("industry|PM25|Asthma symptoms wheeze", US_national_yearly!$D:$AM, 29, FALSE) / VLOOKUP("industry|PM25|Asthma symptoms wheeze", US_national_yearly!$D:$AM, 10, FALSE), 1)</f>
        <v>9.6199493786767884E-2</v>
      </c>
      <c r="V8" s="7">
        <f>$B8 * IFERROR(VLOOKUP("industry|PM25|Asthma symptoms wheeze", US_national_yearly!$D:$AM, 30, FALSE) / VLOOKUP("industry|PM25|Asthma symptoms wheeze", US_national_yearly!$D:$AM, 10, FALSE), 1)</f>
        <v>9.6199493786767884E-2</v>
      </c>
      <c r="W8" s="7">
        <f>$B8 * IFERROR(VLOOKUP("industry|PM25|Asthma symptoms wheeze", US_national_yearly!$D:$AM, 31, FALSE) / VLOOKUP("industry|PM25|Asthma symptoms wheeze", US_national_yearly!$D:$AM, 10, FALSE), 1)</f>
        <v>9.6199493786767884E-2</v>
      </c>
      <c r="X8" s="7">
        <f>$B8 * IFERROR(VLOOKUP("industry|PM25|Asthma symptoms wheeze", US_national_yearly!$D:$AM, 32, FALSE) / VLOOKUP("industry|PM25|Asthma symptoms wheeze", US_national_yearly!$D:$AM, 10, FALSE), 1)</f>
        <v>9.6199493786767884E-2</v>
      </c>
      <c r="Y8" s="7">
        <f>$B8 * IFERROR(VLOOKUP("industry|PM25|Asthma symptoms wheeze", US_national_yearly!$D:$AM, 33, FALSE) / VLOOKUP("industry|PM25|Asthma symptoms wheeze", US_national_yearly!$D:$AM, 10, FALSE), 1)</f>
        <v>9.6199493786767884E-2</v>
      </c>
      <c r="Z8" s="7">
        <f>$B8 * IFERROR(VLOOKUP("industry|PM25|Asthma symptoms wheeze", US_national_yearly!$D:$AM, 34, FALSE) / VLOOKUP("industry|PM25|Asthma symptoms wheeze", US_national_yearly!$D:$AM, 10, FALSE), 1)</f>
        <v>9.6199493786767884E-2</v>
      </c>
      <c r="AA8" s="7">
        <f>$B8 * IFERROR(VLOOKUP("industry|PM25|Asthma symptoms wheeze", US_national_yearly!$D:$AM, 35, FALSE) / VLOOKUP("industry|PM25|Asthma symptoms wheeze", US_national_yearly!$D:$AM, 10, FALSE), 1)</f>
        <v>9.6199493786767884E-2</v>
      </c>
      <c r="AB8" s="7">
        <f>$B8 * IFERROR(VLOOKUP("industry|PM25|Asthma symptoms wheeze", US_national_yearly!$D:$AM, 36, FALSE) / VLOOKUP("industry|PM25|Asthma symptoms wheeze", US_national_yearly!$D:$AM, 10, FALSE), 1)</f>
        <v>9.6199493786767884E-2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9.2105849575170747E-4</v>
      </c>
      <c r="C12" s="7">
        <f>$B12 * IFERROR(VLOOKUP("industry|PM25|Respiratory hospital admissions", US_national_yearly!$D:$AM, 11, FALSE) / VLOOKUP("industry|PM25|Respiratory hospital admissions", US_national_yearly!$D:$AM, 10, FALSE), 1)</f>
        <v>9.2628786399461221E-4</v>
      </c>
      <c r="D12" s="7">
        <f>$B12 * IFERROR(VLOOKUP("industry|PM25|Respiratory hospital admissions", US_national_yearly!$D:$AM, 12, FALSE) / VLOOKUP("industry|PM25|Respiratory hospital admissions", US_national_yearly!$D:$AM, 10, FALSE), 1)</f>
        <v>9.3151723223751706E-4</v>
      </c>
      <c r="E12" s="7">
        <f>$B12 * IFERROR(VLOOKUP("industry|PM25|Respiratory hospital admissions", US_national_yearly!$D:$AM, 13, FALSE) / VLOOKUP("industry|PM25|Respiratory hospital admissions", US_national_yearly!$D:$AM, 10, FALSE), 1)</f>
        <v>9.3674660048042181E-4</v>
      </c>
      <c r="F12" s="7">
        <f>$B12 * IFERROR(VLOOKUP("industry|PM25|Respiratory hospital admissions", US_national_yearly!$D:$AM, 14, FALSE) / VLOOKUP("industry|PM25|Respiratory hospital admissions", US_national_yearly!$D:$AM, 10, FALSE), 1)</f>
        <v>9.4197596872332688E-4</v>
      </c>
      <c r="G12" s="7">
        <f>$B12 * IFERROR(VLOOKUP("industry|PM25|Respiratory hospital admissions", US_national_yearly!$D:$AM, 15, FALSE) / VLOOKUP("industry|PM25|Respiratory hospital admissions", US_national_yearly!$D:$AM, 10, FALSE), 1)</f>
        <v>9.4762990216657047E-4</v>
      </c>
      <c r="H12" s="7">
        <f>$B12 * IFERROR(VLOOKUP("industry|PM25|Respiratory hospital admissions", US_national_yearly!$D:$AM, 16, FALSE) / VLOOKUP("industry|PM25|Respiratory hospital admissions", US_national_yearly!$D:$AM, 10, FALSE), 1)</f>
        <v>9.5328383560981417E-4</v>
      </c>
      <c r="I12" s="7">
        <f>$B12 * IFERROR(VLOOKUP("industry|PM25|Respiratory hospital admissions", US_national_yearly!$D:$AM, 17, FALSE) / VLOOKUP("industry|PM25|Respiratory hospital admissions", US_national_yearly!$D:$AM, 10, FALSE), 1)</f>
        <v>9.5864730278202588E-4</v>
      </c>
      <c r="J12" s="7">
        <f>$B12 * IFERROR(VLOOKUP("industry|PM25|Respiratory hospital admissions", US_national_yearly!$D:$AM, 18, FALSE) / VLOOKUP("industry|PM25|Respiratory hospital admissions", US_national_yearly!$D:$AM, 10, FALSE), 1)</f>
        <v>9.6401076995423758E-4</v>
      </c>
      <c r="K12" s="7">
        <f>$B12 * IFERROR(VLOOKUP("industry|PM25|Respiratory hospital admissions", US_national_yearly!$D:$AM, 19, FALSE) / VLOOKUP("industry|PM25|Respiratory hospital admissions", US_national_yearly!$D:$AM, 10, FALSE), 1)</f>
        <v>9.6937423712644907E-4</v>
      </c>
      <c r="L12" s="7">
        <f>$B12 * IFERROR(VLOOKUP("industry|PM25|Respiratory hospital admissions", US_national_yearly!$D:$AM, 20, FALSE) / VLOOKUP("industry|PM25|Respiratory hospital admissions", US_national_yearly!$D:$AM, 10, FALSE), 1)</f>
        <v>9.7473770429866078E-4</v>
      </c>
      <c r="M12" s="7">
        <f>$B12 * IFERROR(VLOOKUP("industry|PM25|Respiratory hospital admissions", US_national_yearly!$D:$AM, 21, FALSE) / VLOOKUP("industry|PM25|Respiratory hospital admissions", US_national_yearly!$D:$AM, 10, FALSE), 1)</f>
        <v>9.8010117147087237E-4</v>
      </c>
      <c r="N12" s="7">
        <f>$B12 * IFERROR(VLOOKUP("industry|PM25|Respiratory hospital admissions", US_national_yearly!$D:$AM, 22, FALSE) / VLOOKUP("industry|PM25|Respiratory hospital admissions", US_national_yearly!$D:$AM, 10, FALSE), 1)</f>
        <v>9.8389460155829506E-4</v>
      </c>
      <c r="O12" s="7">
        <f>$B12 * IFERROR(VLOOKUP("industry|PM25|Respiratory hospital admissions", US_national_yearly!$D:$AM, 23, FALSE) / VLOOKUP("industry|PM25|Respiratory hospital admissions", US_national_yearly!$D:$AM, 10, FALSE), 1)</f>
        <v>9.8768803164571753E-4</v>
      </c>
      <c r="P12" s="7">
        <f>$B12 * IFERROR(VLOOKUP("industry|PM25|Respiratory hospital admissions", US_national_yearly!$D:$AM, 24, FALSE) / VLOOKUP("industry|PM25|Respiratory hospital admissions", US_national_yearly!$D:$AM, 10, FALSE), 1)</f>
        <v>9.9148146173314001E-4</v>
      </c>
      <c r="Q12" s="7">
        <f>$B12 * IFERROR(VLOOKUP("industry|PM25|Respiratory hospital admissions", US_national_yearly!$D:$AM, 25, FALSE) / VLOOKUP("industry|PM25|Respiratory hospital admissions", US_national_yearly!$D:$AM, 10, FALSE), 1)</f>
        <v>9.9527489182056248E-4</v>
      </c>
      <c r="R12" s="7">
        <f>$B12 * IFERROR(VLOOKUP("industry|PM25|Respiratory hospital admissions", US_national_yearly!$D:$AM, 26, FALSE) / VLOOKUP("industry|PM25|Respiratory hospital admissions", US_national_yearly!$D:$AM, 10, FALSE), 1)</f>
        <v>9.9906832190798517E-4</v>
      </c>
      <c r="S12" s="7">
        <f>$B12 * IFERROR(VLOOKUP("industry|PM25|Respiratory hospital admissions", US_national_yearly!$D:$AM, 27, FALSE) / VLOOKUP("industry|PM25|Respiratory hospital admissions", US_national_yearly!$D:$AM, 10, FALSE), 1)</f>
        <v>1.0026461971490883E-3</v>
      </c>
      <c r="T12" s="7">
        <f>$B12 * IFERROR(VLOOKUP("industry|PM25|Respiratory hospital admissions", US_national_yearly!$D:$AM, 28, FALSE) / VLOOKUP("industry|PM25|Respiratory hospital admissions", US_national_yearly!$D:$AM, 10, FALSE), 1)</f>
        <v>1.0062240723901915E-3</v>
      </c>
      <c r="U12" s="7">
        <f>$B12 * IFERROR(VLOOKUP("industry|PM25|Respiratory hospital admissions", US_national_yearly!$D:$AM, 29, FALSE) / VLOOKUP("industry|PM25|Respiratory hospital admissions", US_national_yearly!$D:$AM, 10, FALSE), 1)</f>
        <v>1.0098019476312947E-3</v>
      </c>
      <c r="V12" s="7">
        <f>$B12 * IFERROR(VLOOKUP("industry|PM25|Respiratory hospital admissions", US_national_yearly!$D:$AM, 30, FALSE) / VLOOKUP("industry|PM25|Respiratory hospital admissions", US_national_yearly!$D:$AM, 10, FALSE), 1)</f>
        <v>1.0133798228723978E-3</v>
      </c>
      <c r="W12" s="7">
        <f>$B12 * IFERROR(VLOOKUP("industry|PM25|Respiratory hospital admissions", US_national_yearly!$D:$AM, 31, FALSE) / VLOOKUP("industry|PM25|Respiratory hospital admissions", US_national_yearly!$D:$AM, 10, FALSE), 1)</f>
        <v>1.0169576981135012E-3</v>
      </c>
      <c r="X12" s="7">
        <f>$B12 * IFERROR(VLOOKUP("industry|PM25|Respiratory hospital admissions", US_national_yearly!$D:$AM, 32, FALSE) / VLOOKUP("industry|PM25|Respiratory hospital admissions", US_national_yearly!$D:$AM, 10, FALSE), 1)</f>
        <v>1.0204026717968427E-3</v>
      </c>
      <c r="Y12" s="7">
        <f>$B12 * IFERROR(VLOOKUP("industry|PM25|Respiratory hospital admissions", US_national_yearly!$D:$AM, 33, FALSE) / VLOOKUP("industry|PM25|Respiratory hospital admissions", US_national_yearly!$D:$AM, 10, FALSE), 1)</f>
        <v>1.0238476454801843E-3</v>
      </c>
      <c r="Z12" s="7">
        <f>$B12 * IFERROR(VLOOKUP("industry|PM25|Respiratory hospital admissions", US_national_yearly!$D:$AM, 34, FALSE) / VLOOKUP("industry|PM25|Respiratory hospital admissions", US_national_yearly!$D:$AM, 10, FALSE), 1)</f>
        <v>1.027292619163526E-3</v>
      </c>
      <c r="AA12" s="7">
        <f>$B12 * IFERROR(VLOOKUP("industry|PM25|Respiratory hospital admissions", US_national_yearly!$D:$AM, 35, FALSE) / VLOOKUP("industry|PM25|Respiratory hospital admissions", US_national_yearly!$D:$AM, 10, FALSE), 1)</f>
        <v>1.0307375928468676E-3</v>
      </c>
      <c r="AB12" s="7">
        <f>$B12 * IFERROR(VLOOKUP("industry|PM25|Respiratory hospital admissions", US_national_yearly!$D:$AM, 36, FALSE) / VLOOKUP("industry|PM25|Respiratory hospital admissions", US_national_yearly!$D:$AM, 10, FALSE), 1)</f>
        <v>1.0341825665302091E-3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6.7221151536131117E-3</v>
      </c>
      <c r="C13" s="7">
        <f>$B13 * IFERROR(VLOOKUP("industry|PM25|Non-fatal heart attacks", US_national_yearly!$D:$AM, 11, FALSE) / VLOOKUP("industry|PM25|Non-fatal heart attacks", US_national_yearly!$D:$AM, 10, FALSE), 1)</f>
        <v>6.9177976883131259E-3</v>
      </c>
      <c r="D13" s="7">
        <f>$B13 * IFERROR(VLOOKUP("industry|PM25|Non-fatal heart attacks", US_national_yearly!$D:$AM, 12, FALSE) / VLOOKUP("industry|PM25|Non-fatal heart attacks", US_national_yearly!$D:$AM, 10, FALSE), 1)</f>
        <v>7.1134802230131385E-3</v>
      </c>
      <c r="E13" s="7">
        <f>$B13 * IFERROR(VLOOKUP("industry|PM25|Non-fatal heart attacks", US_national_yearly!$D:$AM, 13, FALSE) / VLOOKUP("industry|PM25|Non-fatal heart attacks", US_national_yearly!$D:$AM, 10, FALSE), 1)</f>
        <v>7.3091627577131519E-3</v>
      </c>
      <c r="F13" s="7">
        <f>$B13 * IFERROR(VLOOKUP("industry|PM25|Non-fatal heart attacks", US_national_yearly!$D:$AM, 14, FALSE) / VLOOKUP("industry|PM25|Non-fatal heart attacks", US_national_yearly!$D:$AM, 10, FALSE), 1)</f>
        <v>7.5048452924131662E-3</v>
      </c>
      <c r="G13" s="7">
        <f>$B13 * IFERROR(VLOOKUP("industry|PM25|Non-fatal heart attacks", US_national_yearly!$D:$AM, 15, FALSE) / VLOOKUP("industry|PM25|Non-fatal heart attacks", US_national_yearly!$D:$AM, 10, FALSE), 1)</f>
        <v>7.6895833642407147E-3</v>
      </c>
      <c r="H13" s="7">
        <f>$B13 * IFERROR(VLOOKUP("industry|PM25|Non-fatal heart attacks", US_national_yearly!$D:$AM, 16, FALSE) / VLOOKUP("industry|PM25|Non-fatal heart attacks", US_national_yearly!$D:$AM, 10, FALSE), 1)</f>
        <v>7.8743214360682649E-3</v>
      </c>
      <c r="I13" s="7">
        <f>$B13 * IFERROR(VLOOKUP("industry|PM25|Non-fatal heart attacks", US_national_yearly!$D:$AM, 17, FALSE) / VLOOKUP("industry|PM25|Non-fatal heart attacks", US_national_yearly!$D:$AM, 10, FALSE), 1)</f>
        <v>8.0234991351680295E-3</v>
      </c>
      <c r="J13" s="7">
        <f>$B13 * IFERROR(VLOOKUP("industry|PM25|Non-fatal heart attacks", US_national_yearly!$D:$AM, 18, FALSE) / VLOOKUP("industry|PM25|Non-fatal heart attacks", US_national_yearly!$D:$AM, 10, FALSE), 1)</f>
        <v>8.1726768342677922E-3</v>
      </c>
      <c r="K13" s="7">
        <f>$B13 * IFERROR(VLOOKUP("industry|PM25|Non-fatal heart attacks", US_national_yearly!$D:$AM, 19, FALSE) / VLOOKUP("industry|PM25|Non-fatal heart attacks", US_national_yearly!$D:$AM, 10, FALSE), 1)</f>
        <v>8.3218545333675568E-3</v>
      </c>
      <c r="L13" s="7">
        <f>$B13 * IFERROR(VLOOKUP("industry|PM25|Non-fatal heart attacks", US_national_yearly!$D:$AM, 20, FALSE) / VLOOKUP("industry|PM25|Non-fatal heart attacks", US_national_yearly!$D:$AM, 10, FALSE), 1)</f>
        <v>8.4710322324673196E-3</v>
      </c>
      <c r="M13" s="7">
        <f>$B13 * IFERROR(VLOOKUP("industry|PM25|Non-fatal heart attacks", US_national_yearly!$D:$AM, 21, FALSE) / VLOOKUP("industry|PM25|Non-fatal heart attacks", US_national_yearly!$D:$AM, 10, FALSE), 1)</f>
        <v>8.6202099315670824E-3</v>
      </c>
      <c r="N13" s="7">
        <f>$B13 * IFERROR(VLOOKUP("industry|PM25|Non-fatal heart attacks", US_national_yearly!$D:$AM, 22, FALSE) / VLOOKUP("industry|PM25|Non-fatal heart attacks", US_national_yearly!$D:$AM, 10, FALSE), 1)</f>
        <v>8.7166616218792882E-3</v>
      </c>
      <c r="O13" s="7">
        <f>$B13 * IFERROR(VLOOKUP("industry|PM25|Non-fatal heart attacks", US_national_yearly!$D:$AM, 23, FALSE) / VLOOKUP("industry|PM25|Non-fatal heart attacks", US_national_yearly!$D:$AM, 10, FALSE), 1)</f>
        <v>8.8131133121914923E-3</v>
      </c>
      <c r="P13" s="7">
        <f>$B13 * IFERROR(VLOOKUP("industry|PM25|Non-fatal heart attacks", US_national_yearly!$D:$AM, 24, FALSE) / VLOOKUP("industry|PM25|Non-fatal heart attacks", US_national_yearly!$D:$AM, 10, FALSE), 1)</f>
        <v>8.9095650025036964E-3</v>
      </c>
      <c r="Q13" s="7">
        <f>$B13 * IFERROR(VLOOKUP("industry|PM25|Non-fatal heart attacks", US_national_yearly!$D:$AM, 25, FALSE) / VLOOKUP("industry|PM25|Non-fatal heart attacks", US_national_yearly!$D:$AM, 10, FALSE), 1)</f>
        <v>9.0060166928159005E-3</v>
      </c>
      <c r="R13" s="7">
        <f>$B13 * IFERROR(VLOOKUP("industry|PM25|Non-fatal heart attacks", US_national_yearly!$D:$AM, 26, FALSE) / VLOOKUP("industry|PM25|Non-fatal heart attacks", US_national_yearly!$D:$AM, 10, FALSE), 1)</f>
        <v>9.1024683831281046E-3</v>
      </c>
      <c r="S13" s="7">
        <f>$B13 * IFERROR(VLOOKUP("industry|PM25|Non-fatal heart attacks", US_national_yearly!$D:$AM, 27, FALSE) / VLOOKUP("industry|PM25|Non-fatal heart attacks", US_national_yearly!$D:$AM, 10, FALSE), 1)</f>
        <v>9.1539835964419298E-3</v>
      </c>
      <c r="T13" s="7">
        <f>$B13 * IFERROR(VLOOKUP("industry|PM25|Non-fatal heart attacks", US_national_yearly!$D:$AM, 28, FALSE) / VLOOKUP("industry|PM25|Non-fatal heart attacks", US_national_yearly!$D:$AM, 10, FALSE), 1)</f>
        <v>9.2054988097557602E-3</v>
      </c>
      <c r="U13" s="7">
        <f>$B13 * IFERROR(VLOOKUP("industry|PM25|Non-fatal heart attacks", US_national_yearly!$D:$AM, 29, FALSE) / VLOOKUP("industry|PM25|Non-fatal heart attacks", US_national_yearly!$D:$AM, 10, FALSE), 1)</f>
        <v>9.2570140230695871E-3</v>
      </c>
      <c r="V13" s="7">
        <f>$B13 * IFERROR(VLOOKUP("industry|PM25|Non-fatal heart attacks", US_national_yearly!$D:$AM, 30, FALSE) / VLOOKUP("industry|PM25|Non-fatal heart attacks", US_national_yearly!$D:$AM, 10, FALSE), 1)</f>
        <v>9.3085292363834123E-3</v>
      </c>
      <c r="W13" s="7">
        <f>$B13 * IFERROR(VLOOKUP("industry|PM25|Non-fatal heart attacks", US_national_yearly!$D:$AM, 31, FALSE) / VLOOKUP("industry|PM25|Non-fatal heart attacks", US_national_yearly!$D:$AM, 10, FALSE), 1)</f>
        <v>9.3600444496972426E-3</v>
      </c>
      <c r="X13" s="7">
        <f>$B13 * IFERROR(VLOOKUP("industry|PM25|Non-fatal heart attacks", US_national_yearly!$D:$AM, 32, FALSE) / VLOOKUP("industry|PM25|Non-fatal heart attacks", US_national_yearly!$D:$AM, 10, FALSE), 1)</f>
        <v>9.3998035588954577E-3</v>
      </c>
      <c r="Y13" s="7">
        <f>$B13 * IFERROR(VLOOKUP("industry|PM25|Non-fatal heart attacks", US_national_yearly!$D:$AM, 33, FALSE) / VLOOKUP("industry|PM25|Non-fatal heart attacks", US_national_yearly!$D:$AM, 10, FALSE), 1)</f>
        <v>9.4395626680936727E-3</v>
      </c>
      <c r="Z13" s="7">
        <f>$B13 * IFERROR(VLOOKUP("industry|PM25|Non-fatal heart attacks", US_national_yearly!$D:$AM, 34, FALSE) / VLOOKUP("industry|PM25|Non-fatal heart attacks", US_national_yearly!$D:$AM, 10, FALSE), 1)</f>
        <v>9.4793217772918895E-3</v>
      </c>
      <c r="AA13" s="7">
        <f>$B13 * IFERROR(VLOOKUP("industry|PM25|Non-fatal heart attacks", US_national_yearly!$D:$AM, 35, FALSE) / VLOOKUP("industry|PM25|Non-fatal heart attacks", US_national_yearly!$D:$AM, 10, FALSE), 1)</f>
        <v>9.5190808864901062E-3</v>
      </c>
      <c r="AB13" s="7">
        <f>$B13 * IFERROR(VLOOKUP("industry|PM25|Non-fatal heart attacks", US_national_yearly!$D:$AM, 36, FALSE) / VLOOKUP("industry|PM25|Non-fatal heart attacks", US_national_yearly!$D:$AM, 10, FALSE), 1)</f>
        <v>9.558839995688323E-3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6.0482509679627183</v>
      </c>
      <c r="C14" s="7">
        <f>$B14 * IFERROR(VLOOKUP("industry|PM25|Minor restricted activity days", US_national_yearly!$D:$AM, 11, FALSE) / VLOOKUP("industry|PM25|Minor restricted activity days", US_national_yearly!$D:$AM, 10, FALSE), 1)</f>
        <v>6.0630641371158331</v>
      </c>
      <c r="D14" s="7">
        <f>$B14 * IFERROR(VLOOKUP("industry|PM25|Minor restricted activity days", US_national_yearly!$D:$AM, 12, FALSE) / VLOOKUP("industry|PM25|Minor restricted activity days", US_national_yearly!$D:$AM, 10, FALSE), 1)</f>
        <v>6.0778773062689488</v>
      </c>
      <c r="E14" s="7">
        <f>$B14 * IFERROR(VLOOKUP("industry|PM25|Minor restricted activity days", US_national_yearly!$D:$AM, 13, FALSE) / VLOOKUP("industry|PM25|Minor restricted activity days", US_national_yearly!$D:$AM, 10, FALSE), 1)</f>
        <v>6.0926904754220628</v>
      </c>
      <c r="F14" s="7">
        <f>$B14 * IFERROR(VLOOKUP("industry|PM25|Minor restricted activity days", US_national_yearly!$D:$AM, 14, FALSE) / VLOOKUP("industry|PM25|Minor restricted activity days", US_national_yearly!$D:$AM, 10, FALSE), 1)</f>
        <v>6.1075036445751776</v>
      </c>
      <c r="G14" s="7">
        <f>$B14 * IFERROR(VLOOKUP("industry|PM25|Minor restricted activity days", US_national_yearly!$D:$AM, 15, FALSE) / VLOOKUP("industry|PM25|Minor restricted activity days", US_national_yearly!$D:$AM, 10, FALSE), 1)</f>
        <v>6.1292469693272862</v>
      </c>
      <c r="H14" s="7">
        <f>$B14 * IFERROR(VLOOKUP("industry|PM25|Minor restricted activity days", US_national_yearly!$D:$AM, 16, FALSE) / VLOOKUP("industry|PM25|Minor restricted activity days", US_national_yearly!$D:$AM, 10, FALSE), 1)</f>
        <v>6.150990294079393</v>
      </c>
      <c r="I14" s="7">
        <f>$B14 * IFERROR(VLOOKUP("industry|PM25|Minor restricted activity days", US_national_yearly!$D:$AM, 17, FALSE) / VLOOKUP("industry|PM25|Minor restricted activity days", US_national_yearly!$D:$AM, 10, FALSE), 1)</f>
        <v>6.1879266120284004</v>
      </c>
      <c r="J14" s="7">
        <f>$B14 * IFERROR(VLOOKUP("industry|PM25|Minor restricted activity days", US_national_yearly!$D:$AM, 18, FALSE) / VLOOKUP("industry|PM25|Minor restricted activity days", US_national_yearly!$D:$AM, 10, FALSE), 1)</f>
        <v>6.2248629299774096</v>
      </c>
      <c r="K14" s="7">
        <f>$B14 * IFERROR(VLOOKUP("industry|PM25|Minor restricted activity days", US_national_yearly!$D:$AM, 19, FALSE) / VLOOKUP("industry|PM25|Minor restricted activity days", US_national_yearly!$D:$AM, 10, FALSE), 1)</f>
        <v>6.2617992479264153</v>
      </c>
      <c r="L14" s="7">
        <f>$B14 * IFERROR(VLOOKUP("industry|PM25|Minor restricted activity days", US_national_yearly!$D:$AM, 20, FALSE) / VLOOKUP("industry|PM25|Minor restricted activity days", US_national_yearly!$D:$AM, 10, FALSE), 1)</f>
        <v>6.2987355658754227</v>
      </c>
      <c r="M14" s="7">
        <f>$B14 * IFERROR(VLOOKUP("industry|PM25|Minor restricted activity days", US_national_yearly!$D:$AM, 21, FALSE) / VLOOKUP("industry|PM25|Minor restricted activity days", US_national_yearly!$D:$AM, 10, FALSE), 1)</f>
        <v>6.3356718838244293</v>
      </c>
      <c r="N14" s="7">
        <f>$B14 * IFERROR(VLOOKUP("industry|PM25|Minor restricted activity days", US_national_yearly!$D:$AM, 22, FALSE) / VLOOKUP("industry|PM25|Minor restricted activity days", US_national_yearly!$D:$AM, 10, FALSE), 1)</f>
        <v>6.3861305412691651</v>
      </c>
      <c r="O14" s="7">
        <f>$B14 * IFERROR(VLOOKUP("industry|PM25|Minor restricted activity days", US_national_yearly!$D:$AM, 23, FALSE) / VLOOKUP("industry|PM25|Minor restricted activity days", US_national_yearly!$D:$AM, 10, FALSE), 1)</f>
        <v>6.4365891987139054</v>
      </c>
      <c r="P14" s="7">
        <f>$B14 * IFERROR(VLOOKUP("industry|PM25|Minor restricted activity days", US_national_yearly!$D:$AM, 24, FALSE) / VLOOKUP("industry|PM25|Minor restricted activity days", US_national_yearly!$D:$AM, 10, FALSE), 1)</f>
        <v>6.4870478561586404</v>
      </c>
      <c r="Q14" s="7">
        <f>$B14 * IFERROR(VLOOKUP("industry|PM25|Minor restricted activity days", US_national_yearly!$D:$AM, 25, FALSE) / VLOOKUP("industry|PM25|Minor restricted activity days", US_national_yearly!$D:$AM, 10, FALSE), 1)</f>
        <v>6.5375065136033825</v>
      </c>
      <c r="R14" s="7">
        <f>$B14 * IFERROR(VLOOKUP("industry|PM25|Minor restricted activity days", US_national_yearly!$D:$AM, 26, FALSE) / VLOOKUP("industry|PM25|Minor restricted activity days", US_national_yearly!$D:$AM, 10, FALSE), 1)</f>
        <v>6.5879651710481175</v>
      </c>
      <c r="S14" s="7">
        <f>$B14 * IFERROR(VLOOKUP("industry|PM25|Minor restricted activity days", US_national_yearly!$D:$AM, 27, FALSE) / VLOOKUP("industry|PM25|Minor restricted activity days", US_national_yearly!$D:$AM, 10, FALSE), 1)</f>
        <v>6.6389082513385533</v>
      </c>
      <c r="T14" s="7">
        <f>$B14 * IFERROR(VLOOKUP("industry|PM25|Minor restricted activity days", US_national_yearly!$D:$AM, 28, FALSE) / VLOOKUP("industry|PM25|Minor restricted activity days", US_national_yearly!$D:$AM, 10, FALSE), 1)</f>
        <v>6.6898513316289909</v>
      </c>
      <c r="U14" s="7">
        <f>$B14 * IFERROR(VLOOKUP("industry|PM25|Minor restricted activity days", US_national_yearly!$D:$AM, 29, FALSE) / VLOOKUP("industry|PM25|Minor restricted activity days", US_national_yearly!$D:$AM, 10, FALSE), 1)</f>
        <v>6.7407944119194267</v>
      </c>
      <c r="V14" s="7">
        <f>$B14 * IFERROR(VLOOKUP("industry|PM25|Minor restricted activity days", US_national_yearly!$D:$AM, 30, FALSE) / VLOOKUP("industry|PM25|Minor restricted activity days", US_national_yearly!$D:$AM, 10, FALSE), 1)</f>
        <v>6.7917374922098626</v>
      </c>
      <c r="W14" s="7">
        <f>$B14 * IFERROR(VLOOKUP("industry|PM25|Minor restricted activity days", US_national_yearly!$D:$AM, 31, FALSE) / VLOOKUP("industry|PM25|Minor restricted activity days", US_national_yearly!$D:$AM, 10, FALSE), 1)</f>
        <v>6.8426805725002993</v>
      </c>
      <c r="X14" s="7">
        <f>$B14 * IFERROR(VLOOKUP("industry|PM25|Minor restricted activity days", US_national_yearly!$D:$AM, 32, FALSE) / VLOOKUP("industry|PM25|Minor restricted activity days", US_national_yearly!$D:$AM, 10, FALSE), 1)</f>
        <v>6.8869482435853167</v>
      </c>
      <c r="Y14" s="7">
        <f>$B14 * IFERROR(VLOOKUP("industry|PM25|Minor restricted activity days", US_national_yearly!$D:$AM, 33, FALSE) / VLOOKUP("industry|PM25|Minor restricted activity days", US_national_yearly!$D:$AM, 10, FALSE), 1)</f>
        <v>6.9312159146703358</v>
      </c>
      <c r="Z14" s="7">
        <f>$B14 * IFERROR(VLOOKUP("industry|PM25|Minor restricted activity days", US_national_yearly!$D:$AM, 34, FALSE) / VLOOKUP("industry|PM25|Minor restricted activity days", US_national_yearly!$D:$AM, 10, FALSE), 1)</f>
        <v>6.975483585755355</v>
      </c>
      <c r="AA14" s="7">
        <f>$B14 * IFERROR(VLOOKUP("industry|PM25|Minor restricted activity days", US_national_yearly!$D:$AM, 35, FALSE) / VLOOKUP("industry|PM25|Minor restricted activity days", US_national_yearly!$D:$AM, 10, FALSE), 1)</f>
        <v>7.0197512568403733</v>
      </c>
      <c r="AB14" s="7">
        <f>$B14 * IFERROR(VLOOKUP("industry|PM25|Minor restricted activity days", US_national_yearly!$D:$AM, 36, FALSE) / VLOOKUP("industry|PM25|Minor restricted activity days", US_national_yearly!$D:$AM, 10, FALSE), 1)</f>
        <v>7.0640189279253924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1.02948368319706</v>
      </c>
      <c r="C15" s="7">
        <f>$B15 * IFERROR(VLOOKUP("industry|PM25|Work loss days", US_national_yearly!$D:$AM, 11, FALSE) / VLOOKUP("industry|PM25|Work loss days", US_national_yearly!$D:$AM, 10, FALSE), 1)</f>
        <v>1.0326754959521711</v>
      </c>
      <c r="D15" s="7">
        <f>$B15 * IFERROR(VLOOKUP("industry|PM25|Work loss days", US_national_yearly!$D:$AM, 12, FALSE) / VLOOKUP("industry|PM25|Work loss days", US_national_yearly!$D:$AM, 10, FALSE), 1)</f>
        <v>1.0358673087072823</v>
      </c>
      <c r="E15" s="7">
        <f>$B15 * IFERROR(VLOOKUP("industry|PM25|Work loss days", US_national_yearly!$D:$AM, 13, FALSE) / VLOOKUP("industry|PM25|Work loss days", US_national_yearly!$D:$AM, 10, FALSE), 1)</f>
        <v>1.0390591214623932</v>
      </c>
      <c r="F15" s="7">
        <f>$B15 * IFERROR(VLOOKUP("industry|PM25|Work loss days", US_national_yearly!$D:$AM, 14, FALSE) / VLOOKUP("industry|PM25|Work loss days", US_national_yearly!$D:$AM, 10, FALSE), 1)</f>
        <v>1.0422509342175044</v>
      </c>
      <c r="G15" s="7">
        <f>$B15 * IFERROR(VLOOKUP("industry|PM25|Work loss days", US_national_yearly!$D:$AM, 15, FALSE) / VLOOKUP("industry|PM25|Work loss days", US_national_yearly!$D:$AM, 10, FALSE), 1)</f>
        <v>1.0464179855223186</v>
      </c>
      <c r="H15" s="7">
        <f>$B15 * IFERROR(VLOOKUP("industry|PM25|Work loss days", US_national_yearly!$D:$AM, 16, FALSE) / VLOOKUP("industry|PM25|Work loss days", US_national_yearly!$D:$AM, 10, FALSE), 1)</f>
        <v>1.0505850368271328</v>
      </c>
      <c r="I15" s="7">
        <f>$B15 * IFERROR(VLOOKUP("industry|PM25|Work loss days", US_national_yearly!$D:$AM, 17, FALSE) / VLOOKUP("industry|PM25|Work loss days", US_national_yearly!$D:$AM, 10, FALSE), 1)</f>
        <v>1.0566869261590355</v>
      </c>
      <c r="J15" s="7">
        <f>$B15 * IFERROR(VLOOKUP("industry|PM25|Work loss days", US_national_yearly!$D:$AM, 18, FALSE) / VLOOKUP("industry|PM25|Work loss days", US_national_yearly!$D:$AM, 10, FALSE), 1)</f>
        <v>1.0627888154909384</v>
      </c>
      <c r="K15" s="7">
        <f>$B15 * IFERROR(VLOOKUP("industry|PM25|Work loss days", US_national_yearly!$D:$AM, 19, FALSE) / VLOOKUP("industry|PM25|Work loss days", US_national_yearly!$D:$AM, 10, FALSE), 1)</f>
        <v>1.0688907048228411</v>
      </c>
      <c r="L15" s="7">
        <f>$B15 * IFERROR(VLOOKUP("industry|PM25|Work loss days", US_national_yearly!$D:$AM, 20, FALSE) / VLOOKUP("industry|PM25|Work loss days", US_national_yearly!$D:$AM, 10, FALSE), 1)</f>
        <v>1.0749925941547438</v>
      </c>
      <c r="M15" s="7">
        <f>$B15 * IFERROR(VLOOKUP("industry|PM25|Work loss days", US_national_yearly!$D:$AM, 21, FALSE) / VLOOKUP("industry|PM25|Work loss days", US_national_yearly!$D:$AM, 10, FALSE), 1)</f>
        <v>1.0810944834866467</v>
      </c>
      <c r="N15" s="7">
        <f>$B15 * IFERROR(VLOOKUP("industry|PM25|Work loss days", US_national_yearly!$D:$AM, 22, FALSE) / VLOOKUP("industry|PM25|Work loss days", US_national_yearly!$D:$AM, 10, FALSE), 1)</f>
        <v>1.0887942669024131</v>
      </c>
      <c r="O15" s="7">
        <f>$B15 * IFERROR(VLOOKUP("industry|PM25|Work loss days", US_national_yearly!$D:$AM, 23, FALSE) / VLOOKUP("industry|PM25|Work loss days", US_national_yearly!$D:$AM, 10, FALSE), 1)</f>
        <v>1.0964940503181795</v>
      </c>
      <c r="P15" s="7">
        <f>$B15 * IFERROR(VLOOKUP("industry|PM25|Work loss days", US_national_yearly!$D:$AM, 24, FALSE) / VLOOKUP("industry|PM25|Work loss days", US_national_yearly!$D:$AM, 10, FALSE), 1)</f>
        <v>1.1041938337339459</v>
      </c>
      <c r="Q15" s="7">
        <f>$B15 * IFERROR(VLOOKUP("industry|PM25|Work loss days", US_national_yearly!$D:$AM, 25, FALSE) / VLOOKUP("industry|PM25|Work loss days", US_national_yearly!$D:$AM, 10, FALSE), 1)</f>
        <v>1.1118936171497122</v>
      </c>
      <c r="R15" s="7">
        <f>$B15 * IFERROR(VLOOKUP("industry|PM25|Work loss days", US_national_yearly!$D:$AM, 26, FALSE) / VLOOKUP("industry|PM25|Work loss days", US_national_yearly!$D:$AM, 10, FALSE), 1)</f>
        <v>1.1195934005654784</v>
      </c>
      <c r="S15" s="7">
        <f>$B15 * IFERROR(VLOOKUP("industry|PM25|Work loss days", US_national_yearly!$D:$AM, 27, FALSE) / VLOOKUP("industry|PM25|Work loss days", US_national_yearly!$D:$AM, 10, FALSE), 1)</f>
        <v>1.1281313687870071</v>
      </c>
      <c r="T15" s="7">
        <f>$B15 * IFERROR(VLOOKUP("industry|PM25|Work loss days", US_national_yearly!$D:$AM, 28, FALSE) / VLOOKUP("industry|PM25|Work loss days", US_national_yearly!$D:$AM, 10, FALSE), 1)</f>
        <v>1.1366693370085357</v>
      </c>
      <c r="U15" s="7">
        <f>$B15 * IFERROR(VLOOKUP("industry|PM25|Work loss days", US_national_yearly!$D:$AM, 29, FALSE) / VLOOKUP("industry|PM25|Work loss days", US_national_yearly!$D:$AM, 10, FALSE), 1)</f>
        <v>1.145207305230064</v>
      </c>
      <c r="V15" s="7">
        <f>$B15 * IFERROR(VLOOKUP("industry|PM25|Work loss days", US_national_yearly!$D:$AM, 30, FALSE) / VLOOKUP("industry|PM25|Work loss days", US_national_yearly!$D:$AM, 10, FALSE), 1)</f>
        <v>1.1537452734515925</v>
      </c>
      <c r="W15" s="7">
        <f>$B15 * IFERROR(VLOOKUP("industry|PM25|Work loss days", US_national_yearly!$D:$AM, 31, FALSE) / VLOOKUP("industry|PM25|Work loss days", US_national_yearly!$D:$AM, 10, FALSE), 1)</f>
        <v>1.1622832416731212</v>
      </c>
      <c r="X15" s="7">
        <f>$B15 * IFERROR(VLOOKUP("industry|PM25|Work loss days", US_national_yearly!$D:$AM, 32, FALSE) / VLOOKUP("industry|PM25|Work loss days", US_national_yearly!$D:$AM, 10, FALSE), 1)</f>
        <v>1.1698703490957205</v>
      </c>
      <c r="Y15" s="7">
        <f>$B15 * IFERROR(VLOOKUP("industry|PM25|Work loss days", US_national_yearly!$D:$AM, 33, FALSE) / VLOOKUP("industry|PM25|Work loss days", US_national_yearly!$D:$AM, 10, FALSE), 1)</f>
        <v>1.17745745651832</v>
      </c>
      <c r="Z15" s="7">
        <f>$B15 * IFERROR(VLOOKUP("industry|PM25|Work loss days", US_national_yearly!$D:$AM, 34, FALSE) / VLOOKUP("industry|PM25|Work loss days", US_national_yearly!$D:$AM, 10, FALSE), 1)</f>
        <v>1.1850445639409195</v>
      </c>
      <c r="AA15" s="7">
        <f>$B15 * IFERROR(VLOOKUP("industry|PM25|Work loss days", US_national_yearly!$D:$AM, 35, FALSE) / VLOOKUP("industry|PM25|Work loss days", US_national_yearly!$D:$AM, 10, FALSE), 1)</f>
        <v>1.1926316713635186</v>
      </c>
      <c r="AB15" s="7">
        <f>$B15 * IFERROR(VLOOKUP("industry|PM25|Work loss days", US_national_yearly!$D:$AM, 36, FALSE) / VLOOKUP("industry|PM25|Work loss days", US_national_yearly!$D:$AM, 10, FALSE), 1)</f>
        <v>1.200218778786118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1.2608921903609004E-3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1.2986062841584384E-3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1.3363203779559764E-3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1.3740344717535144E-3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1.4117485655510522E-3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1.4478948060726153E-3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1.4840410465941783E-3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1.5150757617354291E-3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1.5461104768766797E-3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1.5771451920179307E-3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1.6081799071591815E-3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1.6392146223004323E-3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1.659945929020251E-3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1.6806772357400694E-3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1.7014085424598879E-3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1.7221398491797063E-3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1.7428711558995248E-3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1.7539784872946103E-3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1.7650858186896955E-3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1.7761931500847809E-3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1.7873004814798659E-3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1.7984078128749511E-3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1.8060351568738075E-3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1.8136625008726632E-3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1.8212898448715191E-3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1.8289171888703749E-3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1.8365445328692308E-3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6.0305590806650439E-4</v>
      </c>
      <c r="C2" s="7">
        <f>$B2 * IFERROR(VLOOKUP("industry|NOx|Premature mortality", US_national_yearly!$D:$AM, 11, FALSE) / VLOOKUP("industry|NOx|Premature mortality", US_national_yearly!$D:$AM, 10, FALSE), 1)</f>
        <v>6.1197313748988767E-4</v>
      </c>
      <c r="D2" s="7">
        <f>$B2 * IFERROR(VLOOKUP("industry|NOx|Premature mortality", US_national_yearly!$D:$AM, 12, FALSE) / VLOOKUP("industry|NOx|Premature mortality", US_national_yearly!$D:$AM, 10, FALSE), 1)</f>
        <v>6.2089036691327117E-4</v>
      </c>
      <c r="E2" s="7">
        <f>$B2 * IFERROR(VLOOKUP("industry|NOx|Premature mortality", US_national_yearly!$D:$AM, 13, FALSE) / VLOOKUP("industry|NOx|Premature mortality", US_national_yearly!$D:$AM, 10, FALSE), 1)</f>
        <v>6.2980759633665456E-4</v>
      </c>
      <c r="F2" s="7">
        <f>$B2 * IFERROR(VLOOKUP("industry|NOx|Premature mortality", US_national_yearly!$D:$AM, 14, FALSE) / VLOOKUP("industry|NOx|Premature mortality", US_national_yearly!$D:$AM, 10, FALSE), 1)</f>
        <v>6.3872482576003795E-4</v>
      </c>
      <c r="G2" s="7">
        <f>$B2 * IFERROR(VLOOKUP("industry|NOx|Premature mortality", US_national_yearly!$D:$AM, 15, FALSE) / VLOOKUP("industry|NOx|Premature mortality", US_national_yearly!$D:$AM, 10, FALSE), 1)</f>
        <v>6.5471675746245112E-4</v>
      </c>
      <c r="H2" s="7">
        <f>$B2 * IFERROR(VLOOKUP("industry|NOx|Premature mortality", US_national_yearly!$D:$AM, 16, FALSE) / VLOOKUP("industry|NOx|Premature mortality", US_national_yearly!$D:$AM, 10, FALSE), 1)</f>
        <v>6.7070868916486428E-4</v>
      </c>
      <c r="I2" s="7">
        <f>$B2 * IFERROR(VLOOKUP("industry|NOx|Premature mortality", US_national_yearly!$D:$AM, 17, FALSE) / VLOOKUP("industry|NOx|Premature mortality", US_national_yearly!$D:$AM, 10, FALSE), 1)</f>
        <v>6.8108319336437862E-4</v>
      </c>
      <c r="J2" s="7">
        <f>$B2 * IFERROR(VLOOKUP("industry|NOx|Premature mortality", US_national_yearly!$D:$AM, 18, FALSE) / VLOOKUP("industry|NOx|Premature mortality", US_national_yearly!$D:$AM, 10, FALSE), 1)</f>
        <v>6.9145769756389307E-4</v>
      </c>
      <c r="K2" s="7">
        <f>$B2 * IFERROR(VLOOKUP("industry|NOx|Premature mortality", US_national_yearly!$D:$AM, 19, FALSE) / VLOOKUP("industry|NOx|Premature mortality", US_national_yearly!$D:$AM, 10, FALSE), 1)</f>
        <v>7.0183220176340752E-4</v>
      </c>
      <c r="L2" s="7">
        <f>$B2 * IFERROR(VLOOKUP("industry|NOx|Premature mortality", US_national_yearly!$D:$AM, 20, FALSE) / VLOOKUP("industry|NOx|Premature mortality", US_national_yearly!$D:$AM, 10, FALSE), 1)</f>
        <v>7.1220670596292197E-4</v>
      </c>
      <c r="M2" s="7">
        <f>$B2 * IFERROR(VLOOKUP("industry|NOx|Premature mortality", US_national_yearly!$D:$AM, 21, FALSE) / VLOOKUP("industry|NOx|Premature mortality", US_national_yearly!$D:$AM, 10, FALSE), 1)</f>
        <v>7.2258121016243642E-4</v>
      </c>
      <c r="N2" s="7">
        <f>$B2 * IFERROR(VLOOKUP("industry|NOx|Premature mortality", US_national_yearly!$D:$AM, 22, FALSE) / VLOOKUP("industry|NOx|Premature mortality", US_national_yearly!$D:$AM, 10, FALSE), 1)</f>
        <v>7.3030119506056518E-4</v>
      </c>
      <c r="O2" s="7">
        <f>$B2 * IFERROR(VLOOKUP("industry|NOx|Premature mortality", US_national_yearly!$D:$AM, 23, FALSE) / VLOOKUP("industry|NOx|Premature mortality", US_national_yearly!$D:$AM, 10, FALSE), 1)</f>
        <v>7.3802117995869394E-4</v>
      </c>
      <c r="P2" s="7">
        <f>$B2 * IFERROR(VLOOKUP("industry|NOx|Premature mortality", US_national_yearly!$D:$AM, 24, FALSE) / VLOOKUP("industry|NOx|Premature mortality", US_national_yearly!$D:$AM, 10, FALSE), 1)</f>
        <v>7.4574116485682249E-4</v>
      </c>
      <c r="Q2" s="7">
        <f>$B2 * IFERROR(VLOOKUP("industry|NOx|Premature mortality", US_national_yearly!$D:$AM, 25, FALSE) / VLOOKUP("industry|NOx|Premature mortality", US_national_yearly!$D:$AM, 10, FALSE), 1)</f>
        <v>7.5346114975495125E-4</v>
      </c>
      <c r="R2" s="7">
        <f>$B2 * IFERROR(VLOOKUP("industry|NOx|Premature mortality", US_national_yearly!$D:$AM, 26, FALSE) / VLOOKUP("industry|NOx|Premature mortality", US_national_yearly!$D:$AM, 10, FALSE), 1)</f>
        <v>7.6118113465307991E-4</v>
      </c>
      <c r="S2" s="7">
        <f>$B2 * IFERROR(VLOOKUP("industry|NOx|Premature mortality", US_national_yearly!$D:$AM, 27, FALSE) / VLOOKUP("industry|NOx|Premature mortality", US_national_yearly!$D:$AM, 10, FALSE), 1)</f>
        <v>7.6477602571159041E-4</v>
      </c>
      <c r="T2" s="7">
        <f>$B2 * IFERROR(VLOOKUP("industry|NOx|Premature mortality", US_national_yearly!$D:$AM, 28, FALSE) / VLOOKUP("industry|NOx|Premature mortality", US_national_yearly!$D:$AM, 10, FALSE), 1)</f>
        <v>7.6837091677010101E-4</v>
      </c>
      <c r="U2" s="7">
        <f>$B2 * IFERROR(VLOOKUP("industry|NOx|Premature mortality", US_national_yearly!$D:$AM, 29, FALSE) / VLOOKUP("industry|NOx|Premature mortality", US_national_yearly!$D:$AM, 10, FALSE), 1)</f>
        <v>7.7196580782861151E-4</v>
      </c>
      <c r="V2" s="7">
        <f>$B2 * IFERROR(VLOOKUP("industry|NOx|Premature mortality", US_national_yearly!$D:$AM, 30, FALSE) / VLOOKUP("industry|NOx|Premature mortality", US_national_yearly!$D:$AM, 10, FALSE), 1)</f>
        <v>7.7556069888712201E-4</v>
      </c>
      <c r="W2" s="7">
        <f>$B2 * IFERROR(VLOOKUP("industry|NOx|Premature mortality", US_national_yearly!$D:$AM, 31, FALSE) / VLOOKUP("industry|NOx|Premature mortality", US_national_yearly!$D:$AM, 10, FALSE), 1)</f>
        <v>7.791555899456324E-4</v>
      </c>
      <c r="X2" s="7">
        <f>$B2 * IFERROR(VLOOKUP("industry|NOx|Premature mortality", US_national_yearly!$D:$AM, 32, FALSE) / VLOOKUP("industry|NOx|Premature mortality", US_national_yearly!$D:$AM, 10, FALSE), 1)</f>
        <v>7.7943032301741892E-4</v>
      </c>
      <c r="Y2" s="7">
        <f>$B2 * IFERROR(VLOOKUP("industry|NOx|Premature mortality", US_national_yearly!$D:$AM, 33, FALSE) / VLOOKUP("industry|NOx|Premature mortality", US_national_yearly!$D:$AM, 10, FALSE), 1)</f>
        <v>7.7970505608920555E-4</v>
      </c>
      <c r="Z2" s="7">
        <f>$B2 * IFERROR(VLOOKUP("industry|NOx|Premature mortality", US_national_yearly!$D:$AM, 34, FALSE) / VLOOKUP("industry|NOx|Premature mortality", US_national_yearly!$D:$AM, 10, FALSE), 1)</f>
        <v>7.7997978916099218E-4</v>
      </c>
      <c r="AA2" s="7">
        <f>$B2 * IFERROR(VLOOKUP("industry|NOx|Premature mortality", US_national_yearly!$D:$AM, 35, FALSE) / VLOOKUP("industry|NOx|Premature mortality", US_national_yearly!$D:$AM, 10, FALSE), 1)</f>
        <v>7.802545222327788E-4</v>
      </c>
      <c r="AB2" s="7">
        <f>$B2 * IFERROR(VLOOKUP("industry|NOx|Premature mortality", US_national_yearly!$D:$AM, 36, FALSE) / VLOOKUP("industry|NOx|Premature mortality", US_national_yearly!$D:$AM, 10, FALSE), 1)</f>
        <v>7.8052925530456532E-4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1.170183175115164E-6</v>
      </c>
      <c r="C3" s="7">
        <f>$B3 * IFERROR(VLOOKUP("industry|NOx|Infant mortality", US_national_yearly!$D:$AM, 11, FALSE) / VLOOKUP("industry|NOx|Infant mortality", US_national_yearly!$D:$AM, 10, FALSE), 1)</f>
        <v>1.1589765269489027E-6</v>
      </c>
      <c r="D3" s="7">
        <f>$B3 * IFERROR(VLOOKUP("industry|NOx|Infant mortality", US_national_yearly!$D:$AM, 12, FALSE) / VLOOKUP("industry|NOx|Infant mortality", US_national_yearly!$D:$AM, 10, FALSE), 1)</f>
        <v>1.1477698787826411E-6</v>
      </c>
      <c r="E3" s="7">
        <f>$B3 * IFERROR(VLOOKUP("industry|NOx|Infant mortality", US_national_yearly!$D:$AM, 13, FALSE) / VLOOKUP("industry|NOx|Infant mortality", US_national_yearly!$D:$AM, 10, FALSE), 1)</f>
        <v>1.1365632306163796E-6</v>
      </c>
      <c r="F3" s="7">
        <f>$B3 * IFERROR(VLOOKUP("industry|NOx|Infant mortality", US_national_yearly!$D:$AM, 14, FALSE) / VLOOKUP("industry|NOx|Infant mortality", US_national_yearly!$D:$AM, 10, FALSE), 1)</f>
        <v>1.1253565824501181E-6</v>
      </c>
      <c r="G3" s="7">
        <f>$B3 * IFERROR(VLOOKUP("industry|NOx|Infant mortality", US_national_yearly!$D:$AM, 15, FALSE) / VLOOKUP("industry|NOx|Infant mortality", US_national_yearly!$D:$AM, 10, FALSE), 1)</f>
        <v>7.4643578199036326E-7</v>
      </c>
      <c r="H3" s="7">
        <f>$B3 * IFERROR(VLOOKUP("industry|NOx|Infant mortality", US_national_yearly!$D:$AM, 16, FALSE) / VLOOKUP("industry|NOx|Infant mortality", US_national_yearly!$D:$AM, 10, FALSE), 1)</f>
        <v>3.6751498153060849E-7</v>
      </c>
      <c r="I3" s="7">
        <f>$B3 * IFERROR(VLOOKUP("industry|NOx|Infant mortality", US_national_yearly!$D:$AM, 17, FALSE) / VLOOKUP("industry|NOx|Infant mortality", US_national_yearly!$D:$AM, 10, FALSE), 1)</f>
        <v>3.6486535719315898E-7</v>
      </c>
      <c r="J3" s="7">
        <f>$B3 * IFERROR(VLOOKUP("industry|NOx|Infant mortality", US_national_yearly!$D:$AM, 18, FALSE) / VLOOKUP("industry|NOx|Infant mortality", US_national_yearly!$D:$AM, 10, FALSE), 1)</f>
        <v>3.6221573285570958E-7</v>
      </c>
      <c r="K3" s="7">
        <f>$B3 * IFERROR(VLOOKUP("industry|NOx|Infant mortality", US_national_yearly!$D:$AM, 19, FALSE) / VLOOKUP("industry|NOx|Infant mortality", US_national_yearly!$D:$AM, 10, FALSE), 1)</f>
        <v>3.5956610851826013E-7</v>
      </c>
      <c r="L3" s="7">
        <f>$B3 * IFERROR(VLOOKUP("industry|NOx|Infant mortality", US_national_yearly!$D:$AM, 20, FALSE) / VLOOKUP("industry|NOx|Infant mortality", US_national_yearly!$D:$AM, 10, FALSE), 1)</f>
        <v>3.5691648418081062E-7</v>
      </c>
      <c r="M3" s="7">
        <f>$B3 * IFERROR(VLOOKUP("industry|NOx|Infant mortality", US_national_yearly!$D:$AM, 21, FALSE) / VLOOKUP("industry|NOx|Infant mortality", US_national_yearly!$D:$AM, 10, FALSE), 1)</f>
        <v>3.5426685984336111E-7</v>
      </c>
      <c r="N3" s="7">
        <f>$B3 * IFERROR(VLOOKUP("industry|NOx|Infant mortality", US_national_yearly!$D:$AM, 22, FALSE) / VLOOKUP("industry|NOx|Infant mortality", US_national_yearly!$D:$AM, 10, FALSE), 1)</f>
        <v>3.5248166248129099E-7</v>
      </c>
      <c r="O3" s="7">
        <f>$B3 * IFERROR(VLOOKUP("industry|NOx|Infant mortality", US_national_yearly!$D:$AM, 23, FALSE) / VLOOKUP("industry|NOx|Infant mortality", US_national_yearly!$D:$AM, 10, FALSE), 1)</f>
        <v>3.5069646511922076E-7</v>
      </c>
      <c r="P3" s="7">
        <f>$B3 * IFERROR(VLOOKUP("industry|NOx|Infant mortality", US_national_yearly!$D:$AM, 24, FALSE) / VLOOKUP("industry|NOx|Infant mortality", US_national_yearly!$D:$AM, 10, FALSE), 1)</f>
        <v>3.4891126775715058E-7</v>
      </c>
      <c r="Q3" s="7">
        <f>$B3 * IFERROR(VLOOKUP("industry|NOx|Infant mortality", US_national_yearly!$D:$AM, 25, FALSE) / VLOOKUP("industry|NOx|Infant mortality", US_national_yearly!$D:$AM, 10, FALSE), 1)</f>
        <v>3.4712607039508046E-7</v>
      </c>
      <c r="R3" s="7">
        <f>$B3 * IFERROR(VLOOKUP("industry|NOx|Infant mortality", US_national_yearly!$D:$AM, 26, FALSE) / VLOOKUP("industry|NOx|Infant mortality", US_national_yearly!$D:$AM, 10, FALSE), 1)</f>
        <v>3.4534087303301029E-7</v>
      </c>
      <c r="S3" s="7">
        <f>$B3 * IFERROR(VLOOKUP("industry|NOx|Infant mortality", US_national_yearly!$D:$AM, 27, FALSE) / VLOOKUP("industry|NOx|Infant mortality", US_national_yearly!$D:$AM, 10, FALSE), 1)</f>
        <v>3.4322098308144539E-7</v>
      </c>
      <c r="T3" s="7">
        <f>$B3 * IFERROR(VLOOKUP("industry|NOx|Infant mortality", US_national_yearly!$D:$AM, 28, FALSE) / VLOOKUP("industry|NOx|Infant mortality", US_national_yearly!$D:$AM, 10, FALSE), 1)</f>
        <v>3.4110109312988048E-7</v>
      </c>
      <c r="U3" s="7">
        <f>$B3 * IFERROR(VLOOKUP("industry|NOx|Infant mortality", US_national_yearly!$D:$AM, 29, FALSE) / VLOOKUP("industry|NOx|Infant mortality", US_national_yearly!$D:$AM, 10, FALSE), 1)</f>
        <v>3.3898120317831558E-7</v>
      </c>
      <c r="V3" s="7">
        <f>$B3 * IFERROR(VLOOKUP("industry|NOx|Infant mortality", US_national_yearly!$D:$AM, 30, FALSE) / VLOOKUP("industry|NOx|Infant mortality", US_national_yearly!$D:$AM, 10, FALSE), 1)</f>
        <v>3.3686131322675068E-7</v>
      </c>
      <c r="W3" s="7">
        <f>$B3 * IFERROR(VLOOKUP("industry|NOx|Infant mortality", US_national_yearly!$D:$AM, 31, FALSE) / VLOOKUP("industry|NOx|Infant mortality", US_national_yearly!$D:$AM, 10, FALSE), 1)</f>
        <v>3.3474142327518588E-7</v>
      </c>
      <c r="X3" s="7">
        <f>$B3 * IFERROR(VLOOKUP("industry|NOx|Infant mortality", US_national_yearly!$D:$AM, 32, FALSE) / VLOOKUP("industry|NOx|Infant mortality", US_national_yearly!$D:$AM, 10, FALSE), 1)</f>
        <v>3.3251530409471689E-7</v>
      </c>
      <c r="Y3" s="7">
        <f>$B3 * IFERROR(VLOOKUP("industry|NOx|Infant mortality", US_national_yearly!$D:$AM, 33, FALSE) / VLOOKUP("industry|NOx|Infant mortality", US_national_yearly!$D:$AM, 10, FALSE), 1)</f>
        <v>3.3028918491424801E-7</v>
      </c>
      <c r="Z3" s="7">
        <f>$B3 * IFERROR(VLOOKUP("industry|NOx|Infant mortality", US_national_yearly!$D:$AM, 34, FALSE) / VLOOKUP("industry|NOx|Infant mortality", US_national_yearly!$D:$AM, 10, FALSE), 1)</f>
        <v>3.2806306573377907E-7</v>
      </c>
      <c r="AA3" s="7">
        <f>$B3 * IFERROR(VLOOKUP("industry|NOx|Infant mortality", US_national_yearly!$D:$AM, 35, FALSE) / VLOOKUP("industry|NOx|Infant mortality", US_national_yearly!$D:$AM, 10, FALSE), 1)</f>
        <v>3.2583694655331019E-7</v>
      </c>
      <c r="AB3" s="7">
        <f>$B3 * IFERROR(VLOOKUP("industry|NOx|Infant mortality", US_national_yearly!$D:$AM, 36, FALSE) / VLOOKUP("industry|NOx|Infant mortality", US_national_yearly!$D:$AM, 10, FALSE), 1)</f>
        <v>3.2361082737284125E-7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1.5913241447734151E-3</v>
      </c>
      <c r="C6" s="7">
        <f>$B6 * IFERROR(VLOOKUP("industry|NOx|Asthma symptoms cough", US_national_yearly!$D:$AM, 11, FALSE) / VLOOKUP("industry|NOx|Asthma symptoms cough", US_national_yearly!$D:$AM, 10, FALSE), 1)</f>
        <v>1.6130939990388971E-3</v>
      </c>
      <c r="D6" s="7">
        <f>$B6 * IFERROR(VLOOKUP("industry|NOx|Asthma symptoms cough", US_national_yearly!$D:$AM, 12, FALSE) / VLOOKUP("industry|NOx|Asthma symptoms cough", US_national_yearly!$D:$AM, 10, FALSE), 1)</f>
        <v>1.6348638533043793E-3</v>
      </c>
      <c r="E6" s="7">
        <f>$B6 * IFERROR(VLOOKUP("industry|NOx|Asthma symptoms cough", US_national_yearly!$D:$AM, 13, FALSE) / VLOOKUP("industry|NOx|Asthma symptoms cough", US_national_yearly!$D:$AM, 10, FALSE), 1)</f>
        <v>1.6566337075698612E-3</v>
      </c>
      <c r="F6" s="7">
        <f>$B6 * IFERROR(VLOOKUP("industry|NOx|Asthma symptoms cough", US_national_yearly!$D:$AM, 14, FALSE) / VLOOKUP("industry|NOx|Asthma symptoms cough", US_national_yearly!$D:$AM, 10, FALSE), 1)</f>
        <v>1.6784035618353432E-3</v>
      </c>
      <c r="G6" s="7">
        <f>$B6 * IFERROR(VLOOKUP("industry|NOx|Asthma symptoms cough", US_national_yearly!$D:$AM, 15, FALSE) / VLOOKUP("industry|NOx|Asthma symptoms cough", US_national_yearly!$D:$AM, 10, FALSE), 1)</f>
        <v>1.6958596076366125E-3</v>
      </c>
      <c r="H6" s="7">
        <f>$B6 * IFERROR(VLOOKUP("industry|NOx|Asthma symptoms cough", US_national_yearly!$D:$AM, 16, FALSE) / VLOOKUP("industry|NOx|Asthma symptoms cough", US_national_yearly!$D:$AM, 10, FALSE), 1)</f>
        <v>1.7133156534378821E-3</v>
      </c>
      <c r="I6" s="7">
        <f>$B6 * IFERROR(VLOOKUP("industry|NOx|Asthma symptoms cough", US_national_yearly!$D:$AM, 17, FALSE) / VLOOKUP("industry|NOx|Asthma symptoms cough", US_national_yearly!$D:$AM, 10, FALSE), 1)</f>
        <v>1.7193905121257375E-3</v>
      </c>
      <c r="J6" s="7">
        <f>$B6 * IFERROR(VLOOKUP("industry|NOx|Asthma symptoms cough", US_national_yearly!$D:$AM, 18, FALSE) / VLOOKUP("industry|NOx|Asthma symptoms cough", US_national_yearly!$D:$AM, 10, FALSE), 1)</f>
        <v>1.7254653708135932E-3</v>
      </c>
      <c r="K6" s="7">
        <f>$B6 * IFERROR(VLOOKUP("industry|NOx|Asthma symptoms cough", US_national_yearly!$D:$AM, 19, FALSE) / VLOOKUP("industry|NOx|Asthma symptoms cough", US_national_yearly!$D:$AM, 10, FALSE), 1)</f>
        <v>1.7315402295014486E-3</v>
      </c>
      <c r="L6" s="7">
        <f>$B6 * IFERROR(VLOOKUP("industry|NOx|Asthma symptoms cough", US_national_yearly!$D:$AM, 20, FALSE) / VLOOKUP("industry|NOx|Asthma symptoms cough", US_national_yearly!$D:$AM, 10, FALSE), 1)</f>
        <v>1.7376150881893042E-3</v>
      </c>
      <c r="M6" s="7">
        <f>$B6 * IFERROR(VLOOKUP("industry|NOx|Asthma symptoms cough", US_national_yearly!$D:$AM, 21, FALSE) / VLOOKUP("industry|NOx|Asthma symptoms cough", US_national_yearly!$D:$AM, 10, FALSE), 1)</f>
        <v>1.7436899468771601E-3</v>
      </c>
      <c r="N6" s="7">
        <f>$B6 * IFERROR(VLOOKUP("industry|NOx|Asthma symptoms cough", US_national_yearly!$D:$AM, 22, FALSE) / VLOOKUP("industry|NOx|Asthma symptoms cough", US_national_yearly!$D:$AM, 10, FALSE), 1)</f>
        <v>1.7506245639049268E-3</v>
      </c>
      <c r="O6" s="7">
        <f>$B6 * IFERROR(VLOOKUP("industry|NOx|Asthma symptoms cough", US_national_yearly!$D:$AM, 23, FALSE) / VLOOKUP("industry|NOx|Asthma symptoms cough", US_national_yearly!$D:$AM, 10, FALSE), 1)</f>
        <v>1.7575591809326932E-3</v>
      </c>
      <c r="P6" s="7">
        <f>$B6 * IFERROR(VLOOKUP("industry|NOx|Asthma symptoms cough", US_national_yearly!$D:$AM, 24, FALSE) / VLOOKUP("industry|NOx|Asthma symptoms cough", US_national_yearly!$D:$AM, 10, FALSE), 1)</f>
        <v>1.7644937979604601E-3</v>
      </c>
      <c r="Q6" s="7">
        <f>$B6 * IFERROR(VLOOKUP("industry|NOx|Asthma symptoms cough", US_national_yearly!$D:$AM, 25, FALSE) / VLOOKUP("industry|NOx|Asthma symptoms cough", US_national_yearly!$D:$AM, 10, FALSE), 1)</f>
        <v>1.771428414988227E-3</v>
      </c>
      <c r="R6" s="7">
        <f>$B6 * IFERROR(VLOOKUP("industry|NOx|Asthma symptoms cough", US_national_yearly!$D:$AM, 26, FALSE) / VLOOKUP("industry|NOx|Asthma symptoms cough", US_national_yearly!$D:$AM, 10, FALSE), 1)</f>
        <v>1.7783630320159938E-3</v>
      </c>
      <c r="S6" s="7">
        <f>$B6 * IFERROR(VLOOKUP("industry|NOx|Asthma symptoms cough", US_national_yearly!$D:$AM, 27, FALSE) / VLOOKUP("industry|NOx|Asthma symptoms cough", US_national_yearly!$D:$AM, 10, FALSE), 1)</f>
        <v>1.7873083811526817E-3</v>
      </c>
      <c r="T6" s="7">
        <f>$B6 * IFERROR(VLOOKUP("industry|NOx|Asthma symptoms cough", US_national_yearly!$D:$AM, 28, FALSE) / VLOOKUP("industry|NOx|Asthma symptoms cough", US_national_yearly!$D:$AM, 10, FALSE), 1)</f>
        <v>1.7962537302893698E-3</v>
      </c>
      <c r="U6" s="7">
        <f>$B6 * IFERROR(VLOOKUP("industry|NOx|Asthma symptoms cough", US_national_yearly!$D:$AM, 29, FALSE) / VLOOKUP("industry|NOx|Asthma symptoms cough", US_national_yearly!$D:$AM, 10, FALSE), 1)</f>
        <v>1.8051990794260579E-3</v>
      </c>
      <c r="V6" s="7">
        <f>$B6 * IFERROR(VLOOKUP("industry|NOx|Asthma symptoms cough", US_national_yearly!$D:$AM, 30, FALSE) / VLOOKUP("industry|NOx|Asthma symptoms cough", US_national_yearly!$D:$AM, 10, FALSE), 1)</f>
        <v>1.8141444285627458E-3</v>
      </c>
      <c r="W6" s="7">
        <f>$B6 * IFERROR(VLOOKUP("industry|NOx|Asthma symptoms cough", US_national_yearly!$D:$AM, 31, FALSE) / VLOOKUP("industry|NOx|Asthma symptoms cough", US_national_yearly!$D:$AM, 10, FALSE), 1)</f>
        <v>1.8230897776994341E-3</v>
      </c>
      <c r="X6" s="7">
        <f>$B6 * IFERROR(VLOOKUP("industry|NOx|Asthma symptoms cough", US_national_yearly!$D:$AM, 32, FALSE) / VLOOKUP("industry|NOx|Asthma symptoms cough", US_national_yearly!$D:$AM, 10, FALSE), 1)</f>
        <v>1.8313828042341254E-3</v>
      </c>
      <c r="Y6" s="7">
        <f>$B6 * IFERROR(VLOOKUP("industry|NOx|Asthma symptoms cough", US_national_yearly!$D:$AM, 33, FALSE) / VLOOKUP("industry|NOx|Asthma symptoms cough", US_national_yearly!$D:$AM, 10, FALSE), 1)</f>
        <v>1.8396758307688164E-3</v>
      </c>
      <c r="Z6" s="7">
        <f>$B6 * IFERROR(VLOOKUP("industry|NOx|Asthma symptoms cough", US_national_yearly!$D:$AM, 34, FALSE) / VLOOKUP("industry|NOx|Asthma symptoms cough", US_national_yearly!$D:$AM, 10, FALSE), 1)</f>
        <v>1.8479688573035079E-3</v>
      </c>
      <c r="AA6" s="7">
        <f>$B6 * IFERROR(VLOOKUP("industry|NOx|Asthma symptoms cough", US_national_yearly!$D:$AM, 35, FALSE) / VLOOKUP("industry|NOx|Asthma symptoms cough", US_national_yearly!$D:$AM, 10, FALSE), 1)</f>
        <v>1.8562618838381987E-3</v>
      </c>
      <c r="AB6" s="7">
        <f>$B6 * IFERROR(VLOOKUP("industry|NOx|Asthma symptoms cough", US_national_yearly!$D:$AM, 36, FALSE) / VLOOKUP("industry|NOx|Asthma symptoms cough", US_national_yearly!$D:$AM, 10, FALSE), 1)</f>
        <v>1.8645549103728902E-3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2.1429354437387158E-3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2.1722515276835592E-3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2.2015676116284026E-3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2.230883695573246E-3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2.2601997795180903E-3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2.2837067307822602E-3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2.3072136820464309E-3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2.3153943093995547E-3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2.3235749367526782E-3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2.331755564105802E-3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2.3399361914589268E-3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2.3481168188120506E-3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2.3574552282818453E-3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2.36679363775164E-3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2.3761320472214351E-3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2.3854704566912302E-3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2.3948088661610249E-3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2.4068550012394407E-3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2.4189011363178574E-3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2.4309472713962732E-3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2.4429934064746895E-3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2.4550395415531049E-3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2.4662072350885725E-3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2.4773749286240393E-3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2.4885426221595065E-3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2.4997103156949732E-3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2.5108780092304404E-3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3.2740900615224537E-3</v>
      </c>
      <c r="C8" s="7">
        <f>$B8 * IFERROR(VLOOKUP("industry|NOx|Asthma symptoms wheeze", US_national_yearly!$D:$AM, 11, FALSE) / VLOOKUP("industry|NOx|Asthma symptoms wheeze", US_national_yearly!$D:$AM, 10, FALSE), 1)</f>
        <v>3.3188807245521121E-3</v>
      </c>
      <c r="D8" s="7">
        <f>$B8 * IFERROR(VLOOKUP("industry|NOx|Asthma symptoms wheeze", US_national_yearly!$D:$AM, 12, FALSE) / VLOOKUP("industry|NOx|Asthma symptoms wheeze", US_national_yearly!$D:$AM, 10, FALSE), 1)</f>
        <v>3.3636713875817709E-3</v>
      </c>
      <c r="E8" s="7">
        <f>$B8 * IFERROR(VLOOKUP("industry|NOx|Asthma symptoms wheeze", US_national_yearly!$D:$AM, 13, FALSE) / VLOOKUP("industry|NOx|Asthma symptoms wheeze", US_national_yearly!$D:$AM, 10, FALSE), 1)</f>
        <v>3.4084620506114292E-3</v>
      </c>
      <c r="F8" s="7">
        <f>$B8 * IFERROR(VLOOKUP("industry|NOx|Asthma symptoms wheeze", US_national_yearly!$D:$AM, 14, FALSE) / VLOOKUP("industry|NOx|Asthma symptoms wheeze", US_national_yearly!$D:$AM, 10, FALSE), 1)</f>
        <v>3.4532527136410867E-3</v>
      </c>
      <c r="G8" s="7">
        <f>$B8 * IFERROR(VLOOKUP("industry|NOx|Asthma symptoms wheeze", US_national_yearly!$D:$AM, 15, FALSE) / VLOOKUP("industry|NOx|Asthma symptoms wheeze", US_national_yearly!$D:$AM, 10, FALSE), 1)</f>
        <v>3.4891678766907843E-3</v>
      </c>
      <c r="H8" s="7">
        <f>$B8 * IFERROR(VLOOKUP("industry|NOx|Asthma symptoms wheeze", US_national_yearly!$D:$AM, 16, FALSE) / VLOOKUP("industry|NOx|Asthma symptoms wheeze", US_national_yearly!$D:$AM, 10, FALSE), 1)</f>
        <v>3.52508303974048E-3</v>
      </c>
      <c r="I8" s="7">
        <f>$B8 * IFERROR(VLOOKUP("industry|NOx|Asthma symptoms wheeze", US_national_yearly!$D:$AM, 17, FALSE) / VLOOKUP("industry|NOx|Asthma symptoms wheeze", US_national_yearly!$D:$AM, 10, FALSE), 1)</f>
        <v>3.5375818348826059E-3</v>
      </c>
      <c r="J8" s="7">
        <f>$B8 * IFERROR(VLOOKUP("industry|NOx|Asthma symptoms wheeze", US_national_yearly!$D:$AM, 18, FALSE) / VLOOKUP("industry|NOx|Asthma symptoms wheeze", US_national_yearly!$D:$AM, 10, FALSE), 1)</f>
        <v>3.5500806300247309E-3</v>
      </c>
      <c r="K8" s="7">
        <f>$B8 * IFERROR(VLOOKUP("industry|NOx|Asthma symptoms wheeze", US_national_yearly!$D:$AM, 19, FALSE) / VLOOKUP("industry|NOx|Asthma symptoms wheeze", US_national_yearly!$D:$AM, 10, FALSE), 1)</f>
        <v>3.5625794251668563E-3</v>
      </c>
      <c r="L8" s="7">
        <f>$B8 * IFERROR(VLOOKUP("industry|NOx|Asthma symptoms wheeze", US_national_yearly!$D:$AM, 20, FALSE) / VLOOKUP("industry|NOx|Asthma symptoms wheeze", US_national_yearly!$D:$AM, 10, FALSE), 1)</f>
        <v>3.5750782203089809E-3</v>
      </c>
      <c r="M8" s="7">
        <f>$B8 * IFERROR(VLOOKUP("industry|NOx|Asthma symptoms wheeze", US_national_yearly!$D:$AM, 21, FALSE) / VLOOKUP("industry|NOx|Asthma symptoms wheeze", US_national_yearly!$D:$AM, 10, FALSE), 1)</f>
        <v>3.5875770154511063E-3</v>
      </c>
      <c r="N8" s="7">
        <f>$B8 * IFERROR(VLOOKUP("industry|NOx|Asthma symptoms wheeze", US_national_yearly!$D:$AM, 22, FALSE) / VLOOKUP("industry|NOx|Asthma symptoms wheeze", US_national_yearly!$D:$AM, 10, FALSE), 1)</f>
        <v>3.6018447313033827E-3</v>
      </c>
      <c r="O8" s="7">
        <f>$B8 * IFERROR(VLOOKUP("industry|NOx|Asthma symptoms wheeze", US_national_yearly!$D:$AM, 23, FALSE) / VLOOKUP("industry|NOx|Asthma symptoms wheeze", US_national_yearly!$D:$AM, 10, FALSE), 1)</f>
        <v>3.6161124471556592E-3</v>
      </c>
      <c r="P8" s="7">
        <f>$B8 * IFERROR(VLOOKUP("industry|NOx|Asthma symptoms wheeze", US_national_yearly!$D:$AM, 24, FALSE) / VLOOKUP("industry|NOx|Asthma symptoms wheeze", US_national_yearly!$D:$AM, 10, FALSE), 1)</f>
        <v>3.6303801630079347E-3</v>
      </c>
      <c r="Q8" s="7">
        <f>$B8 * IFERROR(VLOOKUP("industry|NOx|Asthma symptoms wheeze", US_national_yearly!$D:$AM, 25, FALSE) / VLOOKUP("industry|NOx|Asthma symptoms wheeze", US_national_yearly!$D:$AM, 10, FALSE), 1)</f>
        <v>3.6446478788602112E-3</v>
      </c>
      <c r="R8" s="7">
        <f>$B8 * IFERROR(VLOOKUP("industry|NOx|Asthma symptoms wheeze", US_national_yearly!$D:$AM, 26, FALSE) / VLOOKUP("industry|NOx|Asthma symptoms wheeze", US_national_yearly!$D:$AM, 10, FALSE), 1)</f>
        <v>3.6589155947124872E-3</v>
      </c>
      <c r="S8" s="7">
        <f>$B8 * IFERROR(VLOOKUP("industry|NOx|Asthma symptoms wheeze", US_national_yearly!$D:$AM, 27, FALSE) / VLOOKUP("industry|NOx|Asthma symptoms wheeze", US_national_yearly!$D:$AM, 10, FALSE), 1)</f>
        <v>3.6773203168662862E-3</v>
      </c>
      <c r="T8" s="7">
        <f>$B8 * IFERROR(VLOOKUP("industry|NOx|Asthma symptoms wheeze", US_national_yearly!$D:$AM, 28, FALSE) / VLOOKUP("industry|NOx|Asthma symptoms wheeze", US_national_yearly!$D:$AM, 10, FALSE), 1)</f>
        <v>3.6957250390200844E-3</v>
      </c>
      <c r="U8" s="7">
        <f>$B8 * IFERROR(VLOOKUP("industry|NOx|Asthma symptoms wheeze", US_national_yearly!$D:$AM, 29, FALSE) / VLOOKUP("industry|NOx|Asthma symptoms wheeze", US_national_yearly!$D:$AM, 10, FALSE), 1)</f>
        <v>3.7141297611738822E-3</v>
      </c>
      <c r="V8" s="7">
        <f>$B8 * IFERROR(VLOOKUP("industry|NOx|Asthma symptoms wheeze", US_national_yearly!$D:$AM, 30, FALSE) / VLOOKUP("industry|NOx|Asthma symptoms wheeze", US_national_yearly!$D:$AM, 10, FALSE), 1)</f>
        <v>3.7325344833276804E-3</v>
      </c>
      <c r="W8" s="7">
        <f>$B8 * IFERROR(VLOOKUP("industry|NOx|Asthma symptoms wheeze", US_national_yearly!$D:$AM, 31, FALSE) / VLOOKUP("industry|NOx|Asthma symptoms wheeze", US_national_yearly!$D:$AM, 10, FALSE), 1)</f>
        <v>3.7509392054814786E-3</v>
      </c>
      <c r="X8" s="7">
        <f>$B8 * IFERROR(VLOOKUP("industry|NOx|Asthma symptoms wheeze", US_national_yearly!$D:$AM, 32, FALSE) / VLOOKUP("industry|NOx|Asthma symptoms wheeze", US_national_yearly!$D:$AM, 10, FALSE), 1)</f>
        <v>3.7680017982154759E-3</v>
      </c>
      <c r="Y8" s="7">
        <f>$B8 * IFERROR(VLOOKUP("industry|NOx|Asthma symptoms wheeze", US_national_yearly!$D:$AM, 33, FALSE) / VLOOKUP("industry|NOx|Asthma symptoms wheeze", US_national_yearly!$D:$AM, 10, FALSE), 1)</f>
        <v>3.7850643909494723E-3</v>
      </c>
      <c r="Z8" s="7">
        <f>$B8 * IFERROR(VLOOKUP("industry|NOx|Asthma symptoms wheeze", US_national_yearly!$D:$AM, 34, FALSE) / VLOOKUP("industry|NOx|Asthma symptoms wheeze", US_national_yearly!$D:$AM, 10, FALSE), 1)</f>
        <v>3.8021269836834692E-3</v>
      </c>
      <c r="AA8" s="7">
        <f>$B8 * IFERROR(VLOOKUP("industry|NOx|Asthma symptoms wheeze", US_national_yearly!$D:$AM, 35, FALSE) / VLOOKUP("industry|NOx|Asthma symptoms wheeze", US_national_yearly!$D:$AM, 10, FALSE), 1)</f>
        <v>3.8191895764174652E-3</v>
      </c>
      <c r="AB8" s="7">
        <f>$B8 * IFERROR(VLOOKUP("industry|NOx|Asthma symptoms wheeze", US_national_yearly!$D:$AM, 36, FALSE) / VLOOKUP("industry|NOx|Asthma symptoms wheeze", US_national_yearly!$D:$AM, 10, FALSE), 1)</f>
        <v>3.8362521691514646E-3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3.412783774651488E-5</v>
      </c>
      <c r="C12" s="7">
        <f>$B12 * IFERROR(VLOOKUP("industry|NOx|Respiratory hospital admissions", US_national_yearly!$D:$AM, 11, FALSE) / VLOOKUP("industry|NOx|Respiratory hospital admissions", US_national_yearly!$D:$AM, 10, FALSE), 1)</f>
        <v>3.4985242096706436E-5</v>
      </c>
      <c r="D12" s="7">
        <f>$B12 * IFERROR(VLOOKUP("industry|NOx|Respiratory hospital admissions", US_national_yearly!$D:$AM, 12, FALSE) / VLOOKUP("industry|NOx|Respiratory hospital admissions", US_national_yearly!$D:$AM, 10, FALSE), 1)</f>
        <v>3.5842646446897992E-5</v>
      </c>
      <c r="E12" s="7">
        <f>$B12 * IFERROR(VLOOKUP("industry|NOx|Respiratory hospital admissions", US_national_yearly!$D:$AM, 13, FALSE) / VLOOKUP("industry|NOx|Respiratory hospital admissions", US_national_yearly!$D:$AM, 10, FALSE), 1)</f>
        <v>3.6700050797089548E-5</v>
      </c>
      <c r="F12" s="7">
        <f>$B12 * IFERROR(VLOOKUP("industry|NOx|Respiratory hospital admissions", US_national_yearly!$D:$AM, 14, FALSE) / VLOOKUP("industry|NOx|Respiratory hospital admissions", US_national_yearly!$D:$AM, 10, FALSE), 1)</f>
        <v>3.7557455147281097E-5</v>
      </c>
      <c r="G12" s="7">
        <f>$B12 * IFERROR(VLOOKUP("industry|NOx|Respiratory hospital admissions", US_national_yearly!$D:$AM, 15, FALSE) / VLOOKUP("industry|NOx|Respiratory hospital admissions", US_national_yearly!$D:$AM, 10, FALSE), 1)</f>
        <v>3.8377600534649456E-5</v>
      </c>
      <c r="H12" s="7">
        <f>$B12 * IFERROR(VLOOKUP("industry|NOx|Respiratory hospital admissions", US_national_yearly!$D:$AM, 16, FALSE) / VLOOKUP("industry|NOx|Respiratory hospital admissions", US_national_yearly!$D:$AM, 10, FALSE), 1)</f>
        <v>3.9197745922017815E-5</v>
      </c>
      <c r="I12" s="7">
        <f>$B12 * IFERROR(VLOOKUP("industry|NOx|Respiratory hospital admissions", US_national_yearly!$D:$AM, 17, FALSE) / VLOOKUP("industry|NOx|Respiratory hospital admissions", US_national_yearly!$D:$AM, 10, FALSE), 1)</f>
        <v>3.9896211088642346E-5</v>
      </c>
      <c r="J12" s="7">
        <f>$B12 * IFERROR(VLOOKUP("industry|NOx|Respiratory hospital admissions", US_national_yearly!$D:$AM, 18, FALSE) / VLOOKUP("industry|NOx|Respiratory hospital admissions", US_national_yearly!$D:$AM, 10, FALSE), 1)</f>
        <v>4.0594676255266877E-5</v>
      </c>
      <c r="K12" s="7">
        <f>$B12 * IFERROR(VLOOKUP("industry|NOx|Respiratory hospital admissions", US_national_yearly!$D:$AM, 19, FALSE) / VLOOKUP("industry|NOx|Respiratory hospital admissions", US_national_yearly!$D:$AM, 10, FALSE), 1)</f>
        <v>4.1293141421891415E-5</v>
      </c>
      <c r="L12" s="7">
        <f>$B12 * IFERROR(VLOOKUP("industry|NOx|Respiratory hospital admissions", US_national_yearly!$D:$AM, 20, FALSE) / VLOOKUP("industry|NOx|Respiratory hospital admissions", US_national_yearly!$D:$AM, 10, FALSE), 1)</f>
        <v>4.199160658851596E-5</v>
      </c>
      <c r="M12" s="7">
        <f>$B12 * IFERROR(VLOOKUP("industry|NOx|Respiratory hospital admissions", US_national_yearly!$D:$AM, 21, FALSE) / VLOOKUP("industry|NOx|Respiratory hospital admissions", US_national_yearly!$D:$AM, 10, FALSE), 1)</f>
        <v>4.2690071755140491E-5</v>
      </c>
      <c r="N12" s="7">
        <f>$B12 * IFERROR(VLOOKUP("industry|NOx|Respiratory hospital admissions", US_national_yearly!$D:$AM, 22, FALSE) / VLOOKUP("industry|NOx|Respiratory hospital admissions", US_national_yearly!$D:$AM, 10, FALSE), 1)</f>
        <v>4.3158194975910765E-5</v>
      </c>
      <c r="O12" s="7">
        <f>$B12 * IFERROR(VLOOKUP("industry|NOx|Respiratory hospital admissions", US_national_yearly!$D:$AM, 23, FALSE) / VLOOKUP("industry|NOx|Respiratory hospital admissions", US_national_yearly!$D:$AM, 10, FALSE), 1)</f>
        <v>4.3626318196681039E-5</v>
      </c>
      <c r="P12" s="7">
        <f>$B12 * IFERROR(VLOOKUP("industry|NOx|Respiratory hospital admissions", US_national_yearly!$D:$AM, 24, FALSE) / VLOOKUP("industry|NOx|Respiratory hospital admissions", US_national_yearly!$D:$AM, 10, FALSE), 1)</f>
        <v>4.4094441417451313E-5</v>
      </c>
      <c r="Q12" s="7">
        <f>$B12 * IFERROR(VLOOKUP("industry|NOx|Respiratory hospital admissions", US_national_yearly!$D:$AM, 25, FALSE) / VLOOKUP("industry|NOx|Respiratory hospital admissions", US_national_yearly!$D:$AM, 10, FALSE), 1)</f>
        <v>4.4562564638221586E-5</v>
      </c>
      <c r="R12" s="7">
        <f>$B12 * IFERROR(VLOOKUP("industry|NOx|Respiratory hospital admissions", US_national_yearly!$D:$AM, 26, FALSE) / VLOOKUP("industry|NOx|Respiratory hospital admissions", US_national_yearly!$D:$AM, 10, FALSE), 1)</f>
        <v>4.503068785899186E-5</v>
      </c>
      <c r="S12" s="7">
        <f>$B12 * IFERROR(VLOOKUP("industry|NOx|Respiratory hospital admissions", US_national_yearly!$D:$AM, 27, FALSE) / VLOOKUP("industry|NOx|Respiratory hospital admissions", US_national_yearly!$D:$AM, 10, FALSE), 1)</f>
        <v>4.5284838093993574E-5</v>
      </c>
      <c r="T12" s="7">
        <f>$B12 * IFERROR(VLOOKUP("industry|NOx|Respiratory hospital admissions", US_national_yearly!$D:$AM, 28, FALSE) / VLOOKUP("industry|NOx|Respiratory hospital admissions", US_national_yearly!$D:$AM, 10, FALSE), 1)</f>
        <v>4.5538988328995287E-5</v>
      </c>
      <c r="U12" s="7">
        <f>$B12 * IFERROR(VLOOKUP("industry|NOx|Respiratory hospital admissions", US_national_yearly!$D:$AM, 29, FALSE) / VLOOKUP("industry|NOx|Respiratory hospital admissions", US_national_yearly!$D:$AM, 10, FALSE), 1)</f>
        <v>4.5793138563997001E-5</v>
      </c>
      <c r="V12" s="7">
        <f>$B12 * IFERROR(VLOOKUP("industry|NOx|Respiratory hospital admissions", US_national_yearly!$D:$AM, 30, FALSE) / VLOOKUP("industry|NOx|Respiratory hospital admissions", US_national_yearly!$D:$AM, 10, FALSE), 1)</f>
        <v>4.6047288798998708E-5</v>
      </c>
      <c r="W12" s="7">
        <f>$B12 * IFERROR(VLOOKUP("industry|NOx|Respiratory hospital admissions", US_national_yearly!$D:$AM, 31, FALSE) / VLOOKUP("industry|NOx|Respiratory hospital admissions", US_national_yearly!$D:$AM, 10, FALSE), 1)</f>
        <v>4.6301439034000428E-5</v>
      </c>
      <c r="X12" s="7">
        <f>$B12 * IFERROR(VLOOKUP("industry|NOx|Respiratory hospital admissions", US_national_yearly!$D:$AM, 32, FALSE) / VLOOKUP("industry|NOx|Respiratory hospital admissions", US_national_yearly!$D:$AM, 10, FALSE), 1)</f>
        <v>4.6478648233797848E-5</v>
      </c>
      <c r="Y12" s="7">
        <f>$B12 * IFERROR(VLOOKUP("industry|NOx|Respiratory hospital admissions", US_national_yearly!$D:$AM, 33, FALSE) / VLOOKUP("industry|NOx|Respiratory hospital admissions", US_national_yearly!$D:$AM, 10, FALSE), 1)</f>
        <v>4.6655857433595269E-5</v>
      </c>
      <c r="Z12" s="7">
        <f>$B12 * IFERROR(VLOOKUP("industry|NOx|Respiratory hospital admissions", US_national_yearly!$D:$AM, 34, FALSE) / VLOOKUP("industry|NOx|Respiratory hospital admissions", US_national_yearly!$D:$AM, 10, FALSE), 1)</f>
        <v>4.6833066633392696E-5</v>
      </c>
      <c r="AA12" s="7">
        <f>$B12 * IFERROR(VLOOKUP("industry|NOx|Respiratory hospital admissions", US_national_yearly!$D:$AM, 35, FALSE) / VLOOKUP("industry|NOx|Respiratory hospital admissions", US_national_yearly!$D:$AM, 10, FALSE), 1)</f>
        <v>4.7010275833190116E-5</v>
      </c>
      <c r="AB12" s="7">
        <f>$B12 * IFERROR(VLOOKUP("industry|NOx|Respiratory hospital admissions", US_national_yearly!$D:$AM, 36, FALSE) / VLOOKUP("industry|NOx|Respiratory hospital admissions", US_national_yearly!$D:$AM, 10, FALSE), 1)</f>
        <v>4.7187485032987536E-5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2.4511725059510168E-4</v>
      </c>
      <c r="C13" s="7">
        <f>$B13 * IFERROR(VLOOKUP("industry|NOx|Non-fatal heart attacks", US_national_yearly!$D:$AM, 11, FALSE) / VLOOKUP("industry|NOx|Non-fatal heart attacks", US_national_yearly!$D:$AM, 10, FALSE), 1)</f>
        <v>2.5212048533557527E-4</v>
      </c>
      <c r="D13" s="7">
        <f>$B13 * IFERROR(VLOOKUP("industry|NOx|Non-fatal heart attacks", US_national_yearly!$D:$AM, 12, FALSE) / VLOOKUP("industry|NOx|Non-fatal heart attacks", US_national_yearly!$D:$AM, 10, FALSE), 1)</f>
        <v>2.5912372007604886E-4</v>
      </c>
      <c r="E13" s="7">
        <f>$B13 * IFERROR(VLOOKUP("industry|NOx|Non-fatal heart attacks", US_national_yearly!$D:$AM, 13, FALSE) / VLOOKUP("industry|NOx|Non-fatal heart attacks", US_national_yearly!$D:$AM, 10, FALSE), 1)</f>
        <v>2.6612695481652244E-4</v>
      </c>
      <c r="F13" s="7">
        <f>$B13 * IFERROR(VLOOKUP("industry|NOx|Non-fatal heart attacks", US_national_yearly!$D:$AM, 14, FALSE) / VLOOKUP("industry|NOx|Non-fatal heart attacks", US_national_yearly!$D:$AM, 10, FALSE), 1)</f>
        <v>2.7313018955699603E-4</v>
      </c>
      <c r="G13" s="7">
        <f>$B13 * IFERROR(VLOOKUP("industry|NOx|Non-fatal heart attacks", US_national_yearly!$D:$AM, 15, FALSE) / VLOOKUP("industry|NOx|Non-fatal heart attacks", US_national_yearly!$D:$AM, 10, FALSE), 1)</f>
        <v>2.7968025411821012E-4</v>
      </c>
      <c r="H13" s="7">
        <f>$B13 * IFERROR(VLOOKUP("industry|NOx|Non-fatal heart attacks", US_national_yearly!$D:$AM, 16, FALSE) / VLOOKUP("industry|NOx|Non-fatal heart attacks", US_national_yearly!$D:$AM, 10, FALSE), 1)</f>
        <v>2.8623031867942421E-4</v>
      </c>
      <c r="I13" s="7">
        <f>$B13 * IFERROR(VLOOKUP("industry|NOx|Non-fatal heart attacks", US_national_yearly!$D:$AM, 17, FALSE) / VLOOKUP("industry|NOx|Non-fatal heart attacks", US_national_yearly!$D:$AM, 10, FALSE), 1)</f>
        <v>2.9141073121002019E-4</v>
      </c>
      <c r="J13" s="7">
        <f>$B13 * IFERROR(VLOOKUP("industry|NOx|Non-fatal heart attacks", US_national_yearly!$D:$AM, 18, FALSE) / VLOOKUP("industry|NOx|Non-fatal heart attacks", US_national_yearly!$D:$AM, 10, FALSE), 1)</f>
        <v>2.9659114374061616E-4</v>
      </c>
      <c r="K13" s="7">
        <f>$B13 * IFERROR(VLOOKUP("industry|NOx|Non-fatal heart attacks", US_national_yearly!$D:$AM, 19, FALSE) / VLOOKUP("industry|NOx|Non-fatal heart attacks", US_national_yearly!$D:$AM, 10, FALSE), 1)</f>
        <v>3.0177155627121203E-4</v>
      </c>
      <c r="L13" s="7">
        <f>$B13 * IFERROR(VLOOKUP("industry|NOx|Non-fatal heart attacks", US_national_yearly!$D:$AM, 20, FALSE) / VLOOKUP("industry|NOx|Non-fatal heart attacks", US_national_yearly!$D:$AM, 10, FALSE), 1)</f>
        <v>3.0695196880180811E-4</v>
      </c>
      <c r="M13" s="7">
        <f>$B13 * IFERROR(VLOOKUP("industry|NOx|Non-fatal heart attacks", US_national_yearly!$D:$AM, 21, FALSE) / VLOOKUP("industry|NOx|Non-fatal heart attacks", US_national_yearly!$D:$AM, 10, FALSE), 1)</f>
        <v>3.1213238133240414E-4</v>
      </c>
      <c r="N13" s="7">
        <f>$B13 * IFERROR(VLOOKUP("industry|NOx|Non-fatal heart attacks", US_national_yearly!$D:$AM, 22, FALSE) / VLOOKUP("industry|NOx|Non-fatal heart attacks", US_national_yearly!$D:$AM, 10, FALSE), 1)</f>
        <v>3.1525333124602533E-4</v>
      </c>
      <c r="O13" s="7">
        <f>$B13 * IFERROR(VLOOKUP("industry|NOx|Non-fatal heart attacks", US_national_yearly!$D:$AM, 23, FALSE) / VLOOKUP("industry|NOx|Non-fatal heart attacks", US_national_yearly!$D:$AM, 10, FALSE), 1)</f>
        <v>3.1837428115964647E-4</v>
      </c>
      <c r="P13" s="7">
        <f>$B13 * IFERROR(VLOOKUP("industry|NOx|Non-fatal heart attacks", US_national_yearly!$D:$AM, 24, FALSE) / VLOOKUP("industry|NOx|Non-fatal heart attacks", US_national_yearly!$D:$AM, 10, FALSE), 1)</f>
        <v>3.2149523107326755E-4</v>
      </c>
      <c r="Q13" s="7">
        <f>$B13 * IFERROR(VLOOKUP("industry|NOx|Non-fatal heart attacks", US_national_yearly!$D:$AM, 25, FALSE) / VLOOKUP("industry|NOx|Non-fatal heart attacks", US_national_yearly!$D:$AM, 10, FALSE), 1)</f>
        <v>3.2461618098688868E-4</v>
      </c>
      <c r="R13" s="7">
        <f>$B13 * IFERROR(VLOOKUP("industry|NOx|Non-fatal heart attacks", US_national_yearly!$D:$AM, 26, FALSE) / VLOOKUP("industry|NOx|Non-fatal heart attacks", US_national_yearly!$D:$AM, 10, FALSE), 1)</f>
        <v>3.2773713090050982E-4</v>
      </c>
      <c r="S13" s="7">
        <f>$B13 * IFERROR(VLOOKUP("industry|NOx|Non-fatal heart attacks", US_national_yearly!$D:$AM, 27, FALSE) / VLOOKUP("industry|NOx|Non-fatal heart attacks", US_national_yearly!$D:$AM, 10, FALSE), 1)</f>
        <v>3.2916908497264733E-4</v>
      </c>
      <c r="T13" s="7">
        <f>$B13 * IFERROR(VLOOKUP("industry|NOx|Non-fatal heart attacks", US_national_yearly!$D:$AM, 28, FALSE) / VLOOKUP("industry|NOx|Non-fatal heart attacks", US_national_yearly!$D:$AM, 10, FALSE), 1)</f>
        <v>3.3060103904478485E-4</v>
      </c>
      <c r="U13" s="7">
        <f>$B13 * IFERROR(VLOOKUP("industry|NOx|Non-fatal heart attacks", US_national_yearly!$D:$AM, 29, FALSE) / VLOOKUP("industry|NOx|Non-fatal heart attacks", US_national_yearly!$D:$AM, 10, FALSE), 1)</f>
        <v>3.3203299311692237E-4</v>
      </c>
      <c r="V13" s="7">
        <f>$B13 * IFERROR(VLOOKUP("industry|NOx|Non-fatal heart attacks", US_national_yearly!$D:$AM, 30, FALSE) / VLOOKUP("industry|NOx|Non-fatal heart attacks", US_national_yearly!$D:$AM, 10, FALSE), 1)</f>
        <v>3.3346494718905988E-4</v>
      </c>
      <c r="W13" s="7">
        <f>$B13 * IFERROR(VLOOKUP("industry|NOx|Non-fatal heart attacks", US_national_yearly!$D:$AM, 31, FALSE) / VLOOKUP("industry|NOx|Non-fatal heart attacks", US_national_yearly!$D:$AM, 10, FALSE), 1)</f>
        <v>3.348969012611974E-4</v>
      </c>
      <c r="X13" s="7">
        <f>$B13 * IFERROR(VLOOKUP("industry|NOx|Non-fatal heart attacks", US_national_yearly!$D:$AM, 32, FALSE) / VLOOKUP("industry|NOx|Non-fatal heart attacks", US_national_yearly!$D:$AM, 10, FALSE), 1)</f>
        <v>3.358633133827207E-4</v>
      </c>
      <c r="Y13" s="7">
        <f>$B13 * IFERROR(VLOOKUP("industry|NOx|Non-fatal heart attacks", US_national_yearly!$D:$AM, 33, FALSE) / VLOOKUP("industry|NOx|Non-fatal heart attacks", US_national_yearly!$D:$AM, 10, FALSE), 1)</f>
        <v>3.36829725504244E-4</v>
      </c>
      <c r="Z13" s="7">
        <f>$B13 * IFERROR(VLOOKUP("industry|NOx|Non-fatal heart attacks", US_national_yearly!$D:$AM, 34, FALSE) / VLOOKUP("industry|NOx|Non-fatal heart attacks", US_national_yearly!$D:$AM, 10, FALSE), 1)</f>
        <v>3.377961376257673E-4</v>
      </c>
      <c r="AA13" s="7">
        <f>$B13 * IFERROR(VLOOKUP("industry|NOx|Non-fatal heart attacks", US_national_yearly!$D:$AM, 35, FALSE) / VLOOKUP("industry|NOx|Non-fatal heart attacks", US_national_yearly!$D:$AM, 10, FALSE), 1)</f>
        <v>3.387625497472906E-4</v>
      </c>
      <c r="AB13" s="7">
        <f>$B13 * IFERROR(VLOOKUP("industry|NOx|Non-fatal heart attacks", US_national_yearly!$D:$AM, 36, FALSE) / VLOOKUP("industry|NOx|Non-fatal heart attacks", US_national_yearly!$D:$AM, 10, FALSE), 1)</f>
        <v>3.3972896186881384E-4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0.20713053994362229</v>
      </c>
      <c r="C14" s="7">
        <f>$B14 * IFERROR(VLOOKUP("industry|NOx|Minor restricted activity days", US_national_yearly!$D:$AM, 11, FALSE) / VLOOKUP("industry|NOx|Minor restricted activity days", US_national_yearly!$D:$AM, 10, FALSE), 1)</f>
        <v>0.20743741982167668</v>
      </c>
      <c r="D14" s="7">
        <f>$B14 * IFERROR(VLOOKUP("industry|NOx|Minor restricted activity days", US_national_yearly!$D:$AM, 12, FALSE) / VLOOKUP("industry|NOx|Minor restricted activity days", US_national_yearly!$D:$AM, 10, FALSE), 1)</f>
        <v>0.20774429969973102</v>
      </c>
      <c r="E14" s="7">
        <f>$B14 * IFERROR(VLOOKUP("industry|NOx|Minor restricted activity days", US_national_yearly!$D:$AM, 13, FALSE) / VLOOKUP("industry|NOx|Minor restricted activity days", US_national_yearly!$D:$AM, 10, FALSE), 1)</f>
        <v>0.20805117957778543</v>
      </c>
      <c r="F14" s="7">
        <f>$B14 * IFERROR(VLOOKUP("industry|NOx|Minor restricted activity days", US_national_yearly!$D:$AM, 14, FALSE) / VLOOKUP("industry|NOx|Minor restricted activity days", US_national_yearly!$D:$AM, 10, FALSE), 1)</f>
        <v>0.20835805945583977</v>
      </c>
      <c r="G14" s="7">
        <f>$B14 * IFERROR(VLOOKUP("industry|NOx|Minor restricted activity days", US_national_yearly!$D:$AM, 15, FALSE) / VLOOKUP("industry|NOx|Minor restricted activity days", US_national_yearly!$D:$AM, 10, FALSE), 1)</f>
        <v>0.20891670557496847</v>
      </c>
      <c r="H14" s="7">
        <f>$B14 * IFERROR(VLOOKUP("industry|NOx|Minor restricted activity days", US_national_yearly!$D:$AM, 16, FALSE) / VLOOKUP("industry|NOx|Minor restricted activity days", US_national_yearly!$D:$AM, 10, FALSE), 1)</f>
        <v>0.20947535169409717</v>
      </c>
      <c r="I14" s="7">
        <f>$B14 * IFERROR(VLOOKUP("industry|NOx|Minor restricted activity days", US_national_yearly!$D:$AM, 17, FALSE) / VLOOKUP("industry|NOx|Minor restricted activity days", US_national_yearly!$D:$AM, 10, FALSE), 1)</f>
        <v>0.21057512610150197</v>
      </c>
      <c r="J14" s="7">
        <f>$B14 * IFERROR(VLOOKUP("industry|NOx|Minor restricted activity days", US_national_yearly!$D:$AM, 18, FALSE) / VLOOKUP("industry|NOx|Minor restricted activity days", US_national_yearly!$D:$AM, 10, FALSE), 1)</f>
        <v>0.21167490050890672</v>
      </c>
      <c r="K14" s="7">
        <f>$B14 * IFERROR(VLOOKUP("industry|NOx|Minor restricted activity days", US_national_yearly!$D:$AM, 19, FALSE) / VLOOKUP("industry|NOx|Minor restricted activity days", US_national_yearly!$D:$AM, 10, FALSE), 1)</f>
        <v>0.21277467491631141</v>
      </c>
      <c r="L14" s="7">
        <f>$B14 * IFERROR(VLOOKUP("industry|NOx|Minor restricted activity days", US_national_yearly!$D:$AM, 20, FALSE) / VLOOKUP("industry|NOx|Minor restricted activity days", US_national_yearly!$D:$AM, 10, FALSE), 1)</f>
        <v>0.21387444932371619</v>
      </c>
      <c r="M14" s="7">
        <f>$B14 * IFERROR(VLOOKUP("industry|NOx|Minor restricted activity days", US_national_yearly!$D:$AM, 21, FALSE) / VLOOKUP("industry|NOx|Minor restricted activity days", US_national_yearly!$D:$AM, 10, FALSE), 1)</f>
        <v>0.21497422373112093</v>
      </c>
      <c r="N14" s="7">
        <f>$B14 * IFERROR(VLOOKUP("industry|NOx|Minor restricted activity days", US_national_yearly!$D:$AM, 22, FALSE) / VLOOKUP("industry|NOx|Minor restricted activity days", US_national_yearly!$D:$AM, 10, FALSE), 1)</f>
        <v>0.21655797239997493</v>
      </c>
      <c r="O14" s="7">
        <f>$B14 * IFERROR(VLOOKUP("industry|NOx|Minor restricted activity days", US_national_yearly!$D:$AM, 23, FALSE) / VLOOKUP("industry|NOx|Minor restricted activity days", US_national_yearly!$D:$AM, 10, FALSE), 1)</f>
        <v>0.21814172106882895</v>
      </c>
      <c r="P14" s="7">
        <f>$B14 * IFERROR(VLOOKUP("industry|NOx|Minor restricted activity days", US_national_yearly!$D:$AM, 24, FALSE) / VLOOKUP("industry|NOx|Minor restricted activity days", US_national_yearly!$D:$AM, 10, FALSE), 1)</f>
        <v>0.21972546973768298</v>
      </c>
      <c r="Q14" s="7">
        <f>$B14 * IFERROR(VLOOKUP("industry|NOx|Minor restricted activity days", US_national_yearly!$D:$AM, 25, FALSE) / VLOOKUP("industry|NOx|Minor restricted activity days", US_national_yearly!$D:$AM, 10, FALSE), 1)</f>
        <v>0.22130921840653697</v>
      </c>
      <c r="R14" s="7">
        <f>$B14 * IFERROR(VLOOKUP("industry|NOx|Minor restricted activity days", US_national_yearly!$D:$AM, 26, FALSE) / VLOOKUP("industry|NOx|Minor restricted activity days", US_national_yearly!$D:$AM, 10, FALSE), 1)</f>
        <v>0.222892967075391</v>
      </c>
      <c r="S14" s="7">
        <f>$B14 * IFERROR(VLOOKUP("industry|NOx|Minor restricted activity days", US_national_yearly!$D:$AM, 27, FALSE) / VLOOKUP("industry|NOx|Minor restricted activity days", US_national_yearly!$D:$AM, 10, FALSE), 1)</f>
        <v>0.22447841135913923</v>
      </c>
      <c r="T14" s="7">
        <f>$B14 * IFERROR(VLOOKUP("industry|NOx|Minor restricted activity days", US_national_yearly!$D:$AM, 28, FALSE) / VLOOKUP("industry|NOx|Minor restricted activity days", US_national_yearly!$D:$AM, 10, FALSE), 1)</f>
        <v>0.22606385564288756</v>
      </c>
      <c r="U14" s="7">
        <f>$B14 * IFERROR(VLOOKUP("industry|NOx|Minor restricted activity days", US_national_yearly!$D:$AM, 29, FALSE) / VLOOKUP("industry|NOx|Minor restricted activity days", US_national_yearly!$D:$AM, 10, FALSE), 1)</f>
        <v>0.22764929992663585</v>
      </c>
      <c r="V14" s="7">
        <f>$B14 * IFERROR(VLOOKUP("industry|NOx|Minor restricted activity days", US_national_yearly!$D:$AM, 30, FALSE) / VLOOKUP("industry|NOx|Minor restricted activity days", US_national_yearly!$D:$AM, 10, FALSE), 1)</f>
        <v>0.22923474421038414</v>
      </c>
      <c r="W14" s="7">
        <f>$B14 * IFERROR(VLOOKUP("industry|NOx|Minor restricted activity days", US_national_yearly!$D:$AM, 31, FALSE) / VLOOKUP("industry|NOx|Minor restricted activity days", US_national_yearly!$D:$AM, 10, FALSE), 1)</f>
        <v>0.23082018849413244</v>
      </c>
      <c r="X14" s="7">
        <f>$B14 * IFERROR(VLOOKUP("industry|NOx|Minor restricted activity days", US_national_yearly!$D:$AM, 32, FALSE) / VLOOKUP("industry|NOx|Minor restricted activity days", US_national_yearly!$D:$AM, 10, FALSE), 1)</f>
        <v>0.23215875596412847</v>
      </c>
      <c r="Y14" s="7">
        <f>$B14 * IFERROR(VLOOKUP("industry|NOx|Minor restricted activity days", US_national_yearly!$D:$AM, 33, FALSE) / VLOOKUP("industry|NOx|Minor restricted activity days", US_national_yearly!$D:$AM, 10, FALSE), 1)</f>
        <v>0.23349732343412441</v>
      </c>
      <c r="Z14" s="7">
        <f>$B14 * IFERROR(VLOOKUP("industry|NOx|Minor restricted activity days", US_national_yearly!$D:$AM, 34, FALSE) / VLOOKUP("industry|NOx|Minor restricted activity days", US_national_yearly!$D:$AM, 10, FALSE), 1)</f>
        <v>0.23483589090412038</v>
      </c>
      <c r="AA14" s="7">
        <f>$B14 * IFERROR(VLOOKUP("industry|NOx|Minor restricted activity days", US_national_yearly!$D:$AM, 35, FALSE) / VLOOKUP("industry|NOx|Minor restricted activity days", US_national_yearly!$D:$AM, 10, FALSE), 1)</f>
        <v>0.23617445837411638</v>
      </c>
      <c r="AB14" s="7">
        <f>$B14 * IFERROR(VLOOKUP("industry|NOx|Minor restricted activity days", US_national_yearly!$D:$AM, 36, FALSE) / VLOOKUP("industry|NOx|Minor restricted activity days", US_national_yearly!$D:$AM, 10, FALSE), 1)</f>
        <v>0.23751302584411241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3.5196600650179009E-2</v>
      </c>
      <c r="C15" s="7">
        <f>$B15 * IFERROR(VLOOKUP("industry|NOx|Work loss days", US_national_yearly!$D:$AM, 11, FALSE) / VLOOKUP("industry|NOx|Work loss days", US_national_yearly!$D:$AM, 10, FALSE), 1)</f>
        <v>3.5272860311076494E-2</v>
      </c>
      <c r="D15" s="7">
        <f>$B15 * IFERROR(VLOOKUP("industry|NOx|Work loss days", US_national_yearly!$D:$AM, 12, FALSE) / VLOOKUP("industry|NOx|Work loss days", US_national_yearly!$D:$AM, 10, FALSE), 1)</f>
        <v>3.5349119971973965E-2</v>
      </c>
      <c r="E15" s="7">
        <f>$B15 * IFERROR(VLOOKUP("industry|NOx|Work loss days", US_national_yearly!$D:$AM, 13, FALSE) / VLOOKUP("industry|NOx|Work loss days", US_national_yearly!$D:$AM, 10, FALSE), 1)</f>
        <v>3.5425379632871457E-2</v>
      </c>
      <c r="F15" s="7">
        <f>$B15 * IFERROR(VLOOKUP("industry|NOx|Work loss days", US_national_yearly!$D:$AM, 14, FALSE) / VLOOKUP("industry|NOx|Work loss days", US_national_yearly!$D:$AM, 10, FALSE), 1)</f>
        <v>3.5501639293768934E-2</v>
      </c>
      <c r="G15" s="7">
        <f>$B15 * IFERROR(VLOOKUP("industry|NOx|Work loss days", US_national_yearly!$D:$AM, 15, FALSE) / VLOOKUP("industry|NOx|Work loss days", US_national_yearly!$D:$AM, 10, FALSE), 1)</f>
        <v>3.5613188051182673E-2</v>
      </c>
      <c r="H15" s="7">
        <f>$B15 * IFERROR(VLOOKUP("industry|NOx|Work loss days", US_national_yearly!$D:$AM, 16, FALSE) / VLOOKUP("industry|NOx|Work loss days", US_national_yearly!$D:$AM, 10, FALSE), 1)</f>
        <v>3.5724736808596412E-2</v>
      </c>
      <c r="I15" s="7">
        <f>$B15 * IFERROR(VLOOKUP("industry|NOx|Work loss days", US_national_yearly!$D:$AM, 17, FALSE) / VLOOKUP("industry|NOx|Work loss days", US_national_yearly!$D:$AM, 10, FALSE), 1)</f>
        <v>3.5905975255692786E-2</v>
      </c>
      <c r="J15" s="7">
        <f>$B15 * IFERROR(VLOOKUP("industry|NOx|Work loss days", US_national_yearly!$D:$AM, 18, FALSE) / VLOOKUP("industry|NOx|Work loss days", US_national_yearly!$D:$AM, 10, FALSE), 1)</f>
        <v>3.6087213702789153E-2</v>
      </c>
      <c r="K15" s="7">
        <f>$B15 * IFERROR(VLOOKUP("industry|NOx|Work loss days", US_national_yearly!$D:$AM, 19, FALSE) / VLOOKUP("industry|NOx|Work loss days", US_national_yearly!$D:$AM, 10, FALSE), 1)</f>
        <v>3.6268452149885527E-2</v>
      </c>
      <c r="L15" s="7">
        <f>$B15 * IFERROR(VLOOKUP("industry|NOx|Work loss days", US_national_yearly!$D:$AM, 20, FALSE) / VLOOKUP("industry|NOx|Work loss days", US_national_yearly!$D:$AM, 10, FALSE), 1)</f>
        <v>3.6449690596981901E-2</v>
      </c>
      <c r="M15" s="7">
        <f>$B15 * IFERROR(VLOOKUP("industry|NOx|Work loss days", US_national_yearly!$D:$AM, 21, FALSE) / VLOOKUP("industry|NOx|Work loss days", US_national_yearly!$D:$AM, 10, FALSE), 1)</f>
        <v>3.6630929044078275E-2</v>
      </c>
      <c r="N15" s="7">
        <f>$B15 * IFERROR(VLOOKUP("industry|NOx|Work loss days", US_national_yearly!$D:$AM, 22, FALSE) / VLOOKUP("industry|NOx|Work loss days", US_national_yearly!$D:$AM, 10, FALSE), 1)</f>
        <v>3.686794783221304E-2</v>
      </c>
      <c r="O15" s="7">
        <f>$B15 * IFERROR(VLOOKUP("industry|NOx|Work loss days", US_national_yearly!$D:$AM, 23, FALSE) / VLOOKUP("industry|NOx|Work loss days", US_national_yearly!$D:$AM, 10, FALSE), 1)</f>
        <v>3.7104966620347811E-2</v>
      </c>
      <c r="P15" s="7">
        <f>$B15 * IFERROR(VLOOKUP("industry|NOx|Work loss days", US_national_yearly!$D:$AM, 24, FALSE) / VLOOKUP("industry|NOx|Work loss days", US_national_yearly!$D:$AM, 10, FALSE), 1)</f>
        <v>3.7341985408482575E-2</v>
      </c>
      <c r="Q15" s="7">
        <f>$B15 * IFERROR(VLOOKUP("industry|NOx|Work loss days", US_national_yearly!$D:$AM, 25, FALSE) / VLOOKUP("industry|NOx|Work loss days", US_national_yearly!$D:$AM, 10, FALSE), 1)</f>
        <v>3.757900419661734E-2</v>
      </c>
      <c r="R15" s="7">
        <f>$B15 * IFERROR(VLOOKUP("industry|NOx|Work loss days", US_national_yearly!$D:$AM, 26, FALSE) / VLOOKUP("industry|NOx|Work loss days", US_national_yearly!$D:$AM, 10, FALSE), 1)</f>
        <v>3.7816022984752111E-2</v>
      </c>
      <c r="S15" s="7">
        <f>$B15 * IFERROR(VLOOKUP("industry|NOx|Work loss days", US_national_yearly!$D:$AM, 27, FALSE) / VLOOKUP("industry|NOx|Work loss days", US_national_yearly!$D:$AM, 10, FALSE), 1)</f>
        <v>3.8080995633206591E-2</v>
      </c>
      <c r="T15" s="7">
        <f>$B15 * IFERROR(VLOOKUP("industry|NOx|Work loss days", US_national_yearly!$D:$AM, 28, FALSE) / VLOOKUP("industry|NOx|Work loss days", US_national_yearly!$D:$AM, 10, FALSE), 1)</f>
        <v>3.8345968281661078E-2</v>
      </c>
      <c r="U15" s="7">
        <f>$B15 * IFERROR(VLOOKUP("industry|NOx|Work loss days", US_national_yearly!$D:$AM, 29, FALSE) / VLOOKUP("industry|NOx|Work loss days", US_national_yearly!$D:$AM, 10, FALSE), 1)</f>
        <v>3.8610940930115564E-2</v>
      </c>
      <c r="V15" s="7">
        <f>$B15 * IFERROR(VLOOKUP("industry|NOx|Work loss days", US_national_yearly!$D:$AM, 30, FALSE) / VLOOKUP("industry|NOx|Work loss days", US_national_yearly!$D:$AM, 10, FALSE), 1)</f>
        <v>3.8875913578570044E-2</v>
      </c>
      <c r="W15" s="7">
        <f>$B15 * IFERROR(VLOOKUP("industry|NOx|Work loss days", US_national_yearly!$D:$AM, 31, FALSE) / VLOOKUP("industry|NOx|Work loss days", US_national_yearly!$D:$AM, 10, FALSE), 1)</f>
        <v>3.9140886227024531E-2</v>
      </c>
      <c r="X15" s="7">
        <f>$B15 * IFERROR(VLOOKUP("industry|NOx|Work loss days", US_national_yearly!$D:$AM, 32, FALSE) / VLOOKUP("industry|NOx|Work loss days", US_national_yearly!$D:$AM, 10, FALSE), 1)</f>
        <v>3.9370759240478968E-2</v>
      </c>
      <c r="Y15" s="7">
        <f>$B15 * IFERROR(VLOOKUP("industry|NOx|Work loss days", US_national_yearly!$D:$AM, 33, FALSE) / VLOOKUP("industry|NOx|Work loss days", US_national_yearly!$D:$AM, 10, FALSE), 1)</f>
        <v>3.9600632253933406E-2</v>
      </c>
      <c r="Z15" s="7">
        <f>$B15 * IFERROR(VLOOKUP("industry|NOx|Work loss days", US_national_yearly!$D:$AM, 34, FALSE) / VLOOKUP("industry|NOx|Work loss days", US_national_yearly!$D:$AM, 10, FALSE), 1)</f>
        <v>3.9830505267387843E-2</v>
      </c>
      <c r="AA15" s="7">
        <f>$B15 * IFERROR(VLOOKUP("industry|NOx|Work loss days", US_national_yearly!$D:$AM, 35, FALSE) / VLOOKUP("industry|NOx|Work loss days", US_national_yearly!$D:$AM, 10, FALSE), 1)</f>
        <v>4.0060378280842281E-2</v>
      </c>
      <c r="AB15" s="7">
        <f>$B15 * IFERROR(VLOOKUP("industry|NOx|Work loss days", US_national_yearly!$D:$AM, 36, FALSE) / VLOOKUP("industry|NOx|Work loss days", US_national_yearly!$D:$AM, 10, FALSE), 1)</f>
        <v>4.0290251294296718E-2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4.5982831282426447E-5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4.7333010036081696E-5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4.8683188789736951E-5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5.0033367543392199E-5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5.1383546297047461E-5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5.2666788790303182E-5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5.3950031283558911E-5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5.5031897557080501E-5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5.6113763830602084E-5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5.7195630104123667E-5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5.827749637764525E-5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5.9359362651166826E-5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6.0036655457954473E-5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6.0713948264742092E-5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6.1391241071529718E-5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6.2068533878317358E-5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6.274582668510497E-5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6.3058275177585679E-5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6.3370723670066374E-5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6.3683172162547083E-5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6.3995620655027779E-5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6.4308069147508488E-5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6.4484600362138233E-5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6.4661131576767978E-5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6.4837662791397737E-5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6.5014194006027468E-5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6.5190725220657227E-5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2.3344610741669186E-3</v>
      </c>
      <c r="C2" s="7">
        <f>$B2 * IFERROR(VLOOKUP("industry|SO2|Premature mortality", US_national_yearly!$D:$AM, 11, FALSE) / VLOOKUP("industry|SO2|Premature mortality", US_national_yearly!$D:$AM, 10, FALSE), 1)</f>
        <v>2.364054810051773E-3</v>
      </c>
      <c r="D2" s="7">
        <f>$B2 * IFERROR(VLOOKUP("industry|SO2|Premature mortality", US_national_yearly!$D:$AM, 12, FALSE) / VLOOKUP("industry|SO2|Premature mortality", US_national_yearly!$D:$AM, 10, FALSE), 1)</f>
        <v>2.3936485459366266E-3</v>
      </c>
      <c r="E2" s="7">
        <f>$B2 * IFERROR(VLOOKUP("industry|SO2|Premature mortality", US_national_yearly!$D:$AM, 13, FALSE) / VLOOKUP("industry|SO2|Premature mortality", US_national_yearly!$D:$AM, 10, FALSE), 1)</f>
        <v>2.4232422818214806E-3</v>
      </c>
      <c r="F2" s="7">
        <f>$B2 * IFERROR(VLOOKUP("industry|SO2|Premature mortality", US_national_yearly!$D:$AM, 14, FALSE) / VLOOKUP("industry|SO2|Premature mortality", US_national_yearly!$D:$AM, 10, FALSE), 1)</f>
        <v>2.4528360177063346E-3</v>
      </c>
      <c r="G2" s="7">
        <f>$B2 * IFERROR(VLOOKUP("industry|SO2|Premature mortality", US_national_yearly!$D:$AM, 15, FALSE) / VLOOKUP("industry|SO2|Premature mortality", US_national_yearly!$D:$AM, 10, FALSE), 1)</f>
        <v>2.5098768668729049E-3</v>
      </c>
      <c r="H2" s="7">
        <f>$B2 * IFERROR(VLOOKUP("industry|SO2|Premature mortality", US_national_yearly!$D:$AM, 16, FALSE) / VLOOKUP("industry|SO2|Premature mortality", US_national_yearly!$D:$AM, 10, FALSE), 1)</f>
        <v>2.5669177160394753E-3</v>
      </c>
      <c r="I2" s="7">
        <f>$B2 * IFERROR(VLOOKUP("industry|SO2|Premature mortality", US_national_yearly!$D:$AM, 17, FALSE) / VLOOKUP("industry|SO2|Premature mortality", US_national_yearly!$D:$AM, 10, FALSE), 1)</f>
        <v>2.604688496831578E-3</v>
      </c>
      <c r="J2" s="7">
        <f>$B2 * IFERROR(VLOOKUP("industry|SO2|Premature mortality", US_national_yearly!$D:$AM, 18, FALSE) / VLOOKUP("industry|SO2|Premature mortality", US_national_yearly!$D:$AM, 10, FALSE), 1)</f>
        <v>2.6424592776236799E-3</v>
      </c>
      <c r="K2" s="7">
        <f>$B2 * IFERROR(VLOOKUP("industry|SO2|Premature mortality", US_national_yearly!$D:$AM, 19, FALSE) / VLOOKUP("industry|SO2|Premature mortality", US_national_yearly!$D:$AM, 10, FALSE), 1)</f>
        <v>2.6802300584157822E-3</v>
      </c>
      <c r="L2" s="7">
        <f>$B2 * IFERROR(VLOOKUP("industry|SO2|Premature mortality", US_national_yearly!$D:$AM, 20, FALSE) / VLOOKUP("industry|SO2|Premature mortality", US_national_yearly!$D:$AM, 10, FALSE), 1)</f>
        <v>2.718000839207885E-3</v>
      </c>
      <c r="M2" s="7">
        <f>$B2 * IFERROR(VLOOKUP("industry|SO2|Premature mortality", US_national_yearly!$D:$AM, 21, FALSE) / VLOOKUP("industry|SO2|Premature mortality", US_national_yearly!$D:$AM, 10, FALSE), 1)</f>
        <v>2.7557716199999873E-3</v>
      </c>
      <c r="N2" s="7">
        <f>$B2 * IFERROR(VLOOKUP("industry|SO2|Premature mortality", US_national_yearly!$D:$AM, 22, FALSE) / VLOOKUP("industry|SO2|Premature mortality", US_national_yearly!$D:$AM, 10, FALSE), 1)</f>
        <v>2.7853173510116727E-3</v>
      </c>
      <c r="O2" s="7">
        <f>$B2 * IFERROR(VLOOKUP("industry|SO2|Premature mortality", US_national_yearly!$D:$AM, 23, FALSE) / VLOOKUP("industry|SO2|Premature mortality", US_national_yearly!$D:$AM, 10, FALSE), 1)</f>
        <v>2.8148630820233585E-3</v>
      </c>
      <c r="P2" s="7">
        <f>$B2 * IFERROR(VLOOKUP("industry|SO2|Premature mortality", US_national_yearly!$D:$AM, 24, FALSE) / VLOOKUP("industry|SO2|Premature mortality", US_national_yearly!$D:$AM, 10, FALSE), 1)</f>
        <v>2.8444088130350439E-3</v>
      </c>
      <c r="Q2" s="7">
        <f>$B2 * IFERROR(VLOOKUP("industry|SO2|Premature mortality", US_national_yearly!$D:$AM, 25, FALSE) / VLOOKUP("industry|SO2|Premature mortality", US_national_yearly!$D:$AM, 10, FALSE), 1)</f>
        <v>2.8739545440467297E-3</v>
      </c>
      <c r="R2" s="7">
        <f>$B2 * IFERROR(VLOOKUP("industry|SO2|Premature mortality", US_national_yearly!$D:$AM, 26, FALSE) / VLOOKUP("industry|SO2|Premature mortality", US_national_yearly!$D:$AM, 10, FALSE), 1)</f>
        <v>2.9035002750584151E-3</v>
      </c>
      <c r="S2" s="7">
        <f>$B2 * IFERROR(VLOOKUP("industry|SO2|Premature mortality", US_national_yearly!$D:$AM, 27, FALSE) / VLOOKUP("industry|SO2|Premature mortality", US_national_yearly!$D:$AM, 10, FALSE), 1)</f>
        <v>2.9194533421102028E-3</v>
      </c>
      <c r="T2" s="7">
        <f>$B2 * IFERROR(VLOOKUP("industry|SO2|Premature mortality", US_national_yearly!$D:$AM, 28, FALSE) / VLOOKUP("industry|SO2|Premature mortality", US_national_yearly!$D:$AM, 10, FALSE), 1)</f>
        <v>2.9354064091619914E-3</v>
      </c>
      <c r="U2" s="7">
        <f>$B2 * IFERROR(VLOOKUP("industry|SO2|Premature mortality", US_national_yearly!$D:$AM, 29, FALSE) / VLOOKUP("industry|SO2|Premature mortality", US_national_yearly!$D:$AM, 10, FALSE), 1)</f>
        <v>2.9513594762137804E-3</v>
      </c>
      <c r="V2" s="7">
        <f>$B2 * IFERROR(VLOOKUP("industry|SO2|Premature mortality", US_national_yearly!$D:$AM, 30, FALSE) / VLOOKUP("industry|SO2|Premature mortality", US_national_yearly!$D:$AM, 10, FALSE), 1)</f>
        <v>2.9673125432655685E-3</v>
      </c>
      <c r="W2" s="7">
        <f>$B2 * IFERROR(VLOOKUP("industry|SO2|Premature mortality", US_national_yearly!$D:$AM, 31, FALSE) / VLOOKUP("industry|SO2|Premature mortality", US_national_yearly!$D:$AM, 10, FALSE), 1)</f>
        <v>2.9832656103173571E-3</v>
      </c>
      <c r="X2" s="7">
        <f>$B2 * IFERROR(VLOOKUP("industry|SO2|Premature mortality", US_national_yearly!$D:$AM, 32, FALSE) / VLOOKUP("industry|SO2|Premature mortality", US_national_yearly!$D:$AM, 10, FALSE), 1)</f>
        <v>2.9866991971373067E-3</v>
      </c>
      <c r="Y2" s="7">
        <f>$B2 * IFERROR(VLOOKUP("industry|SO2|Premature mortality", US_national_yearly!$D:$AM, 33, FALSE) / VLOOKUP("industry|SO2|Premature mortality", US_national_yearly!$D:$AM, 10, FALSE), 1)</f>
        <v>2.9901327839572567E-3</v>
      </c>
      <c r="Z2" s="7">
        <f>$B2 * IFERROR(VLOOKUP("industry|SO2|Premature mortality", US_national_yearly!$D:$AM, 34, FALSE) / VLOOKUP("industry|SO2|Premature mortality", US_national_yearly!$D:$AM, 10, FALSE), 1)</f>
        <v>2.9935663707772071E-3</v>
      </c>
      <c r="AA2" s="7">
        <f>$B2 * IFERROR(VLOOKUP("industry|SO2|Premature mortality", US_national_yearly!$D:$AM, 35, FALSE) / VLOOKUP("industry|SO2|Premature mortality", US_national_yearly!$D:$AM, 10, FALSE), 1)</f>
        <v>2.9969999575971571E-3</v>
      </c>
      <c r="AB2" s="7">
        <f>$B2 * IFERROR(VLOOKUP("industry|SO2|Premature mortality", US_national_yearly!$D:$AM, 36, FALSE) / VLOOKUP("industry|SO2|Premature mortality", US_national_yearly!$D:$AM, 10, FALSE), 1)</f>
        <v>3.0004335444171071E-3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4.7355258193351874E-6</v>
      </c>
      <c r="C3" s="7">
        <f>$B3 * IFERROR(VLOOKUP("industry|SO2|Infant mortality", US_national_yearly!$D:$AM, 11, FALSE) / VLOOKUP("industry|SO2|Infant mortality", US_national_yearly!$D:$AM, 10, FALSE), 1)</f>
        <v>4.6947857255230404E-6</v>
      </c>
      <c r="D3" s="7">
        <f>$B3 * IFERROR(VLOOKUP("industry|SO2|Infant mortality", US_national_yearly!$D:$AM, 12, FALSE) / VLOOKUP("industry|SO2|Infant mortality", US_national_yearly!$D:$AM, 10, FALSE), 1)</f>
        <v>4.6540456317108934E-6</v>
      </c>
      <c r="E3" s="7">
        <f>$B3 * IFERROR(VLOOKUP("industry|SO2|Infant mortality", US_national_yearly!$D:$AM, 13, FALSE) / VLOOKUP("industry|SO2|Infant mortality", US_national_yearly!$D:$AM, 10, FALSE), 1)</f>
        <v>4.6133055378987464E-6</v>
      </c>
      <c r="F3" s="7">
        <f>$B3 * IFERROR(VLOOKUP("industry|SO2|Infant mortality", US_national_yearly!$D:$AM, 14, FALSE) / VLOOKUP("industry|SO2|Infant mortality", US_national_yearly!$D:$AM, 10, FALSE), 1)</f>
        <v>4.5725654440866003E-6</v>
      </c>
      <c r="G3" s="7">
        <f>$B3 * IFERROR(VLOOKUP("industry|SO2|Infant mortality", US_national_yearly!$D:$AM, 15, FALSE) / VLOOKUP("industry|SO2|Infant mortality", US_national_yearly!$D:$AM, 10, FALSE), 1)</f>
        <v>3.0439492543273227E-6</v>
      </c>
      <c r="H3" s="7">
        <f>$B3 * IFERROR(VLOOKUP("industry|SO2|Infant mortality", US_national_yearly!$D:$AM, 16, FALSE) / VLOOKUP("industry|SO2|Infant mortality", US_national_yearly!$D:$AM, 10, FALSE), 1)</f>
        <v>1.5153330645680461E-6</v>
      </c>
      <c r="I3" s="7">
        <f>$B3 * IFERROR(VLOOKUP("industry|SO2|Infant mortality", US_national_yearly!$D:$AM, 17, FALSE) / VLOOKUP("industry|SO2|Infant mortality", US_national_yearly!$D:$AM, 10, FALSE), 1)</f>
        <v>1.5057108288519059E-6</v>
      </c>
      <c r="J3" s="7">
        <f>$B3 * IFERROR(VLOOKUP("industry|SO2|Infant mortality", US_national_yearly!$D:$AM, 18, FALSE) / VLOOKUP("industry|SO2|Infant mortality", US_national_yearly!$D:$AM, 10, FALSE), 1)</f>
        <v>1.4960885931357654E-6</v>
      </c>
      <c r="K3" s="7">
        <f>$B3 * IFERROR(VLOOKUP("industry|SO2|Infant mortality", US_national_yearly!$D:$AM, 19, FALSE) / VLOOKUP("industry|SO2|Infant mortality", US_national_yearly!$D:$AM, 10, FALSE), 1)</f>
        <v>1.4864663574196251E-6</v>
      </c>
      <c r="L3" s="7">
        <f>$B3 * IFERROR(VLOOKUP("industry|SO2|Infant mortality", US_national_yearly!$D:$AM, 20, FALSE) / VLOOKUP("industry|SO2|Infant mortality", US_national_yearly!$D:$AM, 10, FALSE), 1)</f>
        <v>1.4768441217034846E-6</v>
      </c>
      <c r="M3" s="7">
        <f>$B3 * IFERROR(VLOOKUP("industry|SO2|Infant mortality", US_national_yearly!$D:$AM, 21, FALSE) / VLOOKUP("industry|SO2|Infant mortality", US_national_yearly!$D:$AM, 10, FALSE), 1)</f>
        <v>1.4672218859873444E-6</v>
      </c>
      <c r="N3" s="7">
        <f>$B3 * IFERROR(VLOOKUP("industry|SO2|Infant mortality", US_national_yearly!$D:$AM, 22, FALSE) / VLOOKUP("industry|SO2|Infant mortality", US_national_yearly!$D:$AM, 10, FALSE), 1)</f>
        <v>1.4611232677856947E-6</v>
      </c>
      <c r="O3" s="7">
        <f>$B3 * IFERROR(VLOOKUP("industry|SO2|Infant mortality", US_national_yearly!$D:$AM, 23, FALSE) / VLOOKUP("industry|SO2|Infant mortality", US_national_yearly!$D:$AM, 10, FALSE), 1)</f>
        <v>1.4550246495840451E-6</v>
      </c>
      <c r="P3" s="7">
        <f>$B3 * IFERROR(VLOOKUP("industry|SO2|Infant mortality", US_national_yearly!$D:$AM, 24, FALSE) / VLOOKUP("industry|SO2|Infant mortality", US_national_yearly!$D:$AM, 10, FALSE), 1)</f>
        <v>1.4489260313823952E-6</v>
      </c>
      <c r="Q3" s="7">
        <f>$B3 * IFERROR(VLOOKUP("industry|SO2|Infant mortality", US_national_yearly!$D:$AM, 25, FALSE) / VLOOKUP("industry|SO2|Infant mortality", US_national_yearly!$D:$AM, 10, FALSE), 1)</f>
        <v>1.4428274131807456E-6</v>
      </c>
      <c r="R3" s="7">
        <f>$B3 * IFERROR(VLOOKUP("industry|SO2|Infant mortality", US_national_yearly!$D:$AM, 26, FALSE) / VLOOKUP("industry|SO2|Infant mortality", US_national_yearly!$D:$AM, 10, FALSE), 1)</f>
        <v>1.436728794979096E-6</v>
      </c>
      <c r="S3" s="7">
        <f>$B3 * IFERROR(VLOOKUP("industry|SO2|Infant mortality", US_national_yearly!$D:$AM, 27, FALSE) / VLOOKUP("industry|SO2|Infant mortality", US_national_yearly!$D:$AM, 10, FALSE), 1)</f>
        <v>1.429139134198253E-6</v>
      </c>
      <c r="T3" s="7">
        <f>$B3 * IFERROR(VLOOKUP("industry|SO2|Infant mortality", US_national_yearly!$D:$AM, 28, FALSE) / VLOOKUP("industry|SO2|Infant mortality", US_national_yearly!$D:$AM, 10, FALSE), 1)</f>
        <v>1.4215494734174103E-6</v>
      </c>
      <c r="U3" s="7">
        <f>$B3 * IFERROR(VLOOKUP("industry|SO2|Infant mortality", US_national_yearly!$D:$AM, 29, FALSE) / VLOOKUP("industry|SO2|Infant mortality", US_national_yearly!$D:$AM, 10, FALSE), 1)</f>
        <v>1.4139598126365673E-6</v>
      </c>
      <c r="V3" s="7">
        <f>$B3 * IFERROR(VLOOKUP("industry|SO2|Infant mortality", US_national_yearly!$D:$AM, 30, FALSE) / VLOOKUP("industry|SO2|Infant mortality", US_national_yearly!$D:$AM, 10, FALSE), 1)</f>
        <v>1.4063701518557246E-6</v>
      </c>
      <c r="W3" s="7">
        <f>$B3 * IFERROR(VLOOKUP("industry|SO2|Infant mortality", US_national_yearly!$D:$AM, 31, FALSE) / VLOOKUP("industry|SO2|Infant mortality", US_national_yearly!$D:$AM, 10, FALSE), 1)</f>
        <v>1.3987804910748816E-6</v>
      </c>
      <c r="X3" s="7">
        <f>$B3 * IFERROR(VLOOKUP("industry|SO2|Infant mortality", US_national_yearly!$D:$AM, 32, FALSE) / VLOOKUP("industry|SO2|Infant mortality", US_national_yearly!$D:$AM, 10, FALSE), 1)</f>
        <v>1.3905327947209646E-6</v>
      </c>
      <c r="Y3" s="7">
        <f>$B3 * IFERROR(VLOOKUP("industry|SO2|Infant mortality", US_national_yearly!$D:$AM, 33, FALSE) / VLOOKUP("industry|SO2|Infant mortality", US_national_yearly!$D:$AM, 10, FALSE), 1)</f>
        <v>1.3822850983670476E-6</v>
      </c>
      <c r="Z3" s="7">
        <f>$B3 * IFERROR(VLOOKUP("industry|SO2|Infant mortality", US_national_yearly!$D:$AM, 34, FALSE) / VLOOKUP("industry|SO2|Infant mortality", US_national_yearly!$D:$AM, 10, FALSE), 1)</f>
        <v>1.3740374020131303E-6</v>
      </c>
      <c r="AA3" s="7">
        <f>$B3 * IFERROR(VLOOKUP("industry|SO2|Infant mortality", US_national_yearly!$D:$AM, 35, FALSE) / VLOOKUP("industry|SO2|Infant mortality", US_national_yearly!$D:$AM, 10, FALSE), 1)</f>
        <v>1.3657897056592133E-6</v>
      </c>
      <c r="AB3" s="7">
        <f>$B3 * IFERROR(VLOOKUP("industry|SO2|Infant mortality", US_national_yearly!$D:$AM, 36, FALSE) / VLOOKUP("industry|SO2|Infant mortality", US_national_yearly!$D:$AM, 10, FALSE), 1)</f>
        <v>1.3575420093052962E-6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6.4215657318246978E-3</v>
      </c>
      <c r="C6" s="7">
        <f>$B6 * IFERROR(VLOOKUP("industry|SO2|Asthma symptoms cough", US_national_yearly!$D:$AM, 11, FALSE) / VLOOKUP("industry|SO2|Asthma symptoms cough", US_national_yearly!$D:$AM, 10, FALSE), 1)</f>
        <v>6.4215657318246978E-3</v>
      </c>
      <c r="D6" s="7">
        <f>$B6 * IFERROR(VLOOKUP("industry|SO2|Asthma symptoms cough", US_national_yearly!$D:$AM, 12, FALSE) / VLOOKUP("industry|SO2|Asthma symptoms cough", US_national_yearly!$D:$AM, 10, FALSE), 1)</f>
        <v>6.4215657318246978E-3</v>
      </c>
      <c r="E6" s="7">
        <f>$B6 * IFERROR(VLOOKUP("industry|SO2|Asthma symptoms cough", US_national_yearly!$D:$AM, 13, FALSE) / VLOOKUP("industry|SO2|Asthma symptoms cough", US_national_yearly!$D:$AM, 10, FALSE), 1)</f>
        <v>6.4215657318246978E-3</v>
      </c>
      <c r="F6" s="7">
        <f>$B6 * IFERROR(VLOOKUP("industry|SO2|Asthma symptoms cough", US_national_yearly!$D:$AM, 14, FALSE) / VLOOKUP("industry|SO2|Asthma symptoms cough", US_national_yearly!$D:$AM, 10, FALSE), 1)</f>
        <v>6.4215657318246978E-3</v>
      </c>
      <c r="G6" s="7">
        <f>$B6 * IFERROR(VLOOKUP("industry|SO2|Asthma symptoms cough", US_national_yearly!$D:$AM, 15, FALSE) / VLOOKUP("industry|SO2|Asthma symptoms cough", US_national_yearly!$D:$AM, 10, FALSE), 1)</f>
        <v>6.4215657318246978E-3</v>
      </c>
      <c r="H6" s="7">
        <f>$B6 * IFERROR(VLOOKUP("industry|SO2|Asthma symptoms cough", US_national_yearly!$D:$AM, 16, FALSE) / VLOOKUP("industry|SO2|Asthma symptoms cough", US_national_yearly!$D:$AM, 10, FALSE), 1)</f>
        <v>6.4215657318246978E-3</v>
      </c>
      <c r="I6" s="7">
        <f>$B6 * IFERROR(VLOOKUP("industry|SO2|Asthma symptoms cough", US_national_yearly!$D:$AM, 17, FALSE) / VLOOKUP("industry|SO2|Asthma symptoms cough", US_national_yearly!$D:$AM, 10, FALSE), 1)</f>
        <v>6.4215657318246978E-3</v>
      </c>
      <c r="J6" s="7">
        <f>$B6 * IFERROR(VLOOKUP("industry|SO2|Asthma symptoms cough", US_national_yearly!$D:$AM, 18, FALSE) / VLOOKUP("industry|SO2|Asthma symptoms cough", US_national_yearly!$D:$AM, 10, FALSE), 1)</f>
        <v>6.4215657318246978E-3</v>
      </c>
      <c r="K6" s="7">
        <f>$B6 * IFERROR(VLOOKUP("industry|SO2|Asthma symptoms cough", US_national_yearly!$D:$AM, 19, FALSE) / VLOOKUP("industry|SO2|Asthma symptoms cough", US_national_yearly!$D:$AM, 10, FALSE), 1)</f>
        <v>6.4215657318246978E-3</v>
      </c>
      <c r="L6" s="7">
        <f>$B6 * IFERROR(VLOOKUP("industry|SO2|Asthma symptoms cough", US_national_yearly!$D:$AM, 20, FALSE) / VLOOKUP("industry|SO2|Asthma symptoms cough", US_national_yearly!$D:$AM, 10, FALSE), 1)</f>
        <v>6.4215657318246978E-3</v>
      </c>
      <c r="M6" s="7">
        <f>$B6 * IFERROR(VLOOKUP("industry|SO2|Asthma symptoms cough", US_national_yearly!$D:$AM, 21, FALSE) / VLOOKUP("industry|SO2|Asthma symptoms cough", US_national_yearly!$D:$AM, 10, FALSE), 1)</f>
        <v>6.4215657318246978E-3</v>
      </c>
      <c r="N6" s="7">
        <f>$B6 * IFERROR(VLOOKUP("industry|SO2|Asthma symptoms cough", US_national_yearly!$D:$AM, 22, FALSE) / VLOOKUP("industry|SO2|Asthma symptoms cough", US_national_yearly!$D:$AM, 10, FALSE), 1)</f>
        <v>6.4215657318246978E-3</v>
      </c>
      <c r="O6" s="7">
        <f>$B6 * IFERROR(VLOOKUP("industry|SO2|Asthma symptoms cough", US_national_yearly!$D:$AM, 23, FALSE) / VLOOKUP("industry|SO2|Asthma symptoms cough", US_national_yearly!$D:$AM, 10, FALSE), 1)</f>
        <v>6.4215657318246978E-3</v>
      </c>
      <c r="P6" s="7">
        <f>$B6 * IFERROR(VLOOKUP("industry|SO2|Asthma symptoms cough", US_national_yearly!$D:$AM, 24, FALSE) / VLOOKUP("industry|SO2|Asthma symptoms cough", US_national_yearly!$D:$AM, 10, FALSE), 1)</f>
        <v>6.4215657318246978E-3</v>
      </c>
      <c r="Q6" s="7">
        <f>$B6 * IFERROR(VLOOKUP("industry|SO2|Asthma symptoms cough", US_national_yearly!$D:$AM, 25, FALSE) / VLOOKUP("industry|SO2|Asthma symptoms cough", US_national_yearly!$D:$AM, 10, FALSE), 1)</f>
        <v>6.4215657318246978E-3</v>
      </c>
      <c r="R6" s="7">
        <f>$B6 * IFERROR(VLOOKUP("industry|SO2|Asthma symptoms cough", US_national_yearly!$D:$AM, 26, FALSE) / VLOOKUP("industry|SO2|Asthma symptoms cough", US_national_yearly!$D:$AM, 10, FALSE), 1)</f>
        <v>6.4215657318246978E-3</v>
      </c>
      <c r="S6" s="7">
        <f>$B6 * IFERROR(VLOOKUP("industry|SO2|Asthma symptoms cough", US_national_yearly!$D:$AM, 27, FALSE) / VLOOKUP("industry|SO2|Asthma symptoms cough", US_national_yearly!$D:$AM, 10, FALSE), 1)</f>
        <v>6.4215657318246978E-3</v>
      </c>
      <c r="T6" s="7">
        <f>$B6 * IFERROR(VLOOKUP("industry|SO2|Asthma symptoms cough", US_national_yearly!$D:$AM, 28, FALSE) / VLOOKUP("industry|SO2|Asthma symptoms cough", US_national_yearly!$D:$AM, 10, FALSE), 1)</f>
        <v>6.4215657318246978E-3</v>
      </c>
      <c r="U6" s="7">
        <f>$B6 * IFERROR(VLOOKUP("industry|SO2|Asthma symptoms cough", US_national_yearly!$D:$AM, 29, FALSE) / VLOOKUP("industry|SO2|Asthma symptoms cough", US_national_yearly!$D:$AM, 10, FALSE), 1)</f>
        <v>6.4215657318246978E-3</v>
      </c>
      <c r="V6" s="7">
        <f>$B6 * IFERROR(VLOOKUP("industry|SO2|Asthma symptoms cough", US_national_yearly!$D:$AM, 30, FALSE) / VLOOKUP("industry|SO2|Asthma symptoms cough", US_national_yearly!$D:$AM, 10, FALSE), 1)</f>
        <v>6.4215657318246978E-3</v>
      </c>
      <c r="W6" s="7">
        <f>$B6 * IFERROR(VLOOKUP("industry|SO2|Asthma symptoms cough", US_national_yearly!$D:$AM, 31, FALSE) / VLOOKUP("industry|SO2|Asthma symptoms cough", US_national_yearly!$D:$AM, 10, FALSE), 1)</f>
        <v>6.4215657318246978E-3</v>
      </c>
      <c r="X6" s="7">
        <f>$B6 * IFERROR(VLOOKUP("industry|SO2|Asthma symptoms cough", US_national_yearly!$D:$AM, 32, FALSE) / VLOOKUP("industry|SO2|Asthma symptoms cough", US_national_yearly!$D:$AM, 10, FALSE), 1)</f>
        <v>6.4215657318246978E-3</v>
      </c>
      <c r="Y6" s="7">
        <f>$B6 * IFERROR(VLOOKUP("industry|SO2|Asthma symptoms cough", US_national_yearly!$D:$AM, 33, FALSE) / VLOOKUP("industry|SO2|Asthma symptoms cough", US_national_yearly!$D:$AM, 10, FALSE), 1)</f>
        <v>6.4215657318246978E-3</v>
      </c>
      <c r="Z6" s="7">
        <f>$B6 * IFERROR(VLOOKUP("industry|SO2|Asthma symptoms cough", US_national_yearly!$D:$AM, 34, FALSE) / VLOOKUP("industry|SO2|Asthma symptoms cough", US_national_yearly!$D:$AM, 10, FALSE), 1)</f>
        <v>6.4215657318246978E-3</v>
      </c>
      <c r="AA6" s="7">
        <f>$B6 * IFERROR(VLOOKUP("industry|SO2|Asthma symptoms cough", US_national_yearly!$D:$AM, 35, FALSE) / VLOOKUP("industry|SO2|Asthma symptoms cough", US_national_yearly!$D:$AM, 10, FALSE), 1)</f>
        <v>6.4215657318246978E-3</v>
      </c>
      <c r="AB6" s="7">
        <f>$B6 * IFERROR(VLOOKUP("industry|SO2|Asthma symptoms cough", US_national_yearly!$D:$AM, 36, FALSE) / VLOOKUP("industry|SO2|Asthma symptoms cough", US_national_yearly!$D:$AM, 10, FALSE), 1)</f>
        <v>6.4215657318246978E-3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8.6475438373506339E-3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8.6475438373506339E-3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8.6475438373506339E-3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8.6475438373506339E-3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8.6475438373506339E-3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8.6475438373506339E-3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8.6475438373506339E-3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8.6475438373506339E-3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8.6475438373506339E-3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8.6475438373506339E-3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8.6475438373506339E-3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8.6475438373506339E-3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8.6475438373506339E-3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8.6475438373506339E-3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8.6475438373506339E-3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8.6475438373506339E-3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8.6475438373506339E-3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8.6475438373506339E-3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8.6475438373506339E-3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8.6475438373506339E-3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8.6475438373506339E-3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8.6475438373506339E-3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8.6475438373506339E-3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8.6475438373506339E-3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8.6475438373506339E-3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8.6475438373506339E-3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8.6475438373506339E-3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1.321207494741E-2</v>
      </c>
      <c r="C8" s="7">
        <f>$B8 * IFERROR(VLOOKUP("industry|SO2|Asthma symptoms wheeze", US_national_yearly!$D:$AM, 11, FALSE) / VLOOKUP("industry|SO2|Asthma symptoms wheeze", US_national_yearly!$D:$AM, 10, FALSE), 1)</f>
        <v>1.321207494741E-2</v>
      </c>
      <c r="D8" s="7">
        <f>$B8 * IFERROR(VLOOKUP("industry|SO2|Asthma symptoms wheeze", US_national_yearly!$D:$AM, 12, FALSE) / VLOOKUP("industry|SO2|Asthma symptoms wheeze", US_national_yearly!$D:$AM, 10, FALSE), 1)</f>
        <v>1.321207494741E-2</v>
      </c>
      <c r="E8" s="7">
        <f>$B8 * IFERROR(VLOOKUP("industry|SO2|Asthma symptoms wheeze", US_national_yearly!$D:$AM, 13, FALSE) / VLOOKUP("industry|SO2|Asthma symptoms wheeze", US_national_yearly!$D:$AM, 10, FALSE), 1)</f>
        <v>1.321207494741E-2</v>
      </c>
      <c r="F8" s="7">
        <f>$B8 * IFERROR(VLOOKUP("industry|SO2|Asthma symptoms wheeze", US_national_yearly!$D:$AM, 14, FALSE) / VLOOKUP("industry|SO2|Asthma symptoms wheeze", US_national_yearly!$D:$AM, 10, FALSE), 1)</f>
        <v>1.321207494741E-2</v>
      </c>
      <c r="G8" s="7">
        <f>$B8 * IFERROR(VLOOKUP("industry|SO2|Asthma symptoms wheeze", US_national_yearly!$D:$AM, 15, FALSE) / VLOOKUP("industry|SO2|Asthma symptoms wheeze", US_national_yearly!$D:$AM, 10, FALSE), 1)</f>
        <v>1.321207494741E-2</v>
      </c>
      <c r="H8" s="7">
        <f>$B8 * IFERROR(VLOOKUP("industry|SO2|Asthma symptoms wheeze", US_national_yearly!$D:$AM, 16, FALSE) / VLOOKUP("industry|SO2|Asthma symptoms wheeze", US_national_yearly!$D:$AM, 10, FALSE), 1)</f>
        <v>1.321207494741E-2</v>
      </c>
      <c r="I8" s="7">
        <f>$B8 * IFERROR(VLOOKUP("industry|SO2|Asthma symptoms wheeze", US_national_yearly!$D:$AM, 17, FALSE) / VLOOKUP("industry|SO2|Asthma symptoms wheeze", US_national_yearly!$D:$AM, 10, FALSE), 1)</f>
        <v>1.321207494741E-2</v>
      </c>
      <c r="J8" s="7">
        <f>$B8 * IFERROR(VLOOKUP("industry|SO2|Asthma symptoms wheeze", US_national_yearly!$D:$AM, 18, FALSE) / VLOOKUP("industry|SO2|Asthma symptoms wheeze", US_national_yearly!$D:$AM, 10, FALSE), 1)</f>
        <v>1.321207494741E-2</v>
      </c>
      <c r="K8" s="7">
        <f>$B8 * IFERROR(VLOOKUP("industry|SO2|Asthma symptoms wheeze", US_national_yearly!$D:$AM, 19, FALSE) / VLOOKUP("industry|SO2|Asthma symptoms wheeze", US_national_yearly!$D:$AM, 10, FALSE), 1)</f>
        <v>1.321207494741E-2</v>
      </c>
      <c r="L8" s="7">
        <f>$B8 * IFERROR(VLOOKUP("industry|SO2|Asthma symptoms wheeze", US_national_yearly!$D:$AM, 20, FALSE) / VLOOKUP("industry|SO2|Asthma symptoms wheeze", US_national_yearly!$D:$AM, 10, FALSE), 1)</f>
        <v>1.321207494741E-2</v>
      </c>
      <c r="M8" s="7">
        <f>$B8 * IFERROR(VLOOKUP("industry|SO2|Asthma symptoms wheeze", US_national_yearly!$D:$AM, 21, FALSE) / VLOOKUP("industry|SO2|Asthma symptoms wheeze", US_national_yearly!$D:$AM, 10, FALSE), 1)</f>
        <v>1.321207494741E-2</v>
      </c>
      <c r="N8" s="7">
        <f>$B8 * IFERROR(VLOOKUP("industry|SO2|Asthma symptoms wheeze", US_national_yearly!$D:$AM, 22, FALSE) / VLOOKUP("industry|SO2|Asthma symptoms wheeze", US_national_yearly!$D:$AM, 10, FALSE), 1)</f>
        <v>1.321207494741E-2</v>
      </c>
      <c r="O8" s="7">
        <f>$B8 * IFERROR(VLOOKUP("industry|SO2|Asthma symptoms wheeze", US_national_yearly!$D:$AM, 23, FALSE) / VLOOKUP("industry|SO2|Asthma symptoms wheeze", US_national_yearly!$D:$AM, 10, FALSE), 1)</f>
        <v>1.321207494741E-2</v>
      </c>
      <c r="P8" s="7">
        <f>$B8 * IFERROR(VLOOKUP("industry|SO2|Asthma symptoms wheeze", US_national_yearly!$D:$AM, 24, FALSE) / VLOOKUP("industry|SO2|Asthma symptoms wheeze", US_national_yearly!$D:$AM, 10, FALSE), 1)</f>
        <v>1.321207494741E-2</v>
      </c>
      <c r="Q8" s="7">
        <f>$B8 * IFERROR(VLOOKUP("industry|SO2|Asthma symptoms wheeze", US_national_yearly!$D:$AM, 25, FALSE) / VLOOKUP("industry|SO2|Asthma symptoms wheeze", US_national_yearly!$D:$AM, 10, FALSE), 1)</f>
        <v>1.321207494741E-2</v>
      </c>
      <c r="R8" s="7">
        <f>$B8 * IFERROR(VLOOKUP("industry|SO2|Asthma symptoms wheeze", US_national_yearly!$D:$AM, 26, FALSE) / VLOOKUP("industry|SO2|Asthma symptoms wheeze", US_national_yearly!$D:$AM, 10, FALSE), 1)</f>
        <v>1.321207494741E-2</v>
      </c>
      <c r="S8" s="7">
        <f>$B8 * IFERROR(VLOOKUP("industry|SO2|Asthma symptoms wheeze", US_national_yearly!$D:$AM, 27, FALSE) / VLOOKUP("industry|SO2|Asthma symptoms wheeze", US_national_yearly!$D:$AM, 10, FALSE), 1)</f>
        <v>1.321207494741E-2</v>
      </c>
      <c r="T8" s="7">
        <f>$B8 * IFERROR(VLOOKUP("industry|SO2|Asthma symptoms wheeze", US_national_yearly!$D:$AM, 28, FALSE) / VLOOKUP("industry|SO2|Asthma symptoms wheeze", US_national_yearly!$D:$AM, 10, FALSE), 1)</f>
        <v>1.321207494741E-2</v>
      </c>
      <c r="U8" s="7">
        <f>$B8 * IFERROR(VLOOKUP("industry|SO2|Asthma symptoms wheeze", US_national_yearly!$D:$AM, 29, FALSE) / VLOOKUP("industry|SO2|Asthma symptoms wheeze", US_national_yearly!$D:$AM, 10, FALSE), 1)</f>
        <v>1.321207494741E-2</v>
      </c>
      <c r="V8" s="7">
        <f>$B8 * IFERROR(VLOOKUP("industry|SO2|Asthma symptoms wheeze", US_national_yearly!$D:$AM, 30, FALSE) / VLOOKUP("industry|SO2|Asthma symptoms wheeze", US_national_yearly!$D:$AM, 10, FALSE), 1)</f>
        <v>1.321207494741E-2</v>
      </c>
      <c r="W8" s="7">
        <f>$B8 * IFERROR(VLOOKUP("industry|SO2|Asthma symptoms wheeze", US_national_yearly!$D:$AM, 31, FALSE) / VLOOKUP("industry|SO2|Asthma symptoms wheeze", US_national_yearly!$D:$AM, 10, FALSE), 1)</f>
        <v>1.321207494741E-2</v>
      </c>
      <c r="X8" s="7">
        <f>$B8 * IFERROR(VLOOKUP("industry|SO2|Asthma symptoms wheeze", US_national_yearly!$D:$AM, 32, FALSE) / VLOOKUP("industry|SO2|Asthma symptoms wheeze", US_national_yearly!$D:$AM, 10, FALSE), 1)</f>
        <v>1.321207494741E-2</v>
      </c>
      <c r="Y8" s="7">
        <f>$B8 * IFERROR(VLOOKUP("industry|SO2|Asthma symptoms wheeze", US_national_yearly!$D:$AM, 33, FALSE) / VLOOKUP("industry|SO2|Asthma symptoms wheeze", US_national_yearly!$D:$AM, 10, FALSE), 1)</f>
        <v>1.321207494741E-2</v>
      </c>
      <c r="Z8" s="7">
        <f>$B8 * IFERROR(VLOOKUP("industry|SO2|Asthma symptoms wheeze", US_national_yearly!$D:$AM, 34, FALSE) / VLOOKUP("industry|SO2|Asthma symptoms wheeze", US_national_yearly!$D:$AM, 10, FALSE), 1)</f>
        <v>1.321207494741E-2</v>
      </c>
      <c r="AA8" s="7">
        <f>$B8 * IFERROR(VLOOKUP("industry|SO2|Asthma symptoms wheeze", US_national_yearly!$D:$AM, 35, FALSE) / VLOOKUP("industry|SO2|Asthma symptoms wheeze", US_national_yearly!$D:$AM, 10, FALSE), 1)</f>
        <v>1.321207494741E-2</v>
      </c>
      <c r="AB8" s="7">
        <f>$B8 * IFERROR(VLOOKUP("industry|SO2|Asthma symptoms wheeze", US_national_yearly!$D:$AM, 36, FALSE) / VLOOKUP("industry|SO2|Asthma symptoms wheeze", US_national_yearly!$D:$AM, 10, FALSE), 1)</f>
        <v>1.321207494741E-2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1.2956461654256351E-4</v>
      </c>
      <c r="C12" s="7">
        <f>$B12 * IFERROR(VLOOKUP("industry|SO2|Respiratory hospital admissions", US_national_yearly!$D:$AM, 11, FALSE) / VLOOKUP("industry|SO2|Respiratory hospital admissions", US_national_yearly!$D:$AM, 10, FALSE), 1)</f>
        <v>1.3032361784996664E-4</v>
      </c>
      <c r="D12" s="7">
        <f>$B12 * IFERROR(VLOOKUP("industry|SO2|Respiratory hospital admissions", US_national_yearly!$D:$AM, 12, FALSE) / VLOOKUP("industry|SO2|Respiratory hospital admissions", US_national_yearly!$D:$AM, 10, FALSE), 1)</f>
        <v>1.3108261915736977E-4</v>
      </c>
      <c r="E12" s="7">
        <f>$B12 * IFERROR(VLOOKUP("industry|SO2|Respiratory hospital admissions", US_national_yearly!$D:$AM, 13, FALSE) / VLOOKUP("industry|SO2|Respiratory hospital admissions", US_national_yearly!$D:$AM, 10, FALSE), 1)</f>
        <v>1.318416204647729E-4</v>
      </c>
      <c r="F12" s="7">
        <f>$B12 * IFERROR(VLOOKUP("industry|SO2|Respiratory hospital admissions", US_national_yearly!$D:$AM, 14, FALSE) / VLOOKUP("industry|SO2|Respiratory hospital admissions", US_national_yearly!$D:$AM, 10, FALSE), 1)</f>
        <v>1.3260062177217606E-4</v>
      </c>
      <c r="G12" s="7">
        <f>$B12 * IFERROR(VLOOKUP("industry|SO2|Respiratory hospital admissions", US_national_yearly!$D:$AM, 15, FALSE) / VLOOKUP("industry|SO2|Respiratory hospital admissions", US_national_yearly!$D:$AM, 10, FALSE), 1)</f>
        <v>1.3342808002011377E-4</v>
      </c>
      <c r="H12" s="7">
        <f>$B12 * IFERROR(VLOOKUP("industry|SO2|Respiratory hospital admissions", US_national_yearly!$D:$AM, 16, FALSE) / VLOOKUP("industry|SO2|Respiratory hospital admissions", US_national_yearly!$D:$AM, 10, FALSE), 1)</f>
        <v>1.3425553826805148E-4</v>
      </c>
      <c r="I12" s="7">
        <f>$B12 * IFERROR(VLOOKUP("industry|SO2|Respiratory hospital admissions", US_national_yearly!$D:$AM, 17, FALSE) / VLOOKUP("industry|SO2|Respiratory hospital admissions", US_national_yearly!$D:$AM, 10, FALSE), 1)</f>
        <v>1.3506823794678325E-4</v>
      </c>
      <c r="J12" s="7">
        <f>$B12 * IFERROR(VLOOKUP("industry|SO2|Respiratory hospital admissions", US_national_yearly!$D:$AM, 18, FALSE) / VLOOKUP("industry|SO2|Respiratory hospital admissions", US_national_yearly!$D:$AM, 10, FALSE), 1)</f>
        <v>1.3588093762551505E-4</v>
      </c>
      <c r="K12" s="7">
        <f>$B12 * IFERROR(VLOOKUP("industry|SO2|Respiratory hospital admissions", US_national_yearly!$D:$AM, 19, FALSE) / VLOOKUP("industry|SO2|Respiratory hospital admissions", US_national_yearly!$D:$AM, 10, FALSE), 1)</f>
        <v>1.3669363730424682E-4</v>
      </c>
      <c r="L12" s="7">
        <f>$B12 * IFERROR(VLOOKUP("industry|SO2|Respiratory hospital admissions", US_national_yearly!$D:$AM, 20, FALSE) / VLOOKUP("industry|SO2|Respiratory hospital admissions", US_national_yearly!$D:$AM, 10, FALSE), 1)</f>
        <v>1.3750633698297863E-4</v>
      </c>
      <c r="M12" s="7">
        <f>$B12 * IFERROR(VLOOKUP("industry|SO2|Respiratory hospital admissions", US_national_yearly!$D:$AM, 21, FALSE) / VLOOKUP("industry|SO2|Respiratory hospital admissions", US_national_yearly!$D:$AM, 10, FALSE), 1)</f>
        <v>1.3831903666171043E-4</v>
      </c>
      <c r="N12" s="7">
        <f>$B12 * IFERROR(VLOOKUP("industry|SO2|Respiratory hospital admissions", US_national_yearly!$D:$AM, 22, FALSE) / VLOOKUP("industry|SO2|Respiratory hospital admissions", US_national_yearly!$D:$AM, 10, FALSE), 1)</f>
        <v>1.3890711758809474E-4</v>
      </c>
      <c r="O12" s="7">
        <f>$B12 * IFERROR(VLOOKUP("industry|SO2|Respiratory hospital admissions", US_national_yearly!$D:$AM, 23, FALSE) / VLOOKUP("industry|SO2|Respiratory hospital admissions", US_national_yearly!$D:$AM, 10, FALSE), 1)</f>
        <v>1.3949519851447906E-4</v>
      </c>
      <c r="P12" s="7">
        <f>$B12 * IFERROR(VLOOKUP("industry|SO2|Respiratory hospital admissions", US_national_yearly!$D:$AM, 24, FALSE) / VLOOKUP("industry|SO2|Respiratory hospital admissions", US_national_yearly!$D:$AM, 10, FALSE), 1)</f>
        <v>1.4008327944086335E-4</v>
      </c>
      <c r="Q12" s="7">
        <f>$B12 * IFERROR(VLOOKUP("industry|SO2|Respiratory hospital admissions", US_national_yearly!$D:$AM, 25, FALSE) / VLOOKUP("industry|SO2|Respiratory hospital admissions", US_national_yearly!$D:$AM, 10, FALSE), 1)</f>
        <v>1.4067136036724766E-4</v>
      </c>
      <c r="R12" s="7">
        <f>$B12 * IFERROR(VLOOKUP("industry|SO2|Respiratory hospital admissions", US_national_yearly!$D:$AM, 26, FALSE) / VLOOKUP("industry|SO2|Respiratory hospital admissions", US_national_yearly!$D:$AM, 10, FALSE), 1)</f>
        <v>1.4125944129363195E-4</v>
      </c>
      <c r="S12" s="7">
        <f>$B12 * IFERROR(VLOOKUP("industry|SO2|Respiratory hospital admissions", US_national_yearly!$D:$AM, 27, FALSE) / VLOOKUP("industry|SO2|Respiratory hospital admissions", US_national_yearly!$D:$AM, 10, FALSE), 1)</f>
        <v>1.4181832232156534E-4</v>
      </c>
      <c r="T12" s="7">
        <f>$B12 * IFERROR(VLOOKUP("industry|SO2|Respiratory hospital admissions", US_national_yearly!$D:$AM, 28, FALSE) / VLOOKUP("industry|SO2|Respiratory hospital admissions", US_national_yearly!$D:$AM, 10, FALSE), 1)</f>
        <v>1.4237720334949873E-4</v>
      </c>
      <c r="U12" s="7">
        <f>$B12 * IFERROR(VLOOKUP("industry|SO2|Respiratory hospital admissions", US_national_yearly!$D:$AM, 29, FALSE) / VLOOKUP("industry|SO2|Respiratory hospital admissions", US_national_yearly!$D:$AM, 10, FALSE), 1)</f>
        <v>1.429360843774321E-4</v>
      </c>
      <c r="V12" s="7">
        <f>$B12 * IFERROR(VLOOKUP("industry|SO2|Respiratory hospital admissions", US_national_yearly!$D:$AM, 30, FALSE) / VLOOKUP("industry|SO2|Respiratory hospital admissions", US_national_yearly!$D:$AM, 10, FALSE), 1)</f>
        <v>1.4349496540536552E-4</v>
      </c>
      <c r="W12" s="7">
        <f>$B12 * IFERROR(VLOOKUP("industry|SO2|Respiratory hospital admissions", US_national_yearly!$D:$AM, 31, FALSE) / VLOOKUP("industry|SO2|Respiratory hospital admissions", US_national_yearly!$D:$AM, 10, FALSE), 1)</f>
        <v>1.4405384643329888E-4</v>
      </c>
      <c r="X12" s="7">
        <f>$B12 * IFERROR(VLOOKUP("industry|SO2|Respiratory hospital admissions", US_national_yearly!$D:$AM, 32, FALSE) / VLOOKUP("industry|SO2|Respiratory hospital admissions", US_national_yearly!$D:$AM, 10, FALSE), 1)</f>
        <v>1.4458456825287228E-4</v>
      </c>
      <c r="Y12" s="7">
        <f>$B12 * IFERROR(VLOOKUP("industry|SO2|Respiratory hospital admissions", US_national_yearly!$D:$AM, 33, FALSE) / VLOOKUP("industry|SO2|Respiratory hospital admissions", US_national_yearly!$D:$AM, 10, FALSE), 1)</f>
        <v>1.4511529007244569E-4</v>
      </c>
      <c r="Z12" s="7">
        <f>$B12 * IFERROR(VLOOKUP("industry|SO2|Respiratory hospital admissions", US_national_yearly!$D:$AM, 34, FALSE) / VLOOKUP("industry|SO2|Respiratory hospital admissions", US_national_yearly!$D:$AM, 10, FALSE), 1)</f>
        <v>1.4564601189201909E-4</v>
      </c>
      <c r="AA12" s="7">
        <f>$B12 * IFERROR(VLOOKUP("industry|SO2|Respiratory hospital admissions", US_national_yearly!$D:$AM, 35, FALSE) / VLOOKUP("industry|SO2|Respiratory hospital admissions", US_national_yearly!$D:$AM, 10, FALSE), 1)</f>
        <v>1.4617673371159246E-4</v>
      </c>
      <c r="AB12" s="7">
        <f>$B12 * IFERROR(VLOOKUP("industry|SO2|Respiratory hospital admissions", US_national_yearly!$D:$AM, 36, FALSE) / VLOOKUP("industry|SO2|Respiratory hospital admissions", US_national_yearly!$D:$AM, 10, FALSE), 1)</f>
        <v>1.4670745553116589E-4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9.1740210471758269E-4</v>
      </c>
      <c r="C13" s="7">
        <f>$B13 * IFERROR(VLOOKUP("industry|SO2|Non-fatal heart attacks", US_national_yearly!$D:$AM, 11, FALSE) / VLOOKUP("industry|SO2|Non-fatal heart attacks", US_national_yearly!$D:$AM, 10, FALSE), 1)</f>
        <v>9.4433359031333131E-4</v>
      </c>
      <c r="D13" s="7">
        <f>$B13 * IFERROR(VLOOKUP("industry|SO2|Non-fatal heart attacks", US_national_yearly!$D:$AM, 12, FALSE) / VLOOKUP("industry|SO2|Non-fatal heart attacks", US_national_yearly!$D:$AM, 10, FALSE), 1)</f>
        <v>9.7126507590907993E-4</v>
      </c>
      <c r="E13" s="7">
        <f>$B13 * IFERROR(VLOOKUP("industry|SO2|Non-fatal heart attacks", US_national_yearly!$D:$AM, 13, FALSE) / VLOOKUP("industry|SO2|Non-fatal heart attacks", US_national_yearly!$D:$AM, 10, FALSE), 1)</f>
        <v>9.9819656150482833E-4</v>
      </c>
      <c r="F13" s="7">
        <f>$B13 * IFERROR(VLOOKUP("industry|SO2|Non-fatal heart attacks", US_national_yearly!$D:$AM, 14, FALSE) / VLOOKUP("industry|SO2|Non-fatal heart attacks", US_national_yearly!$D:$AM, 10, FALSE), 1)</f>
        <v>1.0251280471005771E-3</v>
      </c>
      <c r="G13" s="7">
        <f>$B13 * IFERROR(VLOOKUP("industry|SO2|Non-fatal heart attacks", US_national_yearly!$D:$AM, 15, FALSE) / VLOOKUP("industry|SO2|Non-fatal heart attacks", US_national_yearly!$D:$AM, 10, FALSE), 1)</f>
        <v>1.0505438249677002E-3</v>
      </c>
      <c r="H13" s="7">
        <f>$B13 * IFERROR(VLOOKUP("industry|SO2|Non-fatal heart attacks", US_national_yearly!$D:$AM, 16, FALSE) / VLOOKUP("industry|SO2|Non-fatal heart attacks", US_national_yearly!$D:$AM, 10, FALSE), 1)</f>
        <v>1.0759596028348233E-3</v>
      </c>
      <c r="I13" s="7">
        <f>$B13 * IFERROR(VLOOKUP("industry|SO2|Non-fatal heart attacks", US_national_yearly!$D:$AM, 17, FALSE) / VLOOKUP("industry|SO2|Non-fatal heart attacks", US_national_yearly!$D:$AM, 10, FALSE), 1)</f>
        <v>1.0964491191155755E-3</v>
      </c>
      <c r="J13" s="7">
        <f>$B13 * IFERROR(VLOOKUP("industry|SO2|Non-fatal heart attacks", US_national_yearly!$D:$AM, 18, FALSE) / VLOOKUP("industry|SO2|Non-fatal heart attacks", US_national_yearly!$D:$AM, 10, FALSE), 1)</f>
        <v>1.116938635396328E-3</v>
      </c>
      <c r="K13" s="7">
        <f>$B13 * IFERROR(VLOOKUP("industry|SO2|Non-fatal heart attacks", US_national_yearly!$D:$AM, 19, FALSE) / VLOOKUP("industry|SO2|Non-fatal heart attacks", US_national_yearly!$D:$AM, 10, FALSE), 1)</f>
        <v>1.1374281516770804E-3</v>
      </c>
      <c r="L13" s="7">
        <f>$B13 * IFERROR(VLOOKUP("industry|SO2|Non-fatal heart attacks", US_national_yearly!$D:$AM, 20, FALSE) / VLOOKUP("industry|SO2|Non-fatal heart attacks", US_national_yearly!$D:$AM, 10, FALSE), 1)</f>
        <v>1.1579176679578328E-3</v>
      </c>
      <c r="M13" s="7">
        <f>$B13 * IFERROR(VLOOKUP("industry|SO2|Non-fatal heart attacks", US_national_yearly!$D:$AM, 21, FALSE) / VLOOKUP("industry|SO2|Non-fatal heart attacks", US_national_yearly!$D:$AM, 10, FALSE), 1)</f>
        <v>1.1784071842385851E-3</v>
      </c>
      <c r="N13" s="7">
        <f>$B13 * IFERROR(VLOOKUP("industry|SO2|Non-fatal heart attacks", US_national_yearly!$D:$AM, 22, FALSE) / VLOOKUP("industry|SO2|Non-fatal heart attacks", US_national_yearly!$D:$AM, 10, FALSE), 1)</f>
        <v>1.1917182656123822E-3</v>
      </c>
      <c r="O13" s="7">
        <f>$B13 * IFERROR(VLOOKUP("industry|SO2|Non-fatal heart attacks", US_national_yearly!$D:$AM, 23, FALSE) / VLOOKUP("industry|SO2|Non-fatal heart attacks", US_national_yearly!$D:$AM, 10, FALSE), 1)</f>
        <v>1.2050293469861794E-3</v>
      </c>
      <c r="P13" s="7">
        <f>$B13 * IFERROR(VLOOKUP("industry|SO2|Non-fatal heart attacks", US_national_yearly!$D:$AM, 24, FALSE) / VLOOKUP("industry|SO2|Non-fatal heart attacks", US_national_yearly!$D:$AM, 10, FALSE), 1)</f>
        <v>1.2183404283599764E-3</v>
      </c>
      <c r="Q13" s="7">
        <f>$B13 * IFERROR(VLOOKUP("industry|SO2|Non-fatal heart attacks", US_national_yearly!$D:$AM, 25, FALSE) / VLOOKUP("industry|SO2|Non-fatal heart attacks", US_national_yearly!$D:$AM, 10, FALSE), 1)</f>
        <v>1.2316515097337735E-3</v>
      </c>
      <c r="R13" s="7">
        <f>$B13 * IFERROR(VLOOKUP("industry|SO2|Non-fatal heart attacks", US_national_yearly!$D:$AM, 26, FALSE) / VLOOKUP("industry|SO2|Non-fatal heart attacks", US_national_yearly!$D:$AM, 10, FALSE), 1)</f>
        <v>1.2449625911075707E-3</v>
      </c>
      <c r="S13" s="7">
        <f>$B13 * IFERROR(VLOOKUP("industry|SO2|Non-fatal heart attacks", US_national_yearly!$D:$AM, 27, FALSE) / VLOOKUP("industry|SO2|Non-fatal heart attacks", US_national_yearly!$D:$AM, 10, FALSE), 1)</f>
        <v>1.2519537667574851E-3</v>
      </c>
      <c r="T13" s="7">
        <f>$B13 * IFERROR(VLOOKUP("industry|SO2|Non-fatal heart attacks", US_national_yearly!$D:$AM, 28, FALSE) / VLOOKUP("industry|SO2|Non-fatal heart attacks", US_national_yearly!$D:$AM, 10, FALSE), 1)</f>
        <v>1.2589449424073994E-3</v>
      </c>
      <c r="U13" s="7">
        <f>$B13 * IFERROR(VLOOKUP("industry|SO2|Non-fatal heart attacks", US_national_yearly!$D:$AM, 29, FALSE) / VLOOKUP("industry|SO2|Non-fatal heart attacks", US_national_yearly!$D:$AM, 10, FALSE), 1)</f>
        <v>1.2659361180573138E-3</v>
      </c>
      <c r="V13" s="7">
        <f>$B13 * IFERROR(VLOOKUP("industry|SO2|Non-fatal heart attacks", US_national_yearly!$D:$AM, 30, FALSE) / VLOOKUP("industry|SO2|Non-fatal heart attacks", US_national_yearly!$D:$AM, 10, FALSE), 1)</f>
        <v>1.2729272937072281E-3</v>
      </c>
      <c r="W13" s="7">
        <f>$B13 * IFERROR(VLOOKUP("industry|SO2|Non-fatal heart attacks", US_national_yearly!$D:$AM, 31, FALSE) / VLOOKUP("industry|SO2|Non-fatal heart attacks", US_national_yearly!$D:$AM, 10, FALSE), 1)</f>
        <v>1.2799184693571425E-3</v>
      </c>
      <c r="X13" s="7">
        <f>$B13 * IFERROR(VLOOKUP("industry|SO2|Non-fatal heart attacks", US_national_yearly!$D:$AM, 32, FALSE) / VLOOKUP("industry|SO2|Non-fatal heart attacks", US_national_yearly!$D:$AM, 10, FALSE), 1)</f>
        <v>1.2852280655182113E-3</v>
      </c>
      <c r="Y13" s="7">
        <f>$B13 * IFERROR(VLOOKUP("industry|SO2|Non-fatal heart attacks", US_national_yearly!$D:$AM, 33, FALSE) / VLOOKUP("industry|SO2|Non-fatal heart attacks", US_national_yearly!$D:$AM, 10, FALSE), 1)</f>
        <v>1.2905376616792802E-3</v>
      </c>
      <c r="Z13" s="7">
        <f>$B13 * IFERROR(VLOOKUP("industry|SO2|Non-fatal heart attacks", US_national_yearly!$D:$AM, 34, FALSE) / VLOOKUP("industry|SO2|Non-fatal heart attacks", US_national_yearly!$D:$AM, 10, FALSE), 1)</f>
        <v>1.295847257840349E-3</v>
      </c>
      <c r="AA13" s="7">
        <f>$B13 * IFERROR(VLOOKUP("industry|SO2|Non-fatal heart attacks", US_national_yearly!$D:$AM, 35, FALSE) / VLOOKUP("industry|SO2|Non-fatal heart attacks", US_national_yearly!$D:$AM, 10, FALSE), 1)</f>
        <v>1.3011568540014181E-3</v>
      </c>
      <c r="AB13" s="7">
        <f>$B13 * IFERROR(VLOOKUP("industry|SO2|Non-fatal heart attacks", US_national_yearly!$D:$AM, 36, FALSE) / VLOOKUP("industry|SO2|Non-fatal heart attacks", US_national_yearly!$D:$AM, 10, FALSE), 1)</f>
        <v>1.306466450162487E-3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0.82671357831676995</v>
      </c>
      <c r="C14" s="7">
        <f>$B14 * IFERROR(VLOOKUP("industry|SO2|Minor restricted activity days", US_national_yearly!$D:$AM, 11, FALSE) / VLOOKUP("industry|SO2|Minor restricted activity days", US_national_yearly!$D:$AM, 10, FALSE), 1)</f>
        <v>0.82878151060556371</v>
      </c>
      <c r="D14" s="7">
        <f>$B14 * IFERROR(VLOOKUP("industry|SO2|Minor restricted activity days", US_national_yearly!$D:$AM, 12, FALSE) / VLOOKUP("industry|SO2|Minor restricted activity days", US_national_yearly!$D:$AM, 10, FALSE), 1)</f>
        <v>0.83084944289435725</v>
      </c>
      <c r="E14" s="7">
        <f>$B14 * IFERROR(VLOOKUP("industry|SO2|Minor restricted activity days", US_national_yearly!$D:$AM, 13, FALSE) / VLOOKUP("industry|SO2|Minor restricted activity days", US_national_yearly!$D:$AM, 10, FALSE), 1)</f>
        <v>0.83291737518315101</v>
      </c>
      <c r="F14" s="7">
        <f>$B14 * IFERROR(VLOOKUP("industry|SO2|Minor restricted activity days", US_national_yearly!$D:$AM, 14, FALSE) / VLOOKUP("industry|SO2|Minor restricted activity days", US_national_yearly!$D:$AM, 10, FALSE), 1)</f>
        <v>0.83498530747194477</v>
      </c>
      <c r="G14" s="7">
        <f>$B14 * IFERROR(VLOOKUP("industry|SO2|Minor restricted activity days", US_national_yearly!$D:$AM, 15, FALSE) / VLOOKUP("industry|SO2|Minor restricted activity days", US_national_yearly!$D:$AM, 10, FALSE), 1)</f>
        <v>0.83802743291641701</v>
      </c>
      <c r="H14" s="7">
        <f>$B14 * IFERROR(VLOOKUP("industry|SO2|Minor restricted activity days", US_national_yearly!$D:$AM, 16, FALSE) / VLOOKUP("industry|SO2|Minor restricted activity days", US_national_yearly!$D:$AM, 10, FALSE), 1)</f>
        <v>0.84106955836088904</v>
      </c>
      <c r="I14" s="7">
        <f>$B14 * IFERROR(VLOOKUP("industry|SO2|Minor restricted activity days", US_national_yearly!$D:$AM, 17, FALSE) / VLOOKUP("industry|SO2|Minor restricted activity days", US_national_yearly!$D:$AM, 10, FALSE), 1)</f>
        <v>0.84625730241728214</v>
      </c>
      <c r="J14" s="7">
        <f>$B14 * IFERROR(VLOOKUP("industry|SO2|Minor restricted activity days", US_national_yearly!$D:$AM, 18, FALSE) / VLOOKUP("industry|SO2|Minor restricted activity days", US_national_yearly!$D:$AM, 10, FALSE), 1)</f>
        <v>0.85144504647367525</v>
      </c>
      <c r="K14" s="7">
        <f>$B14 * IFERROR(VLOOKUP("industry|SO2|Minor restricted activity days", US_national_yearly!$D:$AM, 19, FALSE) / VLOOKUP("industry|SO2|Minor restricted activity days", US_national_yearly!$D:$AM, 10, FALSE), 1)</f>
        <v>0.85663279053006824</v>
      </c>
      <c r="L14" s="7">
        <f>$B14 * IFERROR(VLOOKUP("industry|SO2|Minor restricted activity days", US_national_yearly!$D:$AM, 20, FALSE) / VLOOKUP("industry|SO2|Minor restricted activity days", US_national_yearly!$D:$AM, 10, FALSE), 1)</f>
        <v>0.86182053458646135</v>
      </c>
      <c r="M14" s="7">
        <f>$B14 * IFERROR(VLOOKUP("industry|SO2|Minor restricted activity days", US_national_yearly!$D:$AM, 21, FALSE) / VLOOKUP("industry|SO2|Minor restricted activity days", US_national_yearly!$D:$AM, 10, FALSE), 1)</f>
        <v>0.86700827864285446</v>
      </c>
      <c r="N14" s="7">
        <f>$B14 * IFERROR(VLOOKUP("industry|SO2|Minor restricted activity days", US_national_yearly!$D:$AM, 22, FALSE) / VLOOKUP("industry|SO2|Minor restricted activity days", US_national_yearly!$D:$AM, 10, FALSE), 1)</f>
        <v>0.8741212996597163</v>
      </c>
      <c r="O14" s="7">
        <f>$B14 * IFERROR(VLOOKUP("industry|SO2|Minor restricted activity days", US_national_yearly!$D:$AM, 23, FALSE) / VLOOKUP("industry|SO2|Minor restricted activity days", US_national_yearly!$D:$AM, 10, FALSE), 1)</f>
        <v>0.88123432067657825</v>
      </c>
      <c r="P14" s="7">
        <f>$B14 * IFERROR(VLOOKUP("industry|SO2|Minor restricted activity days", US_national_yearly!$D:$AM, 24, FALSE) / VLOOKUP("industry|SO2|Minor restricted activity days", US_national_yearly!$D:$AM, 10, FALSE), 1)</f>
        <v>0.8883473416934401</v>
      </c>
      <c r="Q14" s="7">
        <f>$B14 * IFERROR(VLOOKUP("industry|SO2|Minor restricted activity days", US_national_yearly!$D:$AM, 25, FALSE) / VLOOKUP("industry|SO2|Minor restricted activity days", US_national_yearly!$D:$AM, 10, FALSE), 1)</f>
        <v>0.89546036271030216</v>
      </c>
      <c r="R14" s="7">
        <f>$B14 * IFERROR(VLOOKUP("industry|SO2|Minor restricted activity days", US_national_yearly!$D:$AM, 26, FALSE) / VLOOKUP("industry|SO2|Minor restricted activity days", US_national_yearly!$D:$AM, 10, FALSE), 1)</f>
        <v>0.90257338372716411</v>
      </c>
      <c r="S14" s="7">
        <f>$B14 * IFERROR(VLOOKUP("industry|SO2|Minor restricted activity days", US_national_yearly!$D:$AM, 27, FALSE) / VLOOKUP("industry|SO2|Minor restricted activity days", US_national_yearly!$D:$AM, 10, FALSE), 1)</f>
        <v>0.90983279613656165</v>
      </c>
      <c r="T14" s="7">
        <f>$B14 * IFERROR(VLOOKUP("industry|SO2|Minor restricted activity days", US_national_yearly!$D:$AM, 28, FALSE) / VLOOKUP("industry|SO2|Minor restricted activity days", US_national_yearly!$D:$AM, 10, FALSE), 1)</f>
        <v>0.9170922085459593</v>
      </c>
      <c r="U14" s="7">
        <f>$B14 * IFERROR(VLOOKUP("industry|SO2|Minor restricted activity days", US_national_yearly!$D:$AM, 29, FALSE) / VLOOKUP("industry|SO2|Minor restricted activity days", US_national_yearly!$D:$AM, 10, FALSE), 1)</f>
        <v>0.92435162095535683</v>
      </c>
      <c r="V14" s="7">
        <f>$B14 * IFERROR(VLOOKUP("industry|SO2|Minor restricted activity days", US_national_yearly!$D:$AM, 30, FALSE) / VLOOKUP("industry|SO2|Minor restricted activity days", US_national_yearly!$D:$AM, 10, FALSE), 1)</f>
        <v>0.93161103336475459</v>
      </c>
      <c r="W14" s="7">
        <f>$B14 * IFERROR(VLOOKUP("industry|SO2|Minor restricted activity days", US_national_yearly!$D:$AM, 31, FALSE) / VLOOKUP("industry|SO2|Minor restricted activity days", US_national_yearly!$D:$AM, 10, FALSE), 1)</f>
        <v>0.93887044577415213</v>
      </c>
      <c r="X14" s="7">
        <f>$B14 * IFERROR(VLOOKUP("industry|SO2|Minor restricted activity days", US_national_yearly!$D:$AM, 32, FALSE) / VLOOKUP("industry|SO2|Minor restricted activity days", US_national_yearly!$D:$AM, 10, FALSE), 1)</f>
        <v>0.9452535898102935</v>
      </c>
      <c r="Y14" s="7">
        <f>$B14 * IFERROR(VLOOKUP("industry|SO2|Minor restricted activity days", US_national_yearly!$D:$AM, 33, FALSE) / VLOOKUP("industry|SO2|Minor restricted activity days", US_national_yearly!$D:$AM, 10, FALSE), 1)</f>
        <v>0.95163673384643466</v>
      </c>
      <c r="Z14" s="7">
        <f>$B14 * IFERROR(VLOOKUP("industry|SO2|Minor restricted activity days", US_national_yearly!$D:$AM, 34, FALSE) / VLOOKUP("industry|SO2|Minor restricted activity days", US_national_yearly!$D:$AM, 10, FALSE), 1)</f>
        <v>0.95801987788257581</v>
      </c>
      <c r="AA14" s="7">
        <f>$B14 * IFERROR(VLOOKUP("industry|SO2|Minor restricted activity days", US_national_yearly!$D:$AM, 35, FALSE) / VLOOKUP("industry|SO2|Minor restricted activity days", US_national_yearly!$D:$AM, 10, FALSE), 1)</f>
        <v>0.96440302191871696</v>
      </c>
      <c r="AB14" s="7">
        <f>$B14 * IFERROR(VLOOKUP("industry|SO2|Minor restricted activity days", US_national_yearly!$D:$AM, 36, FALSE) / VLOOKUP("industry|SO2|Minor restricted activity days", US_national_yearly!$D:$AM, 10, FALSE), 1)</f>
        <v>0.97078616595485834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0.14059935025123901</v>
      </c>
      <c r="C15" s="7">
        <f>$B15 * IFERROR(VLOOKUP("industry|SO2|Work loss days", US_national_yearly!$D:$AM, 11, FALSE) / VLOOKUP("industry|SO2|Work loss days", US_national_yearly!$D:$AM, 10, FALSE), 1)</f>
        <v>0.14105150187717239</v>
      </c>
      <c r="D15" s="7">
        <f>$B15 * IFERROR(VLOOKUP("industry|SO2|Work loss days", US_national_yearly!$D:$AM, 12, FALSE) / VLOOKUP("industry|SO2|Work loss days", US_national_yearly!$D:$AM, 10, FALSE), 1)</f>
        <v>0.14150365350310584</v>
      </c>
      <c r="E15" s="7">
        <f>$B15 * IFERROR(VLOOKUP("industry|SO2|Work loss days", US_national_yearly!$D:$AM, 13, FALSE) / VLOOKUP("industry|SO2|Work loss days", US_national_yearly!$D:$AM, 10, FALSE), 1)</f>
        <v>0.14195580512903921</v>
      </c>
      <c r="F15" s="7">
        <f>$B15 * IFERROR(VLOOKUP("industry|SO2|Work loss days", US_national_yearly!$D:$AM, 14, FALSE) / VLOOKUP("industry|SO2|Work loss days", US_national_yearly!$D:$AM, 10, FALSE), 1)</f>
        <v>0.14240795675497264</v>
      </c>
      <c r="G15" s="7">
        <f>$B15 * IFERROR(VLOOKUP("industry|SO2|Work loss days", US_national_yearly!$D:$AM, 15, FALSE) / VLOOKUP("industry|SO2|Work loss days", US_national_yearly!$D:$AM, 10, FALSE), 1)</f>
        <v>0.14299813681546125</v>
      </c>
      <c r="H15" s="7">
        <f>$B15 * IFERROR(VLOOKUP("industry|SO2|Work loss days", US_national_yearly!$D:$AM, 16, FALSE) / VLOOKUP("industry|SO2|Work loss days", US_national_yearly!$D:$AM, 10, FALSE), 1)</f>
        <v>0.14358831687594992</v>
      </c>
      <c r="I15" s="7">
        <f>$B15 * IFERROR(VLOOKUP("industry|SO2|Work loss days", US_national_yearly!$D:$AM, 17, FALSE) / VLOOKUP("industry|SO2|Work loss days", US_national_yearly!$D:$AM, 10, FALSE), 1)</f>
        <v>0.144450993819983</v>
      </c>
      <c r="J15" s="7">
        <f>$B15 * IFERROR(VLOOKUP("industry|SO2|Work loss days", US_national_yearly!$D:$AM, 18, FALSE) / VLOOKUP("industry|SO2|Work loss days", US_national_yearly!$D:$AM, 10, FALSE), 1)</f>
        <v>0.14531367076401605</v>
      </c>
      <c r="K15" s="7">
        <f>$B15 * IFERROR(VLOOKUP("industry|SO2|Work loss days", US_national_yearly!$D:$AM, 19, FALSE) / VLOOKUP("industry|SO2|Work loss days", US_national_yearly!$D:$AM, 10, FALSE), 1)</f>
        <v>0.1461763477080491</v>
      </c>
      <c r="L15" s="7">
        <f>$B15 * IFERROR(VLOOKUP("industry|SO2|Work loss days", US_national_yearly!$D:$AM, 20, FALSE) / VLOOKUP("industry|SO2|Work loss days", US_national_yearly!$D:$AM, 10, FALSE), 1)</f>
        <v>0.14703902465208218</v>
      </c>
      <c r="M15" s="7">
        <f>$B15 * IFERROR(VLOOKUP("industry|SO2|Work loss days", US_national_yearly!$D:$AM, 21, FALSE) / VLOOKUP("industry|SO2|Work loss days", US_national_yearly!$D:$AM, 10, FALSE), 1)</f>
        <v>0.14790170159611524</v>
      </c>
      <c r="N15" s="7">
        <f>$B15 * IFERROR(VLOOKUP("industry|SO2|Work loss days", US_national_yearly!$D:$AM, 22, FALSE) / VLOOKUP("industry|SO2|Work loss days", US_national_yearly!$D:$AM, 10, FALSE), 1)</f>
        <v>0.14898595951204083</v>
      </c>
      <c r="O15" s="7">
        <f>$B15 * IFERROR(VLOOKUP("industry|SO2|Work loss days", US_national_yearly!$D:$AM, 23, FALSE) / VLOOKUP("industry|SO2|Work loss days", US_national_yearly!$D:$AM, 10, FALSE), 1)</f>
        <v>0.15007021742796639</v>
      </c>
      <c r="P15" s="7">
        <f>$B15 * IFERROR(VLOOKUP("industry|SO2|Work loss days", US_national_yearly!$D:$AM, 24, FALSE) / VLOOKUP("industry|SO2|Work loss days", US_national_yearly!$D:$AM, 10, FALSE), 1)</f>
        <v>0.15115447534389198</v>
      </c>
      <c r="Q15" s="7">
        <f>$B15 * IFERROR(VLOOKUP("industry|SO2|Work loss days", US_national_yearly!$D:$AM, 25, FALSE) / VLOOKUP("industry|SO2|Work loss days", US_national_yearly!$D:$AM, 10, FALSE), 1)</f>
        <v>0.15223873325981757</v>
      </c>
      <c r="R15" s="7">
        <f>$B15 * IFERROR(VLOOKUP("industry|SO2|Work loss days", US_national_yearly!$D:$AM, 26, FALSE) / VLOOKUP("industry|SO2|Work loss days", US_national_yearly!$D:$AM, 10, FALSE), 1)</f>
        <v>0.15332299117574313</v>
      </c>
      <c r="S15" s="7">
        <f>$B15 * IFERROR(VLOOKUP("industry|SO2|Work loss days", US_national_yearly!$D:$AM, 27, FALSE) / VLOOKUP("industry|SO2|Work loss days", US_national_yearly!$D:$AM, 10, FALSE), 1)</f>
        <v>0.15453623109855491</v>
      </c>
      <c r="T15" s="7">
        <f>$B15 * IFERROR(VLOOKUP("industry|SO2|Work loss days", US_national_yearly!$D:$AM, 28, FALSE) / VLOOKUP("industry|SO2|Work loss days", US_national_yearly!$D:$AM, 10, FALSE), 1)</f>
        <v>0.15574947102136669</v>
      </c>
      <c r="U15" s="7">
        <f>$B15 * IFERROR(VLOOKUP("industry|SO2|Work loss days", US_national_yearly!$D:$AM, 29, FALSE) / VLOOKUP("industry|SO2|Work loss days", US_national_yearly!$D:$AM, 10, FALSE), 1)</f>
        <v>0.15696271094417852</v>
      </c>
      <c r="V15" s="7">
        <f>$B15 * IFERROR(VLOOKUP("industry|SO2|Work loss days", US_national_yearly!$D:$AM, 30, FALSE) / VLOOKUP("industry|SO2|Work loss days", US_national_yearly!$D:$AM, 10, FALSE), 1)</f>
        <v>0.15817595086699027</v>
      </c>
      <c r="W15" s="7">
        <f>$B15 * IFERROR(VLOOKUP("industry|SO2|Work loss days", US_national_yearly!$D:$AM, 31, FALSE) / VLOOKUP("industry|SO2|Work loss days", US_national_yearly!$D:$AM, 10, FALSE), 1)</f>
        <v>0.15938919078980207</v>
      </c>
      <c r="X15" s="7">
        <f>$B15 * IFERROR(VLOOKUP("industry|SO2|Work loss days", US_national_yearly!$D:$AM, 32, FALSE) / VLOOKUP("industry|SO2|Work loss days", US_national_yearly!$D:$AM, 10, FALSE), 1)</f>
        <v>0.16047889000197157</v>
      </c>
      <c r="Y15" s="7">
        <f>$B15 * IFERROR(VLOOKUP("industry|SO2|Work loss days", US_national_yearly!$D:$AM, 33, FALSE) / VLOOKUP("industry|SO2|Work loss days", US_national_yearly!$D:$AM, 10, FALSE), 1)</f>
        <v>0.16156858921414113</v>
      </c>
      <c r="Z15" s="7">
        <f>$B15 * IFERROR(VLOOKUP("industry|SO2|Work loss days", US_national_yearly!$D:$AM, 34, FALSE) / VLOOKUP("industry|SO2|Work loss days", US_national_yearly!$D:$AM, 10, FALSE), 1)</f>
        <v>0.16265828842631064</v>
      </c>
      <c r="AA15" s="7">
        <f>$B15 * IFERROR(VLOOKUP("industry|SO2|Work loss days", US_national_yearly!$D:$AM, 35, FALSE) / VLOOKUP("industry|SO2|Work loss days", US_national_yearly!$D:$AM, 10, FALSE), 1)</f>
        <v>0.1637479876384802</v>
      </c>
      <c r="AB15" s="7">
        <f>$B15 * IFERROR(VLOOKUP("industry|SO2|Work loss days", US_national_yearly!$D:$AM, 36, FALSE) / VLOOKUP("industry|SO2|Work loss days", US_national_yearly!$D:$AM, 10, FALSE), 1)</f>
        <v>0.16483768685064973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1.7489211089079224E-4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1.8018035801681522E-4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1.8546860514283826E-4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1.9075685226886129E-4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1.960450993948843E-4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2.0111314756420776E-4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2.0618119573353121E-4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2.1052975852826512E-4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2.148783213229991E-4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2.1922688411773306E-4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2.2357544691246702E-4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2.2792400970720095E-4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2.3084560991432884E-4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2.3376721012145673E-4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2.3668881032858457E-4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2.3961041053571246E-4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2.4253201074284035E-4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2.4407683966657829E-4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2.4562166859031631E-4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2.4716649751405431E-4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2.4871132643779231E-4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2.5025615536153031E-4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2.5130086930577226E-4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2.5234558325001427E-4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2.5339029719425628E-4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2.5443501113849829E-4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2.5547972508274024E-4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6.0305590806650439E-4</v>
      </c>
      <c r="C2" s="7">
        <f>$B2 * IFERROR(VLOOKUP("LULUCF|PM25|Premature mortality", US_national_yearly!$D:$AM, 11, FALSE) / VLOOKUP("LULUCF|PM25|Premature mortality", US_national_yearly!$D:$AM, 10, FALSE), 1)</f>
        <v>6.1053247973786857E-4</v>
      </c>
      <c r="D2" s="7">
        <f>$B2 * IFERROR(VLOOKUP("LULUCF|PM25|Premature mortality", US_national_yearly!$D:$AM, 12, FALSE) / VLOOKUP("LULUCF|PM25|Premature mortality", US_national_yearly!$D:$AM, 10, FALSE), 1)</f>
        <v>6.1800905140923254E-4</v>
      </c>
      <c r="E2" s="7">
        <f>$B2 * IFERROR(VLOOKUP("LULUCF|PM25|Premature mortality", US_national_yearly!$D:$AM, 13, FALSE) / VLOOKUP("LULUCF|PM25|Premature mortality", US_national_yearly!$D:$AM, 10, FALSE), 1)</f>
        <v>6.2548562308059651E-4</v>
      </c>
      <c r="F2" s="7">
        <f>$B2 * IFERROR(VLOOKUP("LULUCF|PM25|Premature mortality", US_national_yearly!$D:$AM, 14, FALSE) / VLOOKUP("LULUCF|PM25|Premature mortality", US_national_yearly!$D:$AM, 10, FALSE), 1)</f>
        <v>6.3296219475196059E-4</v>
      </c>
      <c r="G2" s="7">
        <f>$B2 * IFERROR(VLOOKUP("LULUCF|PM25|Premature mortality", US_national_yearly!$D:$AM, 15, FALSE) / VLOOKUP("LULUCF|PM25|Premature mortality", US_national_yearly!$D:$AM, 10, FALSE), 1)</f>
        <v>6.4752276169497325E-4</v>
      </c>
      <c r="H2" s="7">
        <f>$B2 * IFERROR(VLOOKUP("LULUCF|PM25|Premature mortality", US_national_yearly!$D:$AM, 16, FALSE) / VLOOKUP("LULUCF|PM25|Premature mortality", US_national_yearly!$D:$AM, 10, FALSE), 1)</f>
        <v>6.6208332863798602E-4</v>
      </c>
      <c r="I2" s="7">
        <f>$B2 * IFERROR(VLOOKUP("LULUCF|PM25|Premature mortality", US_national_yearly!$D:$AM, 17, FALSE) / VLOOKUP("LULUCF|PM25|Premature mortality", US_national_yearly!$D:$AM, 10, FALSE), 1)</f>
        <v>6.7164732193519415E-4</v>
      </c>
      <c r="J2" s="7">
        <f>$B2 * IFERROR(VLOOKUP("LULUCF|PM25|Premature mortality", US_national_yearly!$D:$AM, 18, FALSE) / VLOOKUP("LULUCF|PM25|Premature mortality", US_national_yearly!$D:$AM, 10, FALSE), 1)</f>
        <v>6.8121131523240261E-4</v>
      </c>
      <c r="K2" s="7">
        <f>$B2 * IFERROR(VLOOKUP("LULUCF|PM25|Premature mortality", US_national_yearly!$D:$AM, 19, FALSE) / VLOOKUP("LULUCF|PM25|Premature mortality", US_national_yearly!$D:$AM, 10, FALSE), 1)</f>
        <v>6.9077530852961096E-4</v>
      </c>
      <c r="L2" s="7">
        <f>$B2 * IFERROR(VLOOKUP("LULUCF|PM25|Premature mortality", US_national_yearly!$D:$AM, 20, FALSE) / VLOOKUP("LULUCF|PM25|Premature mortality", US_national_yearly!$D:$AM, 10, FALSE), 1)</f>
        <v>7.0033930182681942E-4</v>
      </c>
      <c r="M2" s="7">
        <f>$B2 * IFERROR(VLOOKUP("LULUCF|PM25|Premature mortality", US_national_yearly!$D:$AM, 21, FALSE) / VLOOKUP("LULUCF|PM25|Premature mortality", US_national_yearly!$D:$AM, 10, FALSE), 1)</f>
        <v>7.0990329512402766E-4</v>
      </c>
      <c r="N2" s="7">
        <f>$B2 * IFERROR(VLOOKUP("LULUCF|PM25|Premature mortality", US_national_yearly!$D:$AM, 22, FALSE) / VLOOKUP("LULUCF|PM25|Premature mortality", US_national_yearly!$D:$AM, 10, FALSE), 1)</f>
        <v>7.1732912722814366E-4</v>
      </c>
      <c r="O2" s="7">
        <f>$B2 * IFERROR(VLOOKUP("LULUCF|PM25|Premature mortality", US_national_yearly!$D:$AM, 23, FALSE) / VLOOKUP("LULUCF|PM25|Premature mortality", US_national_yearly!$D:$AM, 10, FALSE), 1)</f>
        <v>7.2475495933225955E-4</v>
      </c>
      <c r="P2" s="7">
        <f>$B2 * IFERROR(VLOOKUP("LULUCF|PM25|Premature mortality", US_national_yearly!$D:$AM, 24, FALSE) / VLOOKUP("LULUCF|PM25|Premature mortality", US_national_yearly!$D:$AM, 10, FALSE), 1)</f>
        <v>7.3218079143637556E-4</v>
      </c>
      <c r="Q2" s="7">
        <f>$B2 * IFERROR(VLOOKUP("LULUCF|PM25|Premature mortality", US_national_yearly!$D:$AM, 25, FALSE) / VLOOKUP("LULUCF|PM25|Premature mortality", US_national_yearly!$D:$AM, 10, FALSE), 1)</f>
        <v>7.3960662354049145E-4</v>
      </c>
      <c r="R2" s="7">
        <f>$B2 * IFERROR(VLOOKUP("LULUCF|PM25|Premature mortality", US_national_yearly!$D:$AM, 26, FALSE) / VLOOKUP("LULUCF|PM25|Premature mortality", US_national_yearly!$D:$AM, 10, FALSE), 1)</f>
        <v>7.4703245564460756E-4</v>
      </c>
      <c r="S2" s="7">
        <f>$B2 * IFERROR(VLOOKUP("LULUCF|PM25|Premature mortality", US_national_yearly!$D:$AM, 27, FALSE) / VLOOKUP("LULUCF|PM25|Premature mortality", US_national_yearly!$D:$AM, 10, FALSE), 1)</f>
        <v>7.5096644086454262E-4</v>
      </c>
      <c r="T2" s="7">
        <f>$B2 * IFERROR(VLOOKUP("LULUCF|PM25|Premature mortality", US_national_yearly!$D:$AM, 28, FALSE) / VLOOKUP("LULUCF|PM25|Premature mortality", US_national_yearly!$D:$AM, 10, FALSE), 1)</f>
        <v>7.5490042608447768E-4</v>
      </c>
      <c r="U2" s="7">
        <f>$B2 * IFERROR(VLOOKUP("LULUCF|PM25|Premature mortality", US_national_yearly!$D:$AM, 29, FALSE) / VLOOKUP("LULUCF|PM25|Premature mortality", US_national_yearly!$D:$AM, 10, FALSE), 1)</f>
        <v>7.5883441130441263E-4</v>
      </c>
      <c r="V2" s="7">
        <f>$B2 * IFERROR(VLOOKUP("LULUCF|PM25|Premature mortality", US_national_yearly!$D:$AM, 30, FALSE) / VLOOKUP("LULUCF|PM25|Premature mortality", US_national_yearly!$D:$AM, 10, FALSE), 1)</f>
        <v>7.6276839652434768E-4</v>
      </c>
      <c r="W2" s="7">
        <f>$B2 * IFERROR(VLOOKUP("LULUCF|PM25|Premature mortality", US_national_yearly!$D:$AM, 31, FALSE) / VLOOKUP("LULUCF|PM25|Premature mortality", US_national_yearly!$D:$AM, 10, FALSE), 1)</f>
        <v>7.6670238174428263E-4</v>
      </c>
      <c r="X2" s="7">
        <f>$B2 * IFERROR(VLOOKUP("LULUCF|PM25|Premature mortality", US_national_yearly!$D:$AM, 32, FALSE) / VLOOKUP("LULUCF|PM25|Premature mortality", US_national_yearly!$D:$AM, 10, FALSE), 1)</f>
        <v>7.6739026949147206E-4</v>
      </c>
      <c r="Y2" s="7">
        <f>$B2 * IFERROR(VLOOKUP("LULUCF|PM25|Premature mortality", US_national_yearly!$D:$AM, 33, FALSE) / VLOOKUP("LULUCF|PM25|Premature mortality", US_national_yearly!$D:$AM, 10, FALSE), 1)</f>
        <v>7.6807815723866171E-4</v>
      </c>
      <c r="Z2" s="7">
        <f>$B2 * IFERROR(VLOOKUP("LULUCF|PM25|Premature mortality", US_national_yearly!$D:$AM, 34, FALSE) / VLOOKUP("LULUCF|PM25|Premature mortality", US_national_yearly!$D:$AM, 10, FALSE), 1)</f>
        <v>7.6876604498585114E-4</v>
      </c>
      <c r="AA2" s="7">
        <f>$B2 * IFERROR(VLOOKUP("LULUCF|PM25|Premature mortality", US_national_yearly!$D:$AM, 35, FALSE) / VLOOKUP("LULUCF|PM25|Premature mortality", US_national_yearly!$D:$AM, 10, FALSE), 1)</f>
        <v>7.6945393273304067E-4</v>
      </c>
      <c r="AB2" s="7">
        <f>$B2 * IFERROR(VLOOKUP("LULUCF|PM25|Premature mortality", US_national_yearly!$D:$AM, 36, FALSE) / VLOOKUP("LULUCF|PM25|Premature mortality", US_national_yearly!$D:$AM, 10, FALSE), 1)</f>
        <v>7.701418204802301E-4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1.170183175115164E-6</v>
      </c>
      <c r="C3" s="7">
        <f>$B3 * IFERROR(VLOOKUP("LULUCF|PM25|Infant mortality", US_national_yearly!$D:$AM, 11, FALSE) / VLOOKUP("LULUCF|PM25|Infant mortality", US_national_yearly!$D:$AM, 10, FALSE), 1)</f>
        <v>1.1599802456279182E-6</v>
      </c>
      <c r="D3" s="7">
        <f>$B3 * IFERROR(VLOOKUP("LULUCF|PM25|Infant mortality", US_national_yearly!$D:$AM, 12, FALSE) / VLOOKUP("LULUCF|PM25|Infant mortality", US_national_yearly!$D:$AM, 10, FALSE), 1)</f>
        <v>1.1497773161406721E-6</v>
      </c>
      <c r="E3" s="7">
        <f>$B3 * IFERROR(VLOOKUP("LULUCF|PM25|Infant mortality", US_national_yearly!$D:$AM, 13, FALSE) / VLOOKUP("LULUCF|PM25|Infant mortality", US_national_yearly!$D:$AM, 10, FALSE), 1)</f>
        <v>1.1395743866534263E-6</v>
      </c>
      <c r="F3" s="7">
        <f>$B3 * IFERROR(VLOOKUP("LULUCF|PM25|Infant mortality", US_national_yearly!$D:$AM, 14, FALSE) / VLOOKUP("LULUCF|PM25|Infant mortality", US_national_yearly!$D:$AM, 10, FALSE), 1)</f>
        <v>1.1293714571661801E-6</v>
      </c>
      <c r="G3" s="7">
        <f>$B3 * IFERROR(VLOOKUP("LULUCF|PM25|Infant mortality", US_national_yearly!$D:$AM, 15, FALSE) / VLOOKUP("LULUCF|PM25|Infant mortality", US_national_yearly!$D:$AM, 10, FALSE), 1)</f>
        <v>7.5109243130389908E-7</v>
      </c>
      <c r="H3" s="7">
        <f>$B3 * IFERROR(VLOOKUP("LULUCF|PM25|Infant mortality", US_national_yearly!$D:$AM, 16, FALSE) / VLOOKUP("LULUCF|PM25|Infant mortality", US_national_yearly!$D:$AM, 10, FALSE), 1)</f>
        <v>3.728134054416176E-7</v>
      </c>
      <c r="I3" s="7">
        <f>$B3 * IFERROR(VLOOKUP("LULUCF|PM25|Infant mortality", US_national_yearly!$D:$AM, 17, FALSE) / VLOOKUP("LULUCF|PM25|Infant mortality", US_national_yearly!$D:$AM, 10, FALSE), 1)</f>
        <v>3.7037645400423089E-7</v>
      </c>
      <c r="J3" s="7">
        <f>$B3 * IFERROR(VLOOKUP("LULUCF|PM25|Infant mortality", US_national_yearly!$D:$AM, 18, FALSE) / VLOOKUP("LULUCF|PM25|Infant mortality", US_national_yearly!$D:$AM, 10, FALSE), 1)</f>
        <v>3.6793950256684407E-7</v>
      </c>
      <c r="K3" s="7">
        <f>$B3 * IFERROR(VLOOKUP("LULUCF|PM25|Infant mortality", US_national_yearly!$D:$AM, 19, FALSE) / VLOOKUP("LULUCF|PM25|Infant mortality", US_national_yearly!$D:$AM, 10, FALSE), 1)</f>
        <v>3.6550255112945726E-7</v>
      </c>
      <c r="L3" s="7">
        <f>$B3 * IFERROR(VLOOKUP("LULUCF|PM25|Infant mortality", US_national_yearly!$D:$AM, 20, FALSE) / VLOOKUP("LULUCF|PM25|Infant mortality", US_national_yearly!$D:$AM, 10, FALSE), 1)</f>
        <v>3.6306559969207055E-7</v>
      </c>
      <c r="M3" s="7">
        <f>$B3 * IFERROR(VLOOKUP("LULUCF|PM25|Infant mortality", US_national_yearly!$D:$AM, 21, FALSE) / VLOOKUP("LULUCF|PM25|Infant mortality", US_national_yearly!$D:$AM, 10, FALSE), 1)</f>
        <v>3.6062864825468379E-7</v>
      </c>
      <c r="N3" s="7">
        <f>$B3 * IFERROR(VLOOKUP("LULUCF|PM25|Infant mortality", US_national_yearly!$D:$AM, 22, FALSE) / VLOOKUP("LULUCF|PM25|Infant mortality", US_national_yearly!$D:$AM, 10, FALSE), 1)</f>
        <v>3.5909797295513122E-7</v>
      </c>
      <c r="O3" s="7">
        <f>$B3 * IFERROR(VLOOKUP("LULUCF|PM25|Infant mortality", US_national_yearly!$D:$AM, 23, FALSE) / VLOOKUP("LULUCF|PM25|Infant mortality", US_national_yearly!$D:$AM, 10, FALSE), 1)</f>
        <v>3.5756729765557865E-7</v>
      </c>
      <c r="P3" s="7">
        <f>$B3 * IFERROR(VLOOKUP("LULUCF|PM25|Infant mortality", US_national_yearly!$D:$AM, 24, FALSE) / VLOOKUP("LULUCF|PM25|Infant mortality", US_national_yearly!$D:$AM, 10, FALSE), 1)</f>
        <v>3.5603662235602603E-7</v>
      </c>
      <c r="Q3" s="7">
        <f>$B3 * IFERROR(VLOOKUP("LULUCF|PM25|Infant mortality", US_national_yearly!$D:$AM, 25, FALSE) / VLOOKUP("LULUCF|PM25|Infant mortality", US_national_yearly!$D:$AM, 10, FALSE), 1)</f>
        <v>3.5450594705647346E-7</v>
      </c>
      <c r="R3" s="7">
        <f>$B3 * IFERROR(VLOOKUP("LULUCF|PM25|Infant mortality", US_national_yearly!$D:$AM, 26, FALSE) / VLOOKUP("LULUCF|PM25|Infant mortality", US_national_yearly!$D:$AM, 10, FALSE), 1)</f>
        <v>3.529752717569209E-7</v>
      </c>
      <c r="S3" s="7">
        <f>$B3 * IFERROR(VLOOKUP("LULUCF|PM25|Infant mortality", US_national_yearly!$D:$AM, 27, FALSE) / VLOOKUP("LULUCF|PM25|Infant mortality", US_national_yearly!$D:$AM, 10, FALSE), 1)</f>
        <v>3.5106725369892513E-7</v>
      </c>
      <c r="T3" s="7">
        <f>$B3 * IFERROR(VLOOKUP("LULUCF|PM25|Infant mortality", US_national_yearly!$D:$AM, 28, FALSE) / VLOOKUP("LULUCF|PM25|Infant mortality", US_national_yearly!$D:$AM, 10, FALSE), 1)</f>
        <v>3.4915923564092931E-7</v>
      </c>
      <c r="U3" s="7">
        <f>$B3 * IFERROR(VLOOKUP("LULUCF|PM25|Infant mortality", US_national_yearly!$D:$AM, 29, FALSE) / VLOOKUP("LULUCF|PM25|Infant mortality", US_national_yearly!$D:$AM, 10, FALSE), 1)</f>
        <v>3.4725121758293348E-7</v>
      </c>
      <c r="V3" s="7">
        <f>$B3 * IFERROR(VLOOKUP("LULUCF|PM25|Infant mortality", US_national_yearly!$D:$AM, 30, FALSE) / VLOOKUP("LULUCF|PM25|Infant mortality", US_national_yearly!$D:$AM, 10, FALSE), 1)</f>
        <v>3.4534319952493772E-7</v>
      </c>
      <c r="W3" s="7">
        <f>$B3 * IFERROR(VLOOKUP("LULUCF|PM25|Infant mortality", US_national_yearly!$D:$AM, 31, FALSE) / VLOOKUP("LULUCF|PM25|Infant mortality", US_national_yearly!$D:$AM, 10, FALSE), 1)</f>
        <v>3.4343518146694189E-7</v>
      </c>
      <c r="X3" s="7">
        <f>$B3 * IFERROR(VLOOKUP("LULUCF|PM25|Infant mortality", US_national_yearly!$D:$AM, 32, FALSE) / VLOOKUP("LULUCF|PM25|Infant mortality", US_national_yearly!$D:$AM, 10, FALSE), 1)</f>
        <v>3.413780981877118E-7</v>
      </c>
      <c r="Y3" s="7">
        <f>$B3 * IFERROR(VLOOKUP("LULUCF|PM25|Infant mortality", US_national_yearly!$D:$AM, 33, FALSE) / VLOOKUP("LULUCF|PM25|Infant mortality", US_national_yearly!$D:$AM, 10, FALSE), 1)</f>
        <v>3.3932101490848161E-7</v>
      </c>
      <c r="Z3" s="7">
        <f>$B3 * IFERROR(VLOOKUP("LULUCF|PM25|Infant mortality", US_national_yearly!$D:$AM, 34, FALSE) / VLOOKUP("LULUCF|PM25|Infant mortality", US_national_yearly!$D:$AM, 10, FALSE), 1)</f>
        <v>3.3726393162925147E-7</v>
      </c>
      <c r="AA3" s="7">
        <f>$B3 * IFERROR(VLOOKUP("LULUCF|PM25|Infant mortality", US_national_yearly!$D:$AM, 35, FALSE) / VLOOKUP("LULUCF|PM25|Infant mortality", US_national_yearly!$D:$AM, 10, FALSE), 1)</f>
        <v>3.3520684835002133E-7</v>
      </c>
      <c r="AB3" s="7">
        <f>$B3 * IFERROR(VLOOKUP("LULUCF|PM25|Infant mortality", US_national_yearly!$D:$AM, 36, FALSE) / VLOOKUP("LULUCF|PM25|Infant mortality", US_national_yearly!$D:$AM, 10, FALSE), 1)</f>
        <v>3.3314976507079124E-7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1.5913241447734151E-3</v>
      </c>
      <c r="C6" s="7">
        <f>$B6 * IFERROR(VLOOKUP("LULUCF|PM25|Asthma symptoms cough", US_national_yearly!$D:$AM, 11, FALSE) / VLOOKUP("LULUCF|PM25|Asthma symptoms cough", US_national_yearly!$D:$AM, 10, FALSE), 1)</f>
        <v>1.5913241447734151E-3</v>
      </c>
      <c r="D6" s="7">
        <f>$B6 * IFERROR(VLOOKUP("LULUCF|PM25|Asthma symptoms cough", US_national_yearly!$D:$AM, 12, FALSE) / VLOOKUP("LULUCF|PM25|Asthma symptoms cough", US_national_yearly!$D:$AM, 10, FALSE), 1)</f>
        <v>1.5913241447734151E-3</v>
      </c>
      <c r="E6" s="7">
        <f>$B6 * IFERROR(VLOOKUP("LULUCF|PM25|Asthma symptoms cough", US_national_yearly!$D:$AM, 13, FALSE) / VLOOKUP("LULUCF|PM25|Asthma symptoms cough", US_national_yearly!$D:$AM, 10, FALSE), 1)</f>
        <v>1.5913241447734151E-3</v>
      </c>
      <c r="F6" s="7">
        <f>$B6 * IFERROR(VLOOKUP("LULUCF|PM25|Asthma symptoms cough", US_national_yearly!$D:$AM, 14, FALSE) / VLOOKUP("LULUCF|PM25|Asthma symptoms cough", US_national_yearly!$D:$AM, 10, FALSE), 1)</f>
        <v>1.5913241447734151E-3</v>
      </c>
      <c r="G6" s="7">
        <f>$B6 * IFERROR(VLOOKUP("LULUCF|PM25|Asthma symptoms cough", US_national_yearly!$D:$AM, 15, FALSE) / VLOOKUP("LULUCF|PM25|Asthma symptoms cough", US_national_yearly!$D:$AM, 10, FALSE), 1)</f>
        <v>1.5913241447734151E-3</v>
      </c>
      <c r="H6" s="7">
        <f>$B6 * IFERROR(VLOOKUP("LULUCF|PM25|Asthma symptoms cough", US_national_yearly!$D:$AM, 16, FALSE) / VLOOKUP("LULUCF|PM25|Asthma symptoms cough", US_national_yearly!$D:$AM, 10, FALSE), 1)</f>
        <v>1.5913241447734151E-3</v>
      </c>
      <c r="I6" s="7">
        <f>$B6 * IFERROR(VLOOKUP("LULUCF|PM25|Asthma symptoms cough", US_national_yearly!$D:$AM, 17, FALSE) / VLOOKUP("LULUCF|PM25|Asthma symptoms cough", US_national_yearly!$D:$AM, 10, FALSE), 1)</f>
        <v>1.5913241447734151E-3</v>
      </c>
      <c r="J6" s="7">
        <f>$B6 * IFERROR(VLOOKUP("LULUCF|PM25|Asthma symptoms cough", US_national_yearly!$D:$AM, 18, FALSE) / VLOOKUP("LULUCF|PM25|Asthma symptoms cough", US_national_yearly!$D:$AM, 10, FALSE), 1)</f>
        <v>1.5913241447734151E-3</v>
      </c>
      <c r="K6" s="7">
        <f>$B6 * IFERROR(VLOOKUP("LULUCF|PM25|Asthma symptoms cough", US_national_yearly!$D:$AM, 19, FALSE) / VLOOKUP("LULUCF|PM25|Asthma symptoms cough", US_national_yearly!$D:$AM, 10, FALSE), 1)</f>
        <v>1.5913241447734151E-3</v>
      </c>
      <c r="L6" s="7">
        <f>$B6 * IFERROR(VLOOKUP("LULUCF|PM25|Asthma symptoms cough", US_national_yearly!$D:$AM, 20, FALSE) / VLOOKUP("LULUCF|PM25|Asthma symptoms cough", US_national_yearly!$D:$AM, 10, FALSE), 1)</f>
        <v>1.5913241447734151E-3</v>
      </c>
      <c r="M6" s="7">
        <f>$B6 * IFERROR(VLOOKUP("LULUCF|PM25|Asthma symptoms cough", US_national_yearly!$D:$AM, 21, FALSE) / VLOOKUP("LULUCF|PM25|Asthma symptoms cough", US_national_yearly!$D:$AM, 10, FALSE), 1)</f>
        <v>1.5913241447734151E-3</v>
      </c>
      <c r="N6" s="7">
        <f>$B6 * IFERROR(VLOOKUP("LULUCF|PM25|Asthma symptoms cough", US_national_yearly!$D:$AM, 22, FALSE) / VLOOKUP("LULUCF|PM25|Asthma symptoms cough", US_national_yearly!$D:$AM, 10, FALSE), 1)</f>
        <v>1.5913241447734151E-3</v>
      </c>
      <c r="O6" s="7">
        <f>$B6 * IFERROR(VLOOKUP("LULUCF|PM25|Asthma symptoms cough", US_national_yearly!$D:$AM, 23, FALSE) / VLOOKUP("LULUCF|PM25|Asthma symptoms cough", US_national_yearly!$D:$AM, 10, FALSE), 1)</f>
        <v>1.5913241447734151E-3</v>
      </c>
      <c r="P6" s="7">
        <f>$B6 * IFERROR(VLOOKUP("LULUCF|PM25|Asthma symptoms cough", US_national_yearly!$D:$AM, 24, FALSE) / VLOOKUP("LULUCF|PM25|Asthma symptoms cough", US_national_yearly!$D:$AM, 10, FALSE), 1)</f>
        <v>1.5913241447734151E-3</v>
      </c>
      <c r="Q6" s="7">
        <f>$B6 * IFERROR(VLOOKUP("LULUCF|PM25|Asthma symptoms cough", US_national_yearly!$D:$AM, 25, FALSE) / VLOOKUP("LULUCF|PM25|Asthma symptoms cough", US_national_yearly!$D:$AM, 10, FALSE), 1)</f>
        <v>1.5913241447734151E-3</v>
      </c>
      <c r="R6" s="7">
        <f>$B6 * IFERROR(VLOOKUP("LULUCF|PM25|Asthma symptoms cough", US_national_yearly!$D:$AM, 26, FALSE) / VLOOKUP("LULUCF|PM25|Asthma symptoms cough", US_national_yearly!$D:$AM, 10, FALSE), 1)</f>
        <v>1.5913241447734151E-3</v>
      </c>
      <c r="S6" s="7">
        <f>$B6 * IFERROR(VLOOKUP("LULUCF|PM25|Asthma symptoms cough", US_national_yearly!$D:$AM, 27, FALSE) / VLOOKUP("LULUCF|PM25|Asthma symptoms cough", US_national_yearly!$D:$AM, 10, FALSE), 1)</f>
        <v>1.5913241447734151E-3</v>
      </c>
      <c r="T6" s="7">
        <f>$B6 * IFERROR(VLOOKUP("LULUCF|PM25|Asthma symptoms cough", US_national_yearly!$D:$AM, 28, FALSE) / VLOOKUP("LULUCF|PM25|Asthma symptoms cough", US_national_yearly!$D:$AM, 10, FALSE), 1)</f>
        <v>1.5913241447734151E-3</v>
      </c>
      <c r="U6" s="7">
        <f>$B6 * IFERROR(VLOOKUP("LULUCF|PM25|Asthma symptoms cough", US_national_yearly!$D:$AM, 29, FALSE) / VLOOKUP("LULUCF|PM25|Asthma symptoms cough", US_national_yearly!$D:$AM, 10, FALSE), 1)</f>
        <v>1.5913241447734151E-3</v>
      </c>
      <c r="V6" s="7">
        <f>$B6 * IFERROR(VLOOKUP("LULUCF|PM25|Asthma symptoms cough", US_national_yearly!$D:$AM, 30, FALSE) / VLOOKUP("LULUCF|PM25|Asthma symptoms cough", US_national_yearly!$D:$AM, 10, FALSE), 1)</f>
        <v>1.5913241447734151E-3</v>
      </c>
      <c r="W6" s="7">
        <f>$B6 * IFERROR(VLOOKUP("LULUCF|PM25|Asthma symptoms cough", US_national_yearly!$D:$AM, 31, FALSE) / VLOOKUP("LULUCF|PM25|Asthma symptoms cough", US_national_yearly!$D:$AM, 10, FALSE), 1)</f>
        <v>1.5913241447734151E-3</v>
      </c>
      <c r="X6" s="7">
        <f>$B6 * IFERROR(VLOOKUP("LULUCF|PM25|Asthma symptoms cough", US_national_yearly!$D:$AM, 32, FALSE) / VLOOKUP("LULUCF|PM25|Asthma symptoms cough", US_national_yearly!$D:$AM, 10, FALSE), 1)</f>
        <v>1.5913241447734151E-3</v>
      </c>
      <c r="Y6" s="7">
        <f>$B6 * IFERROR(VLOOKUP("LULUCF|PM25|Asthma symptoms cough", US_national_yearly!$D:$AM, 33, FALSE) / VLOOKUP("LULUCF|PM25|Asthma symptoms cough", US_national_yearly!$D:$AM, 10, FALSE), 1)</f>
        <v>1.5913241447734151E-3</v>
      </c>
      <c r="Z6" s="7">
        <f>$B6 * IFERROR(VLOOKUP("LULUCF|PM25|Asthma symptoms cough", US_national_yearly!$D:$AM, 34, FALSE) / VLOOKUP("LULUCF|PM25|Asthma symptoms cough", US_national_yearly!$D:$AM, 10, FALSE), 1)</f>
        <v>1.5913241447734151E-3</v>
      </c>
      <c r="AA6" s="7">
        <f>$B6 * IFERROR(VLOOKUP("LULUCF|PM25|Asthma symptoms cough", US_national_yearly!$D:$AM, 35, FALSE) / VLOOKUP("LULUCF|PM25|Asthma symptoms cough", US_national_yearly!$D:$AM, 10, FALSE), 1)</f>
        <v>1.5913241447734151E-3</v>
      </c>
      <c r="AB6" s="7">
        <f>$B6 * IFERROR(VLOOKUP("LULUCF|PM25|Asthma symptoms cough", US_national_yearly!$D:$AM, 36, FALSE) / VLOOKUP("LULUCF|PM25|Asthma symptoms cough", US_national_yearly!$D:$AM, 10, FALSE), 1)</f>
        <v>1.5913241447734151E-3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2.1429354437387158E-3</v>
      </c>
      <c r="C7" s="7">
        <f>$B7 * IFERROR(VLOOKUP("LULUCF|PM25|Asthma symptoms shortness of breath", US_national_yearly!$D:$AM, 11, FALSE) / VLOOKUP("LULUCF|PM25|Asthma symptoms shortness of breath", US_national_yearly!$D:$AM, 10, FALSE), 1)</f>
        <v>2.1429354437387158E-3</v>
      </c>
      <c r="D7" s="7">
        <f>$B7 * IFERROR(VLOOKUP("LULUCF|PM25|Asthma symptoms shortness of breath", US_national_yearly!$D:$AM, 12, FALSE) / VLOOKUP("LULUCF|PM25|Asthma symptoms shortness of breath", US_national_yearly!$D:$AM, 10, FALSE), 1)</f>
        <v>2.1429354437387158E-3</v>
      </c>
      <c r="E7" s="7">
        <f>$B7 * IFERROR(VLOOKUP("LULUCF|PM25|Asthma symptoms shortness of breath", US_national_yearly!$D:$AM, 13, FALSE) / VLOOKUP("LULUCF|PM25|Asthma symptoms shortness of breath", US_national_yearly!$D:$AM, 10, FALSE), 1)</f>
        <v>2.1429354437387158E-3</v>
      </c>
      <c r="F7" s="7">
        <f>$B7 * IFERROR(VLOOKUP("LULUCF|PM25|Asthma symptoms shortness of breath", US_national_yearly!$D:$AM, 14, FALSE) / VLOOKUP("LULUCF|PM25|Asthma symptoms shortness of breath", US_national_yearly!$D:$AM, 10, FALSE), 1)</f>
        <v>2.1429354437387158E-3</v>
      </c>
      <c r="G7" s="7">
        <f>$B7 * IFERROR(VLOOKUP("LULUCF|PM25|Asthma symptoms shortness of breath", US_national_yearly!$D:$AM, 15, FALSE) / VLOOKUP("LULUCF|PM25|Asthma symptoms shortness of breath", US_national_yearly!$D:$AM, 10, FALSE), 1)</f>
        <v>2.1429354437387158E-3</v>
      </c>
      <c r="H7" s="7">
        <f>$B7 * IFERROR(VLOOKUP("LULUCF|PM25|Asthma symptoms shortness of breath", US_national_yearly!$D:$AM, 16, FALSE) / VLOOKUP("LULUCF|PM25|Asthma symptoms shortness of breath", US_national_yearly!$D:$AM, 10, FALSE), 1)</f>
        <v>2.1429354437387158E-3</v>
      </c>
      <c r="I7" s="7">
        <f>$B7 * IFERROR(VLOOKUP("LULUCF|PM25|Asthma symptoms shortness of breath", US_national_yearly!$D:$AM, 17, FALSE) / VLOOKUP("LULUCF|PM25|Asthma symptoms shortness of breath", US_national_yearly!$D:$AM, 10, FALSE), 1)</f>
        <v>2.1429354437387158E-3</v>
      </c>
      <c r="J7" s="7">
        <f>$B7 * IFERROR(VLOOKUP("LULUCF|PM25|Asthma symptoms shortness of breath", US_national_yearly!$D:$AM, 18, FALSE) / VLOOKUP("LULUCF|PM25|Asthma symptoms shortness of breath", US_national_yearly!$D:$AM, 10, FALSE), 1)</f>
        <v>2.1429354437387158E-3</v>
      </c>
      <c r="K7" s="7">
        <f>$B7 * IFERROR(VLOOKUP("LULUCF|PM25|Asthma symptoms shortness of breath", US_national_yearly!$D:$AM, 19, FALSE) / VLOOKUP("LULUCF|PM25|Asthma symptoms shortness of breath", US_national_yearly!$D:$AM, 10, FALSE), 1)</f>
        <v>2.1429354437387158E-3</v>
      </c>
      <c r="L7" s="7">
        <f>$B7 * IFERROR(VLOOKUP("LULUCF|PM25|Asthma symptoms shortness of breath", US_national_yearly!$D:$AM, 20, FALSE) / VLOOKUP("LULUCF|PM25|Asthma symptoms shortness of breath", US_national_yearly!$D:$AM, 10, FALSE), 1)</f>
        <v>2.1429354437387158E-3</v>
      </c>
      <c r="M7" s="7">
        <f>$B7 * IFERROR(VLOOKUP("LULUCF|PM25|Asthma symptoms shortness of breath", US_national_yearly!$D:$AM, 21, FALSE) / VLOOKUP("LULUCF|PM25|Asthma symptoms shortness of breath", US_national_yearly!$D:$AM, 10, FALSE), 1)</f>
        <v>2.1429354437387158E-3</v>
      </c>
      <c r="N7" s="7">
        <f>$B7 * IFERROR(VLOOKUP("LULUCF|PM25|Asthma symptoms shortness of breath", US_national_yearly!$D:$AM, 22, FALSE) / VLOOKUP("LULUCF|PM25|Asthma symptoms shortness of breath", US_national_yearly!$D:$AM, 10, FALSE), 1)</f>
        <v>2.1429354437387158E-3</v>
      </c>
      <c r="O7" s="7">
        <f>$B7 * IFERROR(VLOOKUP("LULUCF|PM25|Asthma symptoms shortness of breath", US_national_yearly!$D:$AM, 23, FALSE) / VLOOKUP("LULUCF|PM25|Asthma symptoms shortness of breath", US_national_yearly!$D:$AM, 10, FALSE), 1)</f>
        <v>2.1429354437387158E-3</v>
      </c>
      <c r="P7" s="7">
        <f>$B7 * IFERROR(VLOOKUP("LULUCF|PM25|Asthma symptoms shortness of breath", US_national_yearly!$D:$AM, 24, FALSE) / VLOOKUP("LULUCF|PM25|Asthma symptoms shortness of breath", US_national_yearly!$D:$AM, 10, FALSE), 1)</f>
        <v>2.1429354437387158E-3</v>
      </c>
      <c r="Q7" s="7">
        <f>$B7 * IFERROR(VLOOKUP("LULUCF|PM25|Asthma symptoms shortness of breath", US_national_yearly!$D:$AM, 25, FALSE) / VLOOKUP("LULUCF|PM25|Asthma symptoms shortness of breath", US_national_yearly!$D:$AM, 10, FALSE), 1)</f>
        <v>2.1429354437387158E-3</v>
      </c>
      <c r="R7" s="7">
        <f>$B7 * IFERROR(VLOOKUP("LULUCF|PM25|Asthma symptoms shortness of breath", US_national_yearly!$D:$AM, 26, FALSE) / VLOOKUP("LULUCF|PM25|Asthma symptoms shortness of breath", US_national_yearly!$D:$AM, 10, FALSE), 1)</f>
        <v>2.1429354437387158E-3</v>
      </c>
      <c r="S7" s="7">
        <f>$B7 * IFERROR(VLOOKUP("LULUCF|PM25|Asthma symptoms shortness of breath", US_national_yearly!$D:$AM, 27, FALSE) / VLOOKUP("LULUCF|PM25|Asthma symptoms shortness of breath", US_national_yearly!$D:$AM, 10, FALSE), 1)</f>
        <v>2.1429354437387158E-3</v>
      </c>
      <c r="T7" s="7">
        <f>$B7 * IFERROR(VLOOKUP("LULUCF|PM25|Asthma symptoms shortness of breath", US_national_yearly!$D:$AM, 28, FALSE) / VLOOKUP("LULUCF|PM25|Asthma symptoms shortness of breath", US_national_yearly!$D:$AM, 10, FALSE), 1)</f>
        <v>2.1429354437387158E-3</v>
      </c>
      <c r="U7" s="7">
        <f>$B7 * IFERROR(VLOOKUP("LULUCF|PM25|Asthma symptoms shortness of breath", US_national_yearly!$D:$AM, 29, FALSE) / VLOOKUP("LULUCF|PM25|Asthma symptoms shortness of breath", US_national_yearly!$D:$AM, 10, FALSE), 1)</f>
        <v>2.1429354437387158E-3</v>
      </c>
      <c r="V7" s="7">
        <f>$B7 * IFERROR(VLOOKUP("LULUCF|PM25|Asthma symptoms shortness of breath", US_national_yearly!$D:$AM, 30, FALSE) / VLOOKUP("LULUCF|PM25|Asthma symptoms shortness of breath", US_national_yearly!$D:$AM, 10, FALSE), 1)</f>
        <v>2.1429354437387158E-3</v>
      </c>
      <c r="W7" s="7">
        <f>$B7 * IFERROR(VLOOKUP("LULUCF|PM25|Asthma symptoms shortness of breath", US_national_yearly!$D:$AM, 31, FALSE) / VLOOKUP("LULUCF|PM25|Asthma symptoms shortness of breath", US_national_yearly!$D:$AM, 10, FALSE), 1)</f>
        <v>2.1429354437387158E-3</v>
      </c>
      <c r="X7" s="7">
        <f>$B7 * IFERROR(VLOOKUP("LULUCF|PM25|Asthma symptoms shortness of breath", US_national_yearly!$D:$AM, 32, FALSE) / VLOOKUP("LULUCF|PM25|Asthma symptoms shortness of breath", US_national_yearly!$D:$AM, 10, FALSE), 1)</f>
        <v>2.1429354437387158E-3</v>
      </c>
      <c r="Y7" s="7">
        <f>$B7 * IFERROR(VLOOKUP("LULUCF|PM25|Asthma symptoms shortness of breath", US_national_yearly!$D:$AM, 33, FALSE) / VLOOKUP("LULUCF|PM25|Asthma symptoms shortness of breath", US_national_yearly!$D:$AM, 10, FALSE), 1)</f>
        <v>2.1429354437387158E-3</v>
      </c>
      <c r="Z7" s="7">
        <f>$B7 * IFERROR(VLOOKUP("LULUCF|PM25|Asthma symptoms shortness of breath", US_national_yearly!$D:$AM, 34, FALSE) / VLOOKUP("LULUCF|PM25|Asthma symptoms shortness of breath", US_national_yearly!$D:$AM, 10, FALSE), 1)</f>
        <v>2.1429354437387158E-3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2.1429354437387158E-3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2.1429354437387158E-3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3.2740900615224537E-3</v>
      </c>
      <c r="C8" s="7">
        <f>$B8 * IFERROR(VLOOKUP("LULUCF|PM25|Asthma symptoms wheeze", US_national_yearly!$D:$AM, 11, FALSE) / VLOOKUP("LULUCF|PM25|Asthma symptoms wheeze", US_national_yearly!$D:$AM, 10, FALSE), 1)</f>
        <v>3.2740900615224537E-3</v>
      </c>
      <c r="D8" s="7">
        <f>$B8 * IFERROR(VLOOKUP("LULUCF|PM25|Asthma symptoms wheeze", US_national_yearly!$D:$AM, 12, FALSE) / VLOOKUP("LULUCF|PM25|Asthma symptoms wheeze", US_national_yearly!$D:$AM, 10, FALSE), 1)</f>
        <v>3.2740900615224537E-3</v>
      </c>
      <c r="E8" s="7">
        <f>$B8 * IFERROR(VLOOKUP("LULUCF|PM25|Asthma symptoms wheeze", US_national_yearly!$D:$AM, 13, FALSE) / VLOOKUP("LULUCF|PM25|Asthma symptoms wheeze", US_national_yearly!$D:$AM, 10, FALSE), 1)</f>
        <v>3.2740900615224537E-3</v>
      </c>
      <c r="F8" s="7">
        <f>$B8 * IFERROR(VLOOKUP("LULUCF|PM25|Asthma symptoms wheeze", US_national_yearly!$D:$AM, 14, FALSE) / VLOOKUP("LULUCF|PM25|Asthma symptoms wheeze", US_national_yearly!$D:$AM, 10, FALSE), 1)</f>
        <v>3.2740900615224537E-3</v>
      </c>
      <c r="G8" s="7">
        <f>$B8 * IFERROR(VLOOKUP("LULUCF|PM25|Asthma symptoms wheeze", US_national_yearly!$D:$AM, 15, FALSE) / VLOOKUP("LULUCF|PM25|Asthma symptoms wheeze", US_national_yearly!$D:$AM, 10, FALSE), 1)</f>
        <v>3.2740900615224537E-3</v>
      </c>
      <c r="H8" s="7">
        <f>$B8 * IFERROR(VLOOKUP("LULUCF|PM25|Asthma symptoms wheeze", US_national_yearly!$D:$AM, 16, FALSE) / VLOOKUP("LULUCF|PM25|Asthma symptoms wheeze", US_national_yearly!$D:$AM, 10, FALSE), 1)</f>
        <v>3.2740900615224537E-3</v>
      </c>
      <c r="I8" s="7">
        <f>$B8 * IFERROR(VLOOKUP("LULUCF|PM25|Asthma symptoms wheeze", US_national_yearly!$D:$AM, 17, FALSE) / VLOOKUP("LULUCF|PM25|Asthma symptoms wheeze", US_national_yearly!$D:$AM, 10, FALSE), 1)</f>
        <v>3.2740900615224537E-3</v>
      </c>
      <c r="J8" s="7">
        <f>$B8 * IFERROR(VLOOKUP("LULUCF|PM25|Asthma symptoms wheeze", US_national_yearly!$D:$AM, 18, FALSE) / VLOOKUP("LULUCF|PM25|Asthma symptoms wheeze", US_national_yearly!$D:$AM, 10, FALSE), 1)</f>
        <v>3.2740900615224537E-3</v>
      </c>
      <c r="K8" s="7">
        <f>$B8 * IFERROR(VLOOKUP("LULUCF|PM25|Asthma symptoms wheeze", US_national_yearly!$D:$AM, 19, FALSE) / VLOOKUP("LULUCF|PM25|Asthma symptoms wheeze", US_national_yearly!$D:$AM, 10, FALSE), 1)</f>
        <v>3.2740900615224537E-3</v>
      </c>
      <c r="L8" s="7">
        <f>$B8 * IFERROR(VLOOKUP("LULUCF|PM25|Asthma symptoms wheeze", US_national_yearly!$D:$AM, 20, FALSE) / VLOOKUP("LULUCF|PM25|Asthma symptoms wheeze", US_national_yearly!$D:$AM, 10, FALSE), 1)</f>
        <v>3.2740900615224537E-3</v>
      </c>
      <c r="M8" s="7">
        <f>$B8 * IFERROR(VLOOKUP("LULUCF|PM25|Asthma symptoms wheeze", US_national_yearly!$D:$AM, 21, FALSE) / VLOOKUP("LULUCF|PM25|Asthma symptoms wheeze", US_national_yearly!$D:$AM, 10, FALSE), 1)</f>
        <v>3.2740900615224537E-3</v>
      </c>
      <c r="N8" s="7">
        <f>$B8 * IFERROR(VLOOKUP("LULUCF|PM25|Asthma symptoms wheeze", US_national_yearly!$D:$AM, 22, FALSE) / VLOOKUP("LULUCF|PM25|Asthma symptoms wheeze", US_national_yearly!$D:$AM, 10, FALSE), 1)</f>
        <v>3.2740900615224537E-3</v>
      </c>
      <c r="O8" s="7">
        <f>$B8 * IFERROR(VLOOKUP("LULUCF|PM25|Asthma symptoms wheeze", US_national_yearly!$D:$AM, 23, FALSE) / VLOOKUP("LULUCF|PM25|Asthma symptoms wheeze", US_national_yearly!$D:$AM, 10, FALSE), 1)</f>
        <v>3.2740900615224537E-3</v>
      </c>
      <c r="P8" s="7">
        <f>$B8 * IFERROR(VLOOKUP("LULUCF|PM25|Asthma symptoms wheeze", US_national_yearly!$D:$AM, 24, FALSE) / VLOOKUP("LULUCF|PM25|Asthma symptoms wheeze", US_national_yearly!$D:$AM, 10, FALSE), 1)</f>
        <v>3.2740900615224537E-3</v>
      </c>
      <c r="Q8" s="7">
        <f>$B8 * IFERROR(VLOOKUP("LULUCF|PM25|Asthma symptoms wheeze", US_national_yearly!$D:$AM, 25, FALSE) / VLOOKUP("LULUCF|PM25|Asthma symptoms wheeze", US_national_yearly!$D:$AM, 10, FALSE), 1)</f>
        <v>3.2740900615224537E-3</v>
      </c>
      <c r="R8" s="7">
        <f>$B8 * IFERROR(VLOOKUP("LULUCF|PM25|Asthma symptoms wheeze", US_national_yearly!$D:$AM, 26, FALSE) / VLOOKUP("LULUCF|PM25|Asthma symptoms wheeze", US_national_yearly!$D:$AM, 10, FALSE), 1)</f>
        <v>3.2740900615224537E-3</v>
      </c>
      <c r="S8" s="7">
        <f>$B8 * IFERROR(VLOOKUP("LULUCF|PM25|Asthma symptoms wheeze", US_national_yearly!$D:$AM, 27, FALSE) / VLOOKUP("LULUCF|PM25|Asthma symptoms wheeze", US_national_yearly!$D:$AM, 10, FALSE), 1)</f>
        <v>3.2740900615224537E-3</v>
      </c>
      <c r="T8" s="7">
        <f>$B8 * IFERROR(VLOOKUP("LULUCF|PM25|Asthma symptoms wheeze", US_national_yearly!$D:$AM, 28, FALSE) / VLOOKUP("LULUCF|PM25|Asthma symptoms wheeze", US_national_yearly!$D:$AM, 10, FALSE), 1)</f>
        <v>3.2740900615224537E-3</v>
      </c>
      <c r="U8" s="7">
        <f>$B8 * IFERROR(VLOOKUP("LULUCF|PM25|Asthma symptoms wheeze", US_national_yearly!$D:$AM, 29, FALSE) / VLOOKUP("LULUCF|PM25|Asthma symptoms wheeze", US_national_yearly!$D:$AM, 10, FALSE), 1)</f>
        <v>3.2740900615224537E-3</v>
      </c>
      <c r="V8" s="7">
        <f>$B8 * IFERROR(VLOOKUP("LULUCF|PM25|Asthma symptoms wheeze", US_national_yearly!$D:$AM, 30, FALSE) / VLOOKUP("LULUCF|PM25|Asthma symptoms wheeze", US_national_yearly!$D:$AM, 10, FALSE), 1)</f>
        <v>3.2740900615224537E-3</v>
      </c>
      <c r="W8" s="7">
        <f>$B8 * IFERROR(VLOOKUP("LULUCF|PM25|Asthma symptoms wheeze", US_national_yearly!$D:$AM, 31, FALSE) / VLOOKUP("LULUCF|PM25|Asthma symptoms wheeze", US_national_yearly!$D:$AM, 10, FALSE), 1)</f>
        <v>3.2740900615224537E-3</v>
      </c>
      <c r="X8" s="7">
        <f>$B8 * IFERROR(VLOOKUP("LULUCF|PM25|Asthma symptoms wheeze", US_national_yearly!$D:$AM, 32, FALSE) / VLOOKUP("LULUCF|PM25|Asthma symptoms wheeze", US_national_yearly!$D:$AM, 10, FALSE), 1)</f>
        <v>3.2740900615224537E-3</v>
      </c>
      <c r="Y8" s="7">
        <f>$B8 * IFERROR(VLOOKUP("LULUCF|PM25|Asthma symptoms wheeze", US_national_yearly!$D:$AM, 33, FALSE) / VLOOKUP("LULUCF|PM25|Asthma symptoms wheeze", US_national_yearly!$D:$AM, 10, FALSE), 1)</f>
        <v>3.2740900615224537E-3</v>
      </c>
      <c r="Z8" s="7">
        <f>$B8 * IFERROR(VLOOKUP("LULUCF|PM25|Asthma symptoms wheeze", US_national_yearly!$D:$AM, 34, FALSE) / VLOOKUP("LULUCF|PM25|Asthma symptoms wheeze", US_national_yearly!$D:$AM, 10, FALSE), 1)</f>
        <v>3.2740900615224537E-3</v>
      </c>
      <c r="AA8" s="7">
        <f>$B8 * IFERROR(VLOOKUP("LULUCF|PM25|Asthma symptoms wheeze", US_national_yearly!$D:$AM, 35, FALSE) / VLOOKUP("LULUCF|PM25|Asthma symptoms wheeze", US_national_yearly!$D:$AM, 10, FALSE), 1)</f>
        <v>3.2740900615224537E-3</v>
      </c>
      <c r="AB8" s="7">
        <f>$B8 * IFERROR(VLOOKUP("LULUCF|PM25|Asthma symptoms wheeze", US_national_yearly!$D:$AM, 36, FALSE) / VLOOKUP("LULUCF|PM25|Asthma symptoms wheeze", US_national_yearly!$D:$AM, 10, FALSE), 1)</f>
        <v>3.2740900615224537E-3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3.412783774651488E-5</v>
      </c>
      <c r="C12" s="7">
        <f>$B12 * IFERROR(VLOOKUP("LULUCF|PM25|Respiratory hospital admissions", US_national_yearly!$D:$AM, 11, FALSE) / VLOOKUP("LULUCF|PM25|Respiratory hospital admissions", US_national_yearly!$D:$AM, 10, FALSE), 1)</f>
        <v>3.432344475701563E-5</v>
      </c>
      <c r="D12" s="7">
        <f>$B12 * IFERROR(VLOOKUP("LULUCF|PM25|Respiratory hospital admissions", US_national_yearly!$D:$AM, 12, FALSE) / VLOOKUP("LULUCF|PM25|Respiratory hospital admissions", US_national_yearly!$D:$AM, 10, FALSE), 1)</f>
        <v>3.4519051767516373E-5</v>
      </c>
      <c r="E12" s="7">
        <f>$B12 * IFERROR(VLOOKUP("LULUCF|PM25|Respiratory hospital admissions", US_national_yearly!$D:$AM, 13, FALSE) / VLOOKUP("LULUCF|PM25|Respiratory hospital admissions", US_national_yearly!$D:$AM, 10, FALSE), 1)</f>
        <v>3.4714658778017116E-5</v>
      </c>
      <c r="F12" s="7">
        <f>$B12 * IFERROR(VLOOKUP("LULUCF|PM25|Respiratory hospital admissions", US_national_yearly!$D:$AM, 14, FALSE) / VLOOKUP("LULUCF|PM25|Respiratory hospital admissions", US_national_yearly!$D:$AM, 10, FALSE), 1)</f>
        <v>3.4910265788517859E-5</v>
      </c>
      <c r="G12" s="7">
        <f>$B12 * IFERROR(VLOOKUP("LULUCF|PM25|Respiratory hospital admissions", US_national_yearly!$D:$AM, 15, FALSE) / VLOOKUP("LULUCF|PM25|Respiratory hospital admissions", US_national_yearly!$D:$AM, 10, FALSE), 1)</f>
        <v>3.512152970352962E-5</v>
      </c>
      <c r="H12" s="7">
        <f>$B12 * IFERROR(VLOOKUP("LULUCF|PM25|Respiratory hospital admissions", US_national_yearly!$D:$AM, 16, FALSE) / VLOOKUP("LULUCF|PM25|Respiratory hospital admissions", US_national_yearly!$D:$AM, 10, FALSE), 1)</f>
        <v>3.5332793618541387E-5</v>
      </c>
      <c r="I12" s="7">
        <f>$B12 * IFERROR(VLOOKUP("LULUCF|PM25|Respiratory hospital admissions", US_national_yearly!$D:$AM, 17, FALSE) / VLOOKUP("LULUCF|PM25|Respiratory hospital admissions", US_national_yearly!$D:$AM, 10, FALSE), 1)</f>
        <v>3.5534648262677034E-5</v>
      </c>
      <c r="J12" s="7">
        <f>$B12 * IFERROR(VLOOKUP("LULUCF|PM25|Respiratory hospital admissions", US_national_yearly!$D:$AM, 18, FALSE) / VLOOKUP("LULUCF|PM25|Respiratory hospital admissions", US_national_yearly!$D:$AM, 10, FALSE), 1)</f>
        <v>3.5736502906812709E-5</v>
      </c>
      <c r="K12" s="7">
        <f>$B12 * IFERROR(VLOOKUP("LULUCF|PM25|Respiratory hospital admissions", US_national_yearly!$D:$AM, 19, FALSE) / VLOOKUP("LULUCF|PM25|Respiratory hospital admissions", US_national_yearly!$D:$AM, 10, FALSE), 1)</f>
        <v>3.5938357550948363E-5</v>
      </c>
      <c r="L12" s="7">
        <f>$B12 * IFERROR(VLOOKUP("LULUCF|PM25|Respiratory hospital admissions", US_national_yearly!$D:$AM, 20, FALSE) / VLOOKUP("LULUCF|PM25|Respiratory hospital admissions", US_national_yearly!$D:$AM, 10, FALSE), 1)</f>
        <v>3.614021219508403E-5</v>
      </c>
      <c r="M12" s="7">
        <f>$B12 * IFERROR(VLOOKUP("LULUCF|PM25|Respiratory hospital admissions", US_national_yearly!$D:$AM, 21, FALSE) / VLOOKUP("LULUCF|PM25|Respiratory hospital admissions", US_national_yearly!$D:$AM, 10, FALSE), 1)</f>
        <v>3.6342066839219684E-5</v>
      </c>
      <c r="N12" s="7">
        <f>$B12 * IFERROR(VLOOKUP("LULUCF|PM25|Respiratory hospital admissions", US_national_yearly!$D:$AM, 22, FALSE) / VLOOKUP("LULUCF|PM25|Respiratory hospital admissions", US_national_yearly!$D:$AM, 10, FALSE), 1)</f>
        <v>3.648694380780356E-5</v>
      </c>
      <c r="O12" s="7">
        <f>$B12 * IFERROR(VLOOKUP("LULUCF|PM25|Respiratory hospital admissions", US_national_yearly!$D:$AM, 23, FALSE) / VLOOKUP("LULUCF|PM25|Respiratory hospital admissions", US_national_yearly!$D:$AM, 10, FALSE), 1)</f>
        <v>3.663182077638743E-5</v>
      </c>
      <c r="P12" s="7">
        <f>$B12 * IFERROR(VLOOKUP("LULUCF|PM25|Respiratory hospital admissions", US_national_yearly!$D:$AM, 24, FALSE) / VLOOKUP("LULUCF|PM25|Respiratory hospital admissions", US_national_yearly!$D:$AM, 10, FALSE), 1)</f>
        <v>3.6776697744971293E-5</v>
      </c>
      <c r="Q12" s="7">
        <f>$B12 * IFERROR(VLOOKUP("LULUCF|PM25|Respiratory hospital admissions", US_national_yearly!$D:$AM, 25, FALSE) / VLOOKUP("LULUCF|PM25|Respiratory hospital admissions", US_national_yearly!$D:$AM, 10, FALSE), 1)</f>
        <v>3.6921574713555162E-5</v>
      </c>
      <c r="R12" s="7">
        <f>$B12 * IFERROR(VLOOKUP("LULUCF|PM25|Respiratory hospital admissions", US_national_yearly!$D:$AM, 26, FALSE) / VLOOKUP("LULUCF|PM25|Respiratory hospital admissions", US_national_yearly!$D:$AM, 10, FALSE), 1)</f>
        <v>3.7066451682139039E-5</v>
      </c>
      <c r="S12" s="7">
        <f>$B12 * IFERROR(VLOOKUP("LULUCF|PM25|Respiratory hospital admissions", US_national_yearly!$D:$AM, 27, FALSE) / VLOOKUP("LULUCF|PM25|Respiratory hospital admissions", US_national_yearly!$D:$AM, 10, FALSE), 1)</f>
        <v>3.7204393646360461E-5</v>
      </c>
      <c r="T12" s="7">
        <f>$B12 * IFERROR(VLOOKUP("LULUCF|PM25|Respiratory hospital admissions", US_national_yearly!$D:$AM, 28, FALSE) / VLOOKUP("LULUCF|PM25|Respiratory hospital admissions", US_national_yearly!$D:$AM, 10, FALSE), 1)</f>
        <v>3.734233561058189E-5</v>
      </c>
      <c r="U12" s="7">
        <f>$B12 * IFERROR(VLOOKUP("LULUCF|PM25|Respiratory hospital admissions", US_national_yearly!$D:$AM, 29, FALSE) / VLOOKUP("LULUCF|PM25|Respiratory hospital admissions", US_national_yearly!$D:$AM, 10, FALSE), 1)</f>
        <v>3.7480277574803312E-5</v>
      </c>
      <c r="V12" s="7">
        <f>$B12 * IFERROR(VLOOKUP("LULUCF|PM25|Respiratory hospital admissions", US_national_yearly!$D:$AM, 30, FALSE) / VLOOKUP("LULUCF|PM25|Respiratory hospital admissions", US_national_yearly!$D:$AM, 10, FALSE), 1)</f>
        <v>3.7618219539024734E-5</v>
      </c>
      <c r="W12" s="7">
        <f>$B12 * IFERROR(VLOOKUP("LULUCF|PM25|Respiratory hospital admissions", US_national_yearly!$D:$AM, 31, FALSE) / VLOOKUP("LULUCF|PM25|Respiratory hospital admissions", US_national_yearly!$D:$AM, 10, FALSE), 1)</f>
        <v>3.7756161503246156E-5</v>
      </c>
      <c r="X12" s="7">
        <f>$B12 * IFERROR(VLOOKUP("LULUCF|PM25|Respiratory hospital admissions", US_national_yearly!$D:$AM, 32, FALSE) / VLOOKUP("LULUCF|PM25|Respiratory hospital admissions", US_national_yearly!$D:$AM, 10, FALSE), 1)</f>
        <v>3.7888863432438334E-5</v>
      </c>
      <c r="Y12" s="7">
        <f>$B12 * IFERROR(VLOOKUP("LULUCF|PM25|Respiratory hospital admissions", US_national_yearly!$D:$AM, 33, FALSE) / VLOOKUP("LULUCF|PM25|Respiratory hospital admissions", US_national_yearly!$D:$AM, 10, FALSE), 1)</f>
        <v>3.8021565361630498E-5</v>
      </c>
      <c r="Z12" s="7">
        <f>$B12 * IFERROR(VLOOKUP("LULUCF|PM25|Respiratory hospital admissions", US_national_yearly!$D:$AM, 34, FALSE) / VLOOKUP("LULUCF|PM25|Respiratory hospital admissions", US_national_yearly!$D:$AM, 10, FALSE), 1)</f>
        <v>3.8154267290822669E-5</v>
      </c>
      <c r="AA12" s="7">
        <f>$B12 * IFERROR(VLOOKUP("LULUCF|PM25|Respiratory hospital admissions", US_national_yearly!$D:$AM, 35, FALSE) / VLOOKUP("LULUCF|PM25|Respiratory hospital admissions", US_national_yearly!$D:$AM, 10, FALSE), 1)</f>
        <v>3.8286969220014832E-5</v>
      </c>
      <c r="AB12" s="7">
        <f>$B12 * IFERROR(VLOOKUP("LULUCF|PM25|Respiratory hospital admissions", US_national_yearly!$D:$AM, 36, FALSE) / VLOOKUP("LULUCF|PM25|Respiratory hospital admissions", US_national_yearly!$D:$AM, 10, FALSE), 1)</f>
        <v>3.8419671149207003E-5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2.4511725059510168E-4</v>
      </c>
      <c r="C13" s="7">
        <f>$B13 * IFERROR(VLOOKUP("LULUCF|PM25|Non-fatal heart attacks", US_national_yearly!$D:$AM, 11, FALSE) / VLOOKUP("LULUCF|PM25|Non-fatal heart attacks", US_national_yearly!$D:$AM, 10, FALSE), 1)</f>
        <v>2.5224345953663848E-4</v>
      </c>
      <c r="D13" s="7">
        <f>$B13 * IFERROR(VLOOKUP("LULUCF|PM25|Non-fatal heart attacks", US_national_yearly!$D:$AM, 12, FALSE) / VLOOKUP("LULUCF|PM25|Non-fatal heart attacks", US_national_yearly!$D:$AM, 10, FALSE), 1)</f>
        <v>2.5936966847817528E-4</v>
      </c>
      <c r="E13" s="7">
        <f>$B13 * IFERROR(VLOOKUP("LULUCF|PM25|Non-fatal heart attacks", US_national_yearly!$D:$AM, 13, FALSE) / VLOOKUP("LULUCF|PM25|Non-fatal heart attacks", US_national_yearly!$D:$AM, 10, FALSE), 1)</f>
        <v>2.6649587741971208E-4</v>
      </c>
      <c r="F13" s="7">
        <f>$B13 * IFERROR(VLOOKUP("LULUCF|PM25|Non-fatal heart attacks", US_national_yearly!$D:$AM, 14, FALSE) / VLOOKUP("LULUCF|PM25|Non-fatal heart attacks", US_national_yearly!$D:$AM, 10, FALSE), 1)</f>
        <v>2.7362208636124894E-4</v>
      </c>
      <c r="G13" s="7">
        <f>$B13 * IFERROR(VLOOKUP("LULUCF|PM25|Non-fatal heart attacks", US_national_yearly!$D:$AM, 15, FALSE) / VLOOKUP("LULUCF|PM25|Non-fatal heart attacks", US_national_yearly!$D:$AM, 10, FALSE), 1)</f>
        <v>2.803425519033133E-4</v>
      </c>
      <c r="H13" s="7">
        <f>$B13 * IFERROR(VLOOKUP("LULUCF|PM25|Non-fatal heart attacks", US_national_yearly!$D:$AM, 16, FALSE) / VLOOKUP("LULUCF|PM25|Non-fatal heart attacks", US_national_yearly!$D:$AM, 10, FALSE), 1)</f>
        <v>2.8706301744537766E-4</v>
      </c>
      <c r="I13" s="7">
        <f>$B13 * IFERROR(VLOOKUP("LULUCF|PM25|Non-fatal heart attacks", US_national_yearly!$D:$AM, 17, FALSE) / VLOOKUP("LULUCF|PM25|Non-fatal heart attacks", US_national_yearly!$D:$AM, 10, FALSE), 1)</f>
        <v>2.924640354726484E-4</v>
      </c>
      <c r="J13" s="7">
        <f>$B13 * IFERROR(VLOOKUP("LULUCF|PM25|Non-fatal heart attacks", US_national_yearly!$D:$AM, 18, FALSE) / VLOOKUP("LULUCF|PM25|Non-fatal heart attacks", US_national_yearly!$D:$AM, 10, FALSE), 1)</f>
        <v>2.9786505349991914E-4</v>
      </c>
      <c r="K13" s="7">
        <f>$B13 * IFERROR(VLOOKUP("LULUCF|PM25|Non-fatal heart attacks", US_national_yearly!$D:$AM, 19, FALSE) / VLOOKUP("LULUCF|PM25|Non-fatal heart attacks", US_national_yearly!$D:$AM, 10, FALSE), 1)</f>
        <v>3.0326607152718988E-4</v>
      </c>
      <c r="L13" s="7">
        <f>$B13 * IFERROR(VLOOKUP("LULUCF|PM25|Non-fatal heart attacks", US_national_yearly!$D:$AM, 20, FALSE) / VLOOKUP("LULUCF|PM25|Non-fatal heart attacks", US_national_yearly!$D:$AM, 10, FALSE), 1)</f>
        <v>3.0866708955446063E-4</v>
      </c>
      <c r="M13" s="7">
        <f>$B13 * IFERROR(VLOOKUP("LULUCF|PM25|Non-fatal heart attacks", US_national_yearly!$D:$AM, 21, FALSE) / VLOOKUP("LULUCF|PM25|Non-fatal heart attacks", US_national_yearly!$D:$AM, 10, FALSE), 1)</f>
        <v>3.1406810758173142E-4</v>
      </c>
      <c r="N13" s="7">
        <f>$B13 * IFERROR(VLOOKUP("LULUCF|PM25|Non-fatal heart attacks", US_national_yearly!$D:$AM, 22, FALSE) / VLOOKUP("LULUCF|PM25|Non-fatal heart attacks", US_national_yearly!$D:$AM, 10, FALSE), 1)</f>
        <v>3.175512308832052E-4</v>
      </c>
      <c r="O13" s="7">
        <f>$B13 * IFERROR(VLOOKUP("LULUCF|PM25|Non-fatal heart attacks", US_national_yearly!$D:$AM, 23, FALSE) / VLOOKUP("LULUCF|PM25|Non-fatal heart attacks", US_national_yearly!$D:$AM, 10, FALSE), 1)</f>
        <v>3.2103435418467903E-4</v>
      </c>
      <c r="P13" s="7">
        <f>$B13 * IFERROR(VLOOKUP("LULUCF|PM25|Non-fatal heart attacks", US_national_yearly!$D:$AM, 24, FALSE) / VLOOKUP("LULUCF|PM25|Non-fatal heart attacks", US_national_yearly!$D:$AM, 10, FALSE), 1)</f>
        <v>3.2451747748615285E-4</v>
      </c>
      <c r="Q13" s="7">
        <f>$B13 * IFERROR(VLOOKUP("LULUCF|PM25|Non-fatal heart attacks", US_national_yearly!$D:$AM, 25, FALSE) / VLOOKUP("LULUCF|PM25|Non-fatal heart attacks", US_national_yearly!$D:$AM, 10, FALSE), 1)</f>
        <v>3.2800060078762663E-4</v>
      </c>
      <c r="R13" s="7">
        <f>$B13 * IFERROR(VLOOKUP("LULUCF|PM25|Non-fatal heart attacks", US_national_yearly!$D:$AM, 26, FALSE) / VLOOKUP("LULUCF|PM25|Non-fatal heart attacks", US_national_yearly!$D:$AM, 10, FALSE), 1)</f>
        <v>3.3148372408910046E-4</v>
      </c>
      <c r="S13" s="7">
        <f>$B13 * IFERROR(VLOOKUP("LULUCF|PM25|Non-fatal heart attacks", US_national_yearly!$D:$AM, 27, FALSE) / VLOOKUP("LULUCF|PM25|Non-fatal heart attacks", US_national_yearly!$D:$AM, 10, FALSE), 1)</f>
        <v>3.3331803633172982E-4</v>
      </c>
      <c r="T13" s="7">
        <f>$B13 * IFERROR(VLOOKUP("LULUCF|PM25|Non-fatal heart attacks", US_national_yearly!$D:$AM, 28, FALSE) / VLOOKUP("LULUCF|PM25|Non-fatal heart attacks", US_national_yearly!$D:$AM, 10, FALSE), 1)</f>
        <v>3.3515234857435928E-4</v>
      </c>
      <c r="U13" s="7">
        <f>$B13 * IFERROR(VLOOKUP("LULUCF|PM25|Non-fatal heart attacks", US_national_yearly!$D:$AM, 29, FALSE) / VLOOKUP("LULUCF|PM25|Non-fatal heart attacks", US_national_yearly!$D:$AM, 10, FALSE), 1)</f>
        <v>3.369866608169888E-4</v>
      </c>
      <c r="V13" s="7">
        <f>$B13 * IFERROR(VLOOKUP("LULUCF|PM25|Non-fatal heart attacks", US_national_yearly!$D:$AM, 30, FALSE) / VLOOKUP("LULUCF|PM25|Non-fatal heart attacks", US_national_yearly!$D:$AM, 10, FALSE), 1)</f>
        <v>3.3882097305961822E-4</v>
      </c>
      <c r="W13" s="7">
        <f>$B13 * IFERROR(VLOOKUP("LULUCF|PM25|Non-fatal heart attacks", US_national_yearly!$D:$AM, 31, FALSE) / VLOOKUP("LULUCF|PM25|Non-fatal heart attacks", US_national_yearly!$D:$AM, 10, FALSE), 1)</f>
        <v>3.4065528530224763E-4</v>
      </c>
      <c r="X13" s="7">
        <f>$B13 * IFERROR(VLOOKUP("LULUCF|PM25|Non-fatal heart attacks", US_national_yearly!$D:$AM, 32, FALSE) / VLOOKUP("LULUCF|PM25|Non-fatal heart attacks", US_national_yearly!$D:$AM, 10, FALSE), 1)</f>
        <v>3.4204779353050248E-4</v>
      </c>
      <c r="Y13" s="7">
        <f>$B13 * IFERROR(VLOOKUP("LULUCF|PM25|Non-fatal heart attacks", US_national_yearly!$D:$AM, 33, FALSE) / VLOOKUP("LULUCF|PM25|Non-fatal heart attacks", US_national_yearly!$D:$AM, 10, FALSE), 1)</f>
        <v>3.4344030175875745E-4</v>
      </c>
      <c r="Z13" s="7">
        <f>$B13 * IFERROR(VLOOKUP("LULUCF|PM25|Non-fatal heart attacks", US_national_yearly!$D:$AM, 34, FALSE) / VLOOKUP("LULUCF|PM25|Non-fatal heart attacks", US_national_yearly!$D:$AM, 10, FALSE), 1)</f>
        <v>3.448328099870123E-4</v>
      </c>
      <c r="AA13" s="7">
        <f>$B13 * IFERROR(VLOOKUP("LULUCF|PM25|Non-fatal heart attacks", US_national_yearly!$D:$AM, 35, FALSE) / VLOOKUP("LULUCF|PM25|Non-fatal heart attacks", US_national_yearly!$D:$AM, 10, FALSE), 1)</f>
        <v>3.4622531821526726E-4</v>
      </c>
      <c r="AB13" s="7">
        <f>$B13 * IFERROR(VLOOKUP("LULUCF|PM25|Non-fatal heart attacks", US_national_yearly!$D:$AM, 36, FALSE) / VLOOKUP("LULUCF|PM25|Non-fatal heart attacks", US_national_yearly!$D:$AM, 10, FALSE), 1)</f>
        <v>3.4761782644352217E-4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0.20713053994362229</v>
      </c>
      <c r="C14" s="7">
        <f>$B14 * IFERROR(VLOOKUP("LULUCF|PM25|Minor restricted activity days", US_national_yearly!$D:$AM, 11, FALSE) / VLOOKUP("LULUCF|PM25|Minor restricted activity days", US_national_yearly!$D:$AM, 10, FALSE), 1)</f>
        <v>0.20763637728595843</v>
      </c>
      <c r="D14" s="7">
        <f>$B14 * IFERROR(VLOOKUP("LULUCF|PM25|Minor restricted activity days", US_national_yearly!$D:$AM, 12, FALSE) / VLOOKUP("LULUCF|PM25|Minor restricted activity days", US_national_yearly!$D:$AM, 10, FALSE), 1)</f>
        <v>0.20814221462829455</v>
      </c>
      <c r="E14" s="7">
        <f>$B14 * IFERROR(VLOOKUP("LULUCF|PM25|Minor restricted activity days", US_national_yearly!$D:$AM, 13, FALSE) / VLOOKUP("LULUCF|PM25|Minor restricted activity days", US_national_yearly!$D:$AM, 10, FALSE), 1)</f>
        <v>0.20864805197063072</v>
      </c>
      <c r="F14" s="7">
        <f>$B14 * IFERROR(VLOOKUP("LULUCF|PM25|Minor restricted activity days", US_national_yearly!$D:$AM, 14, FALSE) / VLOOKUP("LULUCF|PM25|Minor restricted activity days", US_national_yearly!$D:$AM, 10, FALSE), 1)</f>
        <v>0.2091538893129668</v>
      </c>
      <c r="G14" s="7">
        <f>$B14 * IFERROR(VLOOKUP("LULUCF|PM25|Minor restricted activity days", US_national_yearly!$D:$AM, 15, FALSE) / VLOOKUP("LULUCF|PM25|Minor restricted activity days", US_national_yearly!$D:$AM, 10, FALSE), 1)</f>
        <v>0.20990023717318396</v>
      </c>
      <c r="H14" s="7">
        <f>$B14 * IFERROR(VLOOKUP("LULUCF|PM25|Minor restricted activity days", US_national_yearly!$D:$AM, 16, FALSE) / VLOOKUP("LULUCF|PM25|Minor restricted activity days", US_national_yearly!$D:$AM, 10, FALSE), 1)</f>
        <v>0.21064658503340111</v>
      </c>
      <c r="I14" s="7">
        <f>$B14 * IFERROR(VLOOKUP("LULUCF|PM25|Minor restricted activity days", US_national_yearly!$D:$AM, 17, FALSE) / VLOOKUP("LULUCF|PM25|Minor restricted activity days", US_national_yearly!$D:$AM, 10, FALSE), 1)</f>
        <v>0.21192249809991687</v>
      </c>
      <c r="J14" s="7">
        <f>$B14 * IFERROR(VLOOKUP("LULUCF|PM25|Minor restricted activity days", US_national_yearly!$D:$AM, 18, FALSE) / VLOOKUP("LULUCF|PM25|Minor restricted activity days", US_national_yearly!$D:$AM, 10, FALSE), 1)</f>
        <v>0.21319841116643254</v>
      </c>
      <c r="K14" s="7">
        <f>$B14 * IFERROR(VLOOKUP("LULUCF|PM25|Minor restricted activity days", US_national_yearly!$D:$AM, 19, FALSE) / VLOOKUP("LULUCF|PM25|Minor restricted activity days", US_national_yearly!$D:$AM, 10, FALSE), 1)</f>
        <v>0.21447432423294829</v>
      </c>
      <c r="L14" s="7">
        <f>$B14 * IFERROR(VLOOKUP("LULUCF|PM25|Minor restricted activity days", US_national_yearly!$D:$AM, 20, FALSE) / VLOOKUP("LULUCF|PM25|Minor restricted activity days", US_national_yearly!$D:$AM, 10, FALSE), 1)</f>
        <v>0.21575023729946399</v>
      </c>
      <c r="M14" s="7">
        <f>$B14 * IFERROR(VLOOKUP("LULUCF|PM25|Minor restricted activity days", US_national_yearly!$D:$AM, 21, FALSE) / VLOOKUP("LULUCF|PM25|Minor restricted activity days", US_national_yearly!$D:$AM, 10, FALSE), 1)</f>
        <v>0.21702615036597969</v>
      </c>
      <c r="N14" s="7">
        <f>$B14 * IFERROR(VLOOKUP("LULUCF|PM25|Minor restricted activity days", US_national_yearly!$D:$AM, 22, FALSE) / VLOOKUP("LULUCF|PM25|Minor restricted activity days", US_national_yearly!$D:$AM, 10, FALSE), 1)</f>
        <v>0.21876419799641389</v>
      </c>
      <c r="O14" s="7">
        <f>$B14 * IFERROR(VLOOKUP("LULUCF|PM25|Minor restricted activity days", US_national_yearly!$D:$AM, 23, FALSE) / VLOOKUP("LULUCF|PM25|Minor restricted activity days", US_national_yearly!$D:$AM, 10, FALSE), 1)</f>
        <v>0.220502245626848</v>
      </c>
      <c r="P14" s="7">
        <f>$B14 * IFERROR(VLOOKUP("LULUCF|PM25|Minor restricted activity days", US_national_yearly!$D:$AM, 24, FALSE) / VLOOKUP("LULUCF|PM25|Minor restricted activity days", US_national_yearly!$D:$AM, 10, FALSE), 1)</f>
        <v>0.22224029325728217</v>
      </c>
      <c r="Q14" s="7">
        <f>$B14 * IFERROR(VLOOKUP("LULUCF|PM25|Minor restricted activity days", US_national_yearly!$D:$AM, 25, FALSE) / VLOOKUP("LULUCF|PM25|Minor restricted activity days", US_national_yearly!$D:$AM, 10, FALSE), 1)</f>
        <v>0.22397834088771632</v>
      </c>
      <c r="R14" s="7">
        <f>$B14 * IFERROR(VLOOKUP("LULUCF|PM25|Minor restricted activity days", US_national_yearly!$D:$AM, 26, FALSE) / VLOOKUP("LULUCF|PM25|Minor restricted activity days", US_national_yearly!$D:$AM, 10, FALSE), 1)</f>
        <v>0.22571638851815043</v>
      </c>
      <c r="S14" s="7">
        <f>$B14 * IFERROR(VLOOKUP("LULUCF|PM25|Minor restricted activity days", US_national_yearly!$D:$AM, 27, FALSE) / VLOOKUP("LULUCF|PM25|Minor restricted activity days", US_national_yearly!$D:$AM, 10, FALSE), 1)</f>
        <v>0.227466405513093</v>
      </c>
      <c r="T14" s="7">
        <f>$B14 * IFERROR(VLOOKUP("LULUCF|PM25|Minor restricted activity days", US_national_yearly!$D:$AM, 28, FALSE) / VLOOKUP("LULUCF|PM25|Minor restricted activity days", US_national_yearly!$D:$AM, 10, FALSE), 1)</f>
        <v>0.22921642250803553</v>
      </c>
      <c r="U14" s="7">
        <f>$B14 * IFERROR(VLOOKUP("LULUCF|PM25|Minor restricted activity days", US_national_yearly!$D:$AM, 29, FALSE) / VLOOKUP("LULUCF|PM25|Minor restricted activity days", US_national_yearly!$D:$AM, 10, FALSE), 1)</f>
        <v>0.23096643950297807</v>
      </c>
      <c r="V14" s="7">
        <f>$B14 * IFERROR(VLOOKUP("LULUCF|PM25|Minor restricted activity days", US_national_yearly!$D:$AM, 30, FALSE) / VLOOKUP("LULUCF|PM25|Minor restricted activity days", US_national_yearly!$D:$AM, 10, FALSE), 1)</f>
        <v>0.23271645649792064</v>
      </c>
      <c r="W14" s="7">
        <f>$B14 * IFERROR(VLOOKUP("LULUCF|PM25|Minor restricted activity days", US_national_yearly!$D:$AM, 31, FALSE) / VLOOKUP("LULUCF|PM25|Minor restricted activity days", US_national_yearly!$D:$AM, 10, FALSE), 1)</f>
        <v>0.23446647349286318</v>
      </c>
      <c r="X14" s="7">
        <f>$B14 * IFERROR(VLOOKUP("LULUCF|PM25|Minor restricted activity days", US_national_yearly!$D:$AM, 32, FALSE) / VLOOKUP("LULUCF|PM25|Minor restricted activity days", US_national_yearly!$D:$AM, 10, FALSE), 1)</f>
        <v>0.23598566429953266</v>
      </c>
      <c r="Y14" s="7">
        <f>$B14 * IFERROR(VLOOKUP("LULUCF|PM25|Minor restricted activity days", US_national_yearly!$D:$AM, 33, FALSE) / VLOOKUP("LULUCF|PM25|Minor restricted activity days", US_national_yearly!$D:$AM, 10, FALSE), 1)</f>
        <v>0.23750485510620215</v>
      </c>
      <c r="Z14" s="7">
        <f>$B14 * IFERROR(VLOOKUP("LULUCF|PM25|Minor restricted activity days", US_national_yearly!$D:$AM, 34, FALSE) / VLOOKUP("LULUCF|PM25|Minor restricted activity days", US_national_yearly!$D:$AM, 10, FALSE), 1)</f>
        <v>0.2390240459128716</v>
      </c>
      <c r="AA14" s="7">
        <f>$B14 * IFERROR(VLOOKUP("LULUCF|PM25|Minor restricted activity days", US_national_yearly!$D:$AM, 35, FALSE) / VLOOKUP("LULUCF|PM25|Minor restricted activity days", US_national_yearly!$D:$AM, 10, FALSE), 1)</f>
        <v>0.24054323671954103</v>
      </c>
      <c r="AB14" s="7">
        <f>$B14 * IFERROR(VLOOKUP("LULUCF|PM25|Minor restricted activity days", US_national_yearly!$D:$AM, 36, FALSE) / VLOOKUP("LULUCF|PM25|Minor restricted activity days", US_national_yearly!$D:$AM, 10, FALSE), 1)</f>
        <v>0.24206242752621052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3.5196600650179009E-2</v>
      </c>
      <c r="C15" s="7">
        <f>$B15 * IFERROR(VLOOKUP("LULUCF|PM25|Work loss days", US_national_yearly!$D:$AM, 11, FALSE) / VLOOKUP("LULUCF|PM25|Work loss days", US_national_yearly!$D:$AM, 10, FALSE), 1)</f>
        <v>3.5305697435406916E-2</v>
      </c>
      <c r="D15" s="7">
        <f>$B15 * IFERROR(VLOOKUP("LULUCF|PM25|Work loss days", US_national_yearly!$D:$AM, 12, FALSE) / VLOOKUP("LULUCF|PM25|Work loss days", US_national_yearly!$D:$AM, 10, FALSE), 1)</f>
        <v>3.5414794220634829E-2</v>
      </c>
      <c r="E15" s="7">
        <f>$B15 * IFERROR(VLOOKUP("LULUCF|PM25|Work loss days", US_national_yearly!$D:$AM, 13, FALSE) / VLOOKUP("LULUCF|PM25|Work loss days", US_national_yearly!$D:$AM, 10, FALSE), 1)</f>
        <v>3.5523891005862736E-2</v>
      </c>
      <c r="F15" s="7">
        <f>$B15 * IFERROR(VLOOKUP("LULUCF|PM25|Work loss days", US_national_yearly!$D:$AM, 14, FALSE) / VLOOKUP("LULUCF|PM25|Work loss days", US_national_yearly!$D:$AM, 10, FALSE), 1)</f>
        <v>3.5632987791090642E-2</v>
      </c>
      <c r="G15" s="7">
        <f>$B15 * IFERROR(VLOOKUP("LULUCF|PM25|Work loss days", US_national_yearly!$D:$AM, 15, FALSE) / VLOOKUP("LULUCF|PM25|Work loss days", US_national_yearly!$D:$AM, 10, FALSE), 1)</f>
        <v>3.577602063809493E-2</v>
      </c>
      <c r="H15" s="7">
        <f>$B15 * IFERROR(VLOOKUP("LULUCF|PM25|Work loss days", US_national_yearly!$D:$AM, 16, FALSE) / VLOOKUP("LULUCF|PM25|Work loss days", US_national_yearly!$D:$AM, 10, FALSE), 1)</f>
        <v>3.5919053485099224E-2</v>
      </c>
      <c r="I15" s="7">
        <f>$B15 * IFERROR(VLOOKUP("LULUCF|PM25|Work loss days", US_national_yearly!$D:$AM, 17, FALSE) / VLOOKUP("LULUCF|PM25|Work loss days", US_national_yearly!$D:$AM, 10, FALSE), 1)</f>
        <v>3.6129685083767543E-2</v>
      </c>
      <c r="J15" s="7">
        <f>$B15 * IFERROR(VLOOKUP("LULUCF|PM25|Work loss days", US_national_yearly!$D:$AM, 18, FALSE) / VLOOKUP("LULUCF|PM25|Work loss days", US_national_yearly!$D:$AM, 10, FALSE), 1)</f>
        <v>3.6340316682435855E-2</v>
      </c>
      <c r="K15" s="7">
        <f>$B15 * IFERROR(VLOOKUP("LULUCF|PM25|Work loss days", US_national_yearly!$D:$AM, 19, FALSE) / VLOOKUP("LULUCF|PM25|Work loss days", US_national_yearly!$D:$AM, 10, FALSE), 1)</f>
        <v>3.6550948281104174E-2</v>
      </c>
      <c r="L15" s="7">
        <f>$B15 * IFERROR(VLOOKUP("LULUCF|PM25|Work loss days", US_national_yearly!$D:$AM, 20, FALSE) / VLOOKUP("LULUCF|PM25|Work loss days", US_national_yearly!$D:$AM, 10, FALSE), 1)</f>
        <v>3.6761579879772494E-2</v>
      </c>
      <c r="M15" s="7">
        <f>$B15 * IFERROR(VLOOKUP("LULUCF|PM25|Work loss days", US_national_yearly!$D:$AM, 21, FALSE) / VLOOKUP("LULUCF|PM25|Work loss days", US_national_yearly!$D:$AM, 10, FALSE), 1)</f>
        <v>3.6972211478440813E-2</v>
      </c>
      <c r="N15" s="7">
        <f>$B15 * IFERROR(VLOOKUP("LULUCF|PM25|Work loss days", US_national_yearly!$D:$AM, 22, FALSE) / VLOOKUP("LULUCF|PM25|Work loss days", US_national_yearly!$D:$AM, 10, FALSE), 1)</f>
        <v>3.7237307287818058E-2</v>
      </c>
      <c r="O15" s="7">
        <f>$B15 * IFERROR(VLOOKUP("LULUCF|PM25|Work loss days", US_national_yearly!$D:$AM, 23, FALSE) / VLOOKUP("LULUCF|PM25|Work loss days", US_national_yearly!$D:$AM, 10, FALSE), 1)</f>
        <v>3.7502403097195304E-2</v>
      </c>
      <c r="P15" s="7">
        <f>$B15 * IFERROR(VLOOKUP("LULUCF|PM25|Work loss days", US_national_yearly!$D:$AM, 24, FALSE) / VLOOKUP("LULUCF|PM25|Work loss days", US_national_yearly!$D:$AM, 10, FALSE), 1)</f>
        <v>3.776749890657255E-2</v>
      </c>
      <c r="Q15" s="7">
        <f>$B15 * IFERROR(VLOOKUP("LULUCF|PM25|Work loss days", US_national_yearly!$D:$AM, 25, FALSE) / VLOOKUP("LULUCF|PM25|Work loss days", US_national_yearly!$D:$AM, 10, FALSE), 1)</f>
        <v>3.8032594715949795E-2</v>
      </c>
      <c r="R15" s="7">
        <f>$B15 * IFERROR(VLOOKUP("LULUCF|PM25|Work loss days", US_national_yearly!$D:$AM, 26, FALSE) / VLOOKUP("LULUCF|PM25|Work loss days", US_national_yearly!$D:$AM, 10, FALSE), 1)</f>
        <v>3.8297690525327048E-2</v>
      </c>
      <c r="S15" s="7">
        <f>$B15 * IFERROR(VLOOKUP("LULUCF|PM25|Work loss days", US_national_yearly!$D:$AM, 27, FALSE) / VLOOKUP("LULUCF|PM25|Work loss days", US_national_yearly!$D:$AM, 10, FALSE), 1)</f>
        <v>3.8590897808353786E-2</v>
      </c>
      <c r="T15" s="7">
        <f>$B15 * IFERROR(VLOOKUP("LULUCF|PM25|Work loss days", US_national_yearly!$D:$AM, 28, FALSE) / VLOOKUP("LULUCF|PM25|Work loss days", US_national_yearly!$D:$AM, 10, FALSE), 1)</f>
        <v>3.888410509138053E-2</v>
      </c>
      <c r="U15" s="7">
        <f>$B15 * IFERROR(VLOOKUP("LULUCF|PM25|Work loss days", US_national_yearly!$D:$AM, 29, FALSE) / VLOOKUP("LULUCF|PM25|Work loss days", US_national_yearly!$D:$AM, 10, FALSE), 1)</f>
        <v>3.9177312374407261E-2</v>
      </c>
      <c r="V15" s="7">
        <f>$B15 * IFERROR(VLOOKUP("LULUCF|PM25|Work loss days", US_national_yearly!$D:$AM, 30, FALSE) / VLOOKUP("LULUCF|PM25|Work loss days", US_national_yearly!$D:$AM, 10, FALSE), 1)</f>
        <v>3.9470519657434006E-2</v>
      </c>
      <c r="W15" s="7">
        <f>$B15 * IFERROR(VLOOKUP("LULUCF|PM25|Work loss days", US_national_yearly!$D:$AM, 31, FALSE) / VLOOKUP("LULUCF|PM25|Work loss days", US_national_yearly!$D:$AM, 10, FALSE), 1)</f>
        <v>3.9763726940460743E-2</v>
      </c>
      <c r="X15" s="7">
        <f>$B15 * IFERROR(VLOOKUP("LULUCF|PM25|Work loss days", US_national_yearly!$D:$AM, 32, FALSE) / VLOOKUP("LULUCF|PM25|Work loss days", US_national_yearly!$D:$AM, 10, FALSE), 1)</f>
        <v>4.0023880879571802E-2</v>
      </c>
      <c r="Y15" s="7">
        <f>$B15 * IFERROR(VLOOKUP("LULUCF|PM25|Work loss days", US_national_yearly!$D:$AM, 33, FALSE) / VLOOKUP("LULUCF|PM25|Work loss days", US_national_yearly!$D:$AM, 10, FALSE), 1)</f>
        <v>4.0284034818682861E-2</v>
      </c>
      <c r="Z15" s="7">
        <f>$B15 * IFERROR(VLOOKUP("LULUCF|PM25|Work loss days", US_national_yearly!$D:$AM, 34, FALSE) / VLOOKUP("LULUCF|PM25|Work loss days", US_national_yearly!$D:$AM, 10, FALSE), 1)</f>
        <v>4.0544188757793927E-2</v>
      </c>
      <c r="AA15" s="7">
        <f>$B15 * IFERROR(VLOOKUP("LULUCF|PM25|Work loss days", US_national_yearly!$D:$AM, 35, FALSE) / VLOOKUP("LULUCF|PM25|Work loss days", US_national_yearly!$D:$AM, 10, FALSE), 1)</f>
        <v>4.0804342696904992E-2</v>
      </c>
      <c r="AB15" s="7">
        <f>$B15 * IFERROR(VLOOKUP("LULUCF|PM25|Work loss days", US_national_yearly!$D:$AM, 36, FALSE) / VLOOKUP("LULUCF|PM25|Work loss days", US_national_yearly!$D:$AM, 10, FALSE), 1)</f>
        <v>4.1064496636016051E-2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4.5982831282426447E-5</v>
      </c>
      <c r="C17" s="7">
        <f>$B17 * IFERROR(VLOOKUP("LULUCF|PM25|Cardiovascular hospital admissions", US_national_yearly!$D:$AM, 11, FALSE) / VLOOKUP("LULUCF|PM25|Cardiovascular hospital admissions", US_national_yearly!$D:$AM, 10, FALSE), 1)</f>
        <v>4.7356830345748694E-5</v>
      </c>
      <c r="D17" s="7">
        <f>$B17 * IFERROR(VLOOKUP("LULUCF|PM25|Cardiovascular hospital admissions", US_national_yearly!$D:$AM, 12, FALSE) / VLOOKUP("LULUCF|PM25|Cardiovascular hospital admissions", US_national_yearly!$D:$AM, 10, FALSE), 1)</f>
        <v>4.8730829409070954E-5</v>
      </c>
      <c r="E17" s="7">
        <f>$B17 * IFERROR(VLOOKUP("LULUCF|PM25|Cardiovascular hospital admissions", US_national_yearly!$D:$AM, 13, FALSE) / VLOOKUP("LULUCF|PM25|Cardiovascular hospital admissions", US_national_yearly!$D:$AM, 10, FALSE), 1)</f>
        <v>5.0104828472393214E-5</v>
      </c>
      <c r="F17" s="7">
        <f>$B17 * IFERROR(VLOOKUP("LULUCF|PM25|Cardiovascular hospital admissions", US_national_yearly!$D:$AM, 14, FALSE) / VLOOKUP("LULUCF|PM25|Cardiovascular hospital admissions", US_national_yearly!$D:$AM, 10, FALSE), 1)</f>
        <v>5.1478827535715474E-5</v>
      </c>
      <c r="G17" s="7">
        <f>$B17 * IFERROR(VLOOKUP("LULUCF|PM25|Cardiovascular hospital admissions", US_national_yearly!$D:$AM, 15, FALSE) / VLOOKUP("LULUCF|PM25|Cardiovascular hospital admissions", US_national_yearly!$D:$AM, 10, FALSE), 1)</f>
        <v>5.2794873205390309E-5</v>
      </c>
      <c r="H17" s="7">
        <f>$B17 * IFERROR(VLOOKUP("LULUCF|PM25|Cardiovascular hospital admissions", US_national_yearly!$D:$AM, 16, FALSE) / VLOOKUP("LULUCF|PM25|Cardiovascular hospital admissions", US_national_yearly!$D:$AM, 10, FALSE), 1)</f>
        <v>5.4110918875065157E-5</v>
      </c>
      <c r="I17" s="7">
        <f>$B17 * IFERROR(VLOOKUP("LULUCF|PM25|Cardiovascular hospital admissions", US_national_yearly!$D:$AM, 17, FALSE) / VLOOKUP("LULUCF|PM25|Cardiovascular hospital admissions", US_national_yearly!$D:$AM, 10, FALSE), 1)</f>
        <v>5.5236473385574783E-5</v>
      </c>
      <c r="J17" s="7">
        <f>$B17 * IFERROR(VLOOKUP("LULUCF|PM25|Cardiovascular hospital admissions", US_national_yearly!$D:$AM, 18, FALSE) / VLOOKUP("LULUCF|PM25|Cardiovascular hospital admissions", US_national_yearly!$D:$AM, 10, FALSE), 1)</f>
        <v>5.6362027896084395E-5</v>
      </c>
      <c r="K17" s="7">
        <f>$B17 * IFERROR(VLOOKUP("LULUCF|PM25|Cardiovascular hospital admissions", US_national_yearly!$D:$AM, 19, FALSE) / VLOOKUP("LULUCF|PM25|Cardiovascular hospital admissions", US_national_yearly!$D:$AM, 10, FALSE), 1)</f>
        <v>5.7487582406594008E-5</v>
      </c>
      <c r="L17" s="7">
        <f>$B17 * IFERROR(VLOOKUP("LULUCF|PM25|Cardiovascular hospital admissions", US_national_yearly!$D:$AM, 20, FALSE) / VLOOKUP("LULUCF|PM25|Cardiovascular hospital admissions", US_national_yearly!$D:$AM, 10, FALSE), 1)</f>
        <v>5.8613136917103641E-5</v>
      </c>
      <c r="M17" s="7">
        <f>$B17 * IFERROR(VLOOKUP("LULUCF|PM25|Cardiovascular hospital admissions", US_national_yearly!$D:$AM, 21, FALSE) / VLOOKUP("LULUCF|PM25|Cardiovascular hospital admissions", US_national_yearly!$D:$AM, 10, FALSE), 1)</f>
        <v>5.9738691427613253E-5</v>
      </c>
      <c r="N17" s="7">
        <f>$B17 * IFERROR(VLOOKUP("LULUCF|PM25|Cardiovascular hospital admissions", US_national_yearly!$D:$AM, 22, FALSE) / VLOOKUP("LULUCF|PM25|Cardiovascular hospital admissions", US_national_yearly!$D:$AM, 10, FALSE), 1)</f>
        <v>6.0489124317680001E-5</v>
      </c>
      <c r="O17" s="7">
        <f>$B17 * IFERROR(VLOOKUP("LULUCF|PM25|Cardiovascular hospital admissions", US_national_yearly!$D:$AM, 23, FALSE) / VLOOKUP("LULUCF|PM25|Cardiovascular hospital admissions", US_national_yearly!$D:$AM, 10, FALSE), 1)</f>
        <v>6.1239557207746754E-5</v>
      </c>
      <c r="P17" s="7">
        <f>$B17 * IFERROR(VLOOKUP("LULUCF|PM25|Cardiovascular hospital admissions", US_national_yearly!$D:$AM, 24, FALSE) / VLOOKUP("LULUCF|PM25|Cardiovascular hospital admissions", US_national_yearly!$D:$AM, 10, FALSE), 1)</f>
        <v>6.1989990097813502E-5</v>
      </c>
      <c r="Q17" s="7">
        <f>$B17 * IFERROR(VLOOKUP("LULUCF|PM25|Cardiovascular hospital admissions", US_national_yearly!$D:$AM, 25, FALSE) / VLOOKUP("LULUCF|PM25|Cardiovascular hospital admissions", US_national_yearly!$D:$AM, 10, FALSE), 1)</f>
        <v>6.2740422987880262E-5</v>
      </c>
      <c r="R17" s="7">
        <f>$B17 * IFERROR(VLOOKUP("LULUCF|PM25|Cardiovascular hospital admissions", US_national_yearly!$D:$AM, 26, FALSE) / VLOOKUP("LULUCF|PM25|Cardiovascular hospital admissions", US_national_yearly!$D:$AM, 10, FALSE), 1)</f>
        <v>6.349085587794701E-5</v>
      </c>
      <c r="S17" s="7">
        <f>$B17 * IFERROR(VLOOKUP("LULUCF|PM25|Cardiovascular hospital admissions", US_national_yearly!$D:$AM, 27, FALSE) / VLOOKUP("LULUCF|PM25|Cardiovascular hospital admissions", US_national_yearly!$D:$AM, 10, FALSE), 1)</f>
        <v>6.3887904938008961E-5</v>
      </c>
      <c r="T17" s="7">
        <f>$B17 * IFERROR(VLOOKUP("LULUCF|PM25|Cardiovascular hospital admissions", US_national_yearly!$D:$AM, 28, FALSE) / VLOOKUP("LULUCF|PM25|Cardiovascular hospital admissions", US_national_yearly!$D:$AM, 10, FALSE), 1)</f>
        <v>6.4284953998070899E-5</v>
      </c>
      <c r="U17" s="7">
        <f>$B17 * IFERROR(VLOOKUP("LULUCF|PM25|Cardiovascular hospital admissions", US_national_yearly!$D:$AM, 29, FALSE) / VLOOKUP("LULUCF|PM25|Cardiovascular hospital admissions", US_national_yearly!$D:$AM, 10, FALSE), 1)</f>
        <v>6.4682003058132823E-5</v>
      </c>
      <c r="V17" s="7">
        <f>$B17 * IFERROR(VLOOKUP("LULUCF|PM25|Cardiovascular hospital admissions", US_national_yearly!$D:$AM, 30, FALSE) / VLOOKUP("LULUCF|PM25|Cardiovascular hospital admissions", US_national_yearly!$D:$AM, 10, FALSE), 1)</f>
        <v>6.5079052118194775E-5</v>
      </c>
      <c r="W17" s="7">
        <f>$B17 * IFERROR(VLOOKUP("LULUCF|PM25|Cardiovascular hospital admissions", US_national_yearly!$D:$AM, 31, FALSE) / VLOOKUP("LULUCF|PM25|Cardiovascular hospital admissions", US_national_yearly!$D:$AM, 10, FALSE), 1)</f>
        <v>6.5476101178256712E-5</v>
      </c>
      <c r="X17" s="7">
        <f>$B17 * IFERROR(VLOOKUP("LULUCF|PM25|Cardiovascular hospital admissions", US_national_yearly!$D:$AM, 32, FALSE) / VLOOKUP("LULUCF|PM25|Cardiovascular hospital admissions", US_national_yearly!$D:$AM, 10, FALSE), 1)</f>
        <v>6.5743399828261886E-5</v>
      </c>
      <c r="Y17" s="7">
        <f>$B17 * IFERROR(VLOOKUP("LULUCF|PM25|Cardiovascular hospital admissions", US_national_yearly!$D:$AM, 33, FALSE) / VLOOKUP("LULUCF|PM25|Cardiovascular hospital admissions", US_national_yearly!$D:$AM, 10, FALSE), 1)</f>
        <v>6.601069847826706E-5</v>
      </c>
      <c r="Z17" s="7">
        <f>$B17 * IFERROR(VLOOKUP("LULUCF|PM25|Cardiovascular hospital admissions", US_national_yearly!$D:$AM, 34, FALSE) / VLOOKUP("LULUCF|PM25|Cardiovascular hospital admissions", US_national_yearly!$D:$AM, 10, FALSE), 1)</f>
        <v>6.6277997128272233E-5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6.6545295778277393E-5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6.6812594428282567E-5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6.0305590806650439E-4</v>
      </c>
      <c r="C2" s="7">
        <f>$B2 * IFERROR(VLOOKUP("LULUCF|NOx|Premature mortality", US_national_yearly!$D:$AM, 11, FALSE) / VLOOKUP("LULUCF|NOx|Premature mortality", US_national_yearly!$D:$AM, 10, FALSE), 1)</f>
        <v>6.1191378003877907E-4</v>
      </c>
      <c r="D2" s="7">
        <f>$B2 * IFERROR(VLOOKUP("LULUCF|NOx|Premature mortality", US_national_yearly!$D:$AM, 12, FALSE) / VLOOKUP("LULUCF|NOx|Premature mortality", US_national_yearly!$D:$AM, 10, FALSE), 1)</f>
        <v>6.2077165201105354E-4</v>
      </c>
      <c r="E2" s="7">
        <f>$B2 * IFERROR(VLOOKUP("LULUCF|NOx|Premature mortality", US_national_yearly!$D:$AM, 13, FALSE) / VLOOKUP("LULUCF|NOx|Premature mortality", US_national_yearly!$D:$AM, 10, FALSE), 1)</f>
        <v>6.2962952398332823E-4</v>
      </c>
      <c r="F2" s="7">
        <f>$B2 * IFERROR(VLOOKUP("LULUCF|NOx|Premature mortality", US_national_yearly!$D:$AM, 14, FALSE) / VLOOKUP("LULUCF|NOx|Premature mortality", US_national_yearly!$D:$AM, 10, FALSE), 1)</f>
        <v>6.3848739595560291E-4</v>
      </c>
      <c r="G2" s="7">
        <f>$B2 * IFERROR(VLOOKUP("LULUCF|NOx|Premature mortality", US_national_yearly!$D:$AM, 15, FALSE) / VLOOKUP("LULUCF|NOx|Premature mortality", US_national_yearly!$D:$AM, 10, FALSE), 1)</f>
        <v>6.5439822823314109E-4</v>
      </c>
      <c r="H2" s="7">
        <f>$B2 * IFERROR(VLOOKUP("LULUCF|NOx|Premature mortality", US_national_yearly!$D:$AM, 16, FALSE) / VLOOKUP("LULUCF|NOx|Premature mortality", US_national_yearly!$D:$AM, 10, FALSE), 1)</f>
        <v>6.703090605106797E-4</v>
      </c>
      <c r="I2" s="7">
        <f>$B2 * IFERROR(VLOOKUP("LULUCF|NOx|Premature mortality", US_national_yearly!$D:$AM, 17, FALSE) / VLOOKUP("LULUCF|NOx|Premature mortality", US_national_yearly!$D:$AM, 10, FALSE), 1)</f>
        <v>6.805798045526006E-4</v>
      </c>
      <c r="J2" s="7">
        <f>$B2 * IFERROR(VLOOKUP("LULUCF|NOx|Premature mortality", US_national_yearly!$D:$AM, 18, FALSE) / VLOOKUP("LULUCF|NOx|Premature mortality", US_national_yearly!$D:$AM, 10, FALSE), 1)</f>
        <v>6.908505485945216E-4</v>
      </c>
      <c r="K2" s="7">
        <f>$B2 * IFERROR(VLOOKUP("LULUCF|NOx|Premature mortality", US_national_yearly!$D:$AM, 19, FALSE) / VLOOKUP("LULUCF|NOx|Premature mortality", US_national_yearly!$D:$AM, 10, FALSE), 1)</f>
        <v>7.0112129263644261E-4</v>
      </c>
      <c r="L2" s="7">
        <f>$B2 * IFERROR(VLOOKUP("LULUCF|NOx|Premature mortality", US_national_yearly!$D:$AM, 20, FALSE) / VLOOKUP("LULUCF|NOx|Premature mortality", US_national_yearly!$D:$AM, 10, FALSE), 1)</f>
        <v>7.1139203667836351E-4</v>
      </c>
      <c r="M2" s="7">
        <f>$B2 * IFERROR(VLOOKUP("LULUCF|NOx|Premature mortality", US_national_yearly!$D:$AM, 21, FALSE) / VLOOKUP("LULUCF|NOx|Premature mortality", US_national_yearly!$D:$AM, 10, FALSE), 1)</f>
        <v>7.2166278072028451E-4</v>
      </c>
      <c r="N2" s="7">
        <f>$B2 * IFERROR(VLOOKUP("LULUCF|NOx|Premature mortality", US_national_yearly!$D:$AM, 22, FALSE) / VLOOKUP("LULUCF|NOx|Premature mortality", US_national_yearly!$D:$AM, 10, FALSE), 1)</f>
        <v>7.2927130797857329E-4</v>
      </c>
      <c r="O2" s="7">
        <f>$B2 * IFERROR(VLOOKUP("LULUCF|NOx|Premature mortality", US_national_yearly!$D:$AM, 23, FALSE) / VLOOKUP("LULUCF|NOx|Premature mortality", US_national_yearly!$D:$AM, 10, FALSE), 1)</f>
        <v>7.3687983523686206E-4</v>
      </c>
      <c r="P2" s="7">
        <f>$B2 * IFERROR(VLOOKUP("LULUCF|NOx|Premature mortality", US_national_yearly!$D:$AM, 24, FALSE) / VLOOKUP("LULUCF|NOx|Premature mortality", US_national_yearly!$D:$AM, 10, FALSE), 1)</f>
        <v>7.4448836249515083E-4</v>
      </c>
      <c r="Q2" s="7">
        <f>$B2 * IFERROR(VLOOKUP("LULUCF|NOx|Premature mortality", US_national_yearly!$D:$AM, 25, FALSE) / VLOOKUP("LULUCF|NOx|Premature mortality", US_national_yearly!$D:$AM, 10, FALSE), 1)</f>
        <v>7.5209688975343971E-4</v>
      </c>
      <c r="R2" s="7">
        <f>$B2 * IFERROR(VLOOKUP("LULUCF|NOx|Premature mortality", US_national_yearly!$D:$AM, 26, FALSE) / VLOOKUP("LULUCF|NOx|Premature mortality", US_national_yearly!$D:$AM, 10, FALSE), 1)</f>
        <v>7.5970541701172848E-4</v>
      </c>
      <c r="S2" s="7">
        <f>$B2 * IFERROR(VLOOKUP("LULUCF|NOx|Premature mortality", US_national_yearly!$D:$AM, 27, FALSE) / VLOOKUP("LULUCF|NOx|Premature mortality", US_national_yearly!$D:$AM, 10, FALSE), 1)</f>
        <v>7.63163569267472E-4</v>
      </c>
      <c r="T2" s="7">
        <f>$B2 * IFERROR(VLOOKUP("LULUCF|NOx|Premature mortality", US_national_yearly!$D:$AM, 28, FALSE) / VLOOKUP("LULUCF|NOx|Premature mortality", US_national_yearly!$D:$AM, 10, FALSE), 1)</f>
        <v>7.6662172152321573E-4</v>
      </c>
      <c r="U2" s="7">
        <f>$B2 * IFERROR(VLOOKUP("LULUCF|NOx|Premature mortality", US_national_yearly!$D:$AM, 29, FALSE) / VLOOKUP("LULUCF|NOx|Premature mortality", US_national_yearly!$D:$AM, 10, FALSE), 1)</f>
        <v>7.7007987377895925E-4</v>
      </c>
      <c r="V2" s="7">
        <f>$B2 * IFERROR(VLOOKUP("LULUCF|NOx|Premature mortality", US_national_yearly!$D:$AM, 30, FALSE) / VLOOKUP("LULUCF|NOx|Premature mortality", US_national_yearly!$D:$AM, 10, FALSE), 1)</f>
        <v>7.7353802603470276E-4</v>
      </c>
      <c r="W2" s="7">
        <f>$B2 * IFERROR(VLOOKUP("LULUCF|NOx|Premature mortality", US_national_yearly!$D:$AM, 31, FALSE) / VLOOKUP("LULUCF|NOx|Premature mortality", US_national_yearly!$D:$AM, 10, FALSE), 1)</f>
        <v>7.7699617829044649E-4</v>
      </c>
      <c r="X2" s="7">
        <f>$B2 * IFERROR(VLOOKUP("LULUCF|NOx|Premature mortality", US_national_yearly!$D:$AM, 32, FALSE) / VLOOKUP("LULUCF|NOx|Premature mortality", US_national_yearly!$D:$AM, 10, FALSE), 1)</f>
        <v>7.7711596669959016E-4</v>
      </c>
      <c r="Y2" s="7">
        <f>$B2 * IFERROR(VLOOKUP("LULUCF|NOx|Premature mortality", US_national_yearly!$D:$AM, 33, FALSE) / VLOOKUP("LULUCF|NOx|Premature mortality", US_national_yearly!$D:$AM, 10, FALSE), 1)</f>
        <v>7.7723575510873382E-4</v>
      </c>
      <c r="Z2" s="7">
        <f>$B2 * IFERROR(VLOOKUP("LULUCF|NOx|Premature mortality", US_national_yearly!$D:$AM, 34, FALSE) / VLOOKUP("LULUCF|NOx|Premature mortality", US_national_yearly!$D:$AM, 10, FALSE), 1)</f>
        <v>7.7735554351787738E-4</v>
      </c>
      <c r="AA2" s="7">
        <f>$B2 * IFERROR(VLOOKUP("LULUCF|NOx|Premature mortality", US_national_yearly!$D:$AM, 35, FALSE) / VLOOKUP("LULUCF|NOx|Premature mortality", US_national_yearly!$D:$AM, 10, FALSE), 1)</f>
        <v>7.7747533192702126E-4</v>
      </c>
      <c r="AB2" s="7">
        <f>$B2 * IFERROR(VLOOKUP("LULUCF|NOx|Premature mortality", US_national_yearly!$D:$AM, 36, FALSE) / VLOOKUP("LULUCF|NOx|Premature mortality", US_national_yearly!$D:$AM, 10, FALSE), 1)</f>
        <v>7.7759512033616493E-4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1.170183175115164E-6</v>
      </c>
      <c r="C3" s="7">
        <f>$B3 * IFERROR(VLOOKUP("LULUCF|NOx|Infant mortality", US_national_yearly!$D:$AM, 11, FALSE) / VLOOKUP("LULUCF|NOx|Infant mortality", US_national_yearly!$D:$AM, 10, FALSE), 1)</f>
        <v>1.1590341985553036E-6</v>
      </c>
      <c r="D3" s="7">
        <f>$B3 * IFERROR(VLOOKUP("LULUCF|NOx|Infant mortality", US_national_yearly!$D:$AM, 12, FALSE) / VLOOKUP("LULUCF|NOx|Infant mortality", US_national_yearly!$D:$AM, 10, FALSE), 1)</f>
        <v>1.147885221995443E-6</v>
      </c>
      <c r="E3" s="7">
        <f>$B3 * IFERROR(VLOOKUP("LULUCF|NOx|Infant mortality", US_national_yearly!$D:$AM, 13, FALSE) / VLOOKUP("LULUCF|NOx|Infant mortality", US_national_yearly!$D:$AM, 10, FALSE), 1)</f>
        <v>1.1367362454355826E-6</v>
      </c>
      <c r="F3" s="7">
        <f>$B3 * IFERROR(VLOOKUP("LULUCF|NOx|Infant mortality", US_national_yearly!$D:$AM, 14, FALSE) / VLOOKUP("LULUCF|NOx|Infant mortality", US_national_yearly!$D:$AM, 10, FALSE), 1)</f>
        <v>1.1255872688757222E-6</v>
      </c>
      <c r="G3" s="7">
        <f>$B3 * IFERROR(VLOOKUP("LULUCF|NOx|Infant mortality", US_national_yearly!$D:$AM, 15, FALSE) / VLOOKUP("LULUCF|NOx|Infant mortality", US_national_yearly!$D:$AM, 10, FALSE), 1)</f>
        <v>7.4722041168509311E-7</v>
      </c>
      <c r="H3" s="7">
        <f>$B3 * IFERROR(VLOOKUP("LULUCF|NOx|Infant mortality", US_national_yearly!$D:$AM, 16, FALSE) / VLOOKUP("LULUCF|NOx|Infant mortality", US_national_yearly!$D:$AM, 10, FALSE), 1)</f>
        <v>3.6885355449446406E-7</v>
      </c>
      <c r="I3" s="7">
        <f>$B3 * IFERROR(VLOOKUP("LULUCF|NOx|Infant mortality", US_national_yearly!$D:$AM, 17, FALSE) / VLOOKUP("LULUCF|NOx|Infant mortality", US_national_yearly!$D:$AM, 10, FALSE), 1)</f>
        <v>3.6624540768137925E-7</v>
      </c>
      <c r="J3" s="7">
        <f>$B3 * IFERROR(VLOOKUP("LULUCF|NOx|Infant mortality", US_national_yearly!$D:$AM, 18, FALSE) / VLOOKUP("LULUCF|NOx|Infant mortality", US_national_yearly!$D:$AM, 10, FALSE), 1)</f>
        <v>3.6363726086829433E-7</v>
      </c>
      <c r="K3" s="7">
        <f>$B3 * IFERROR(VLOOKUP("LULUCF|NOx|Infant mortality", US_national_yearly!$D:$AM, 19, FALSE) / VLOOKUP("LULUCF|NOx|Infant mortality", US_national_yearly!$D:$AM, 10, FALSE), 1)</f>
        <v>3.6102911405520951E-7</v>
      </c>
      <c r="L3" s="7">
        <f>$B3 * IFERROR(VLOOKUP("LULUCF|NOx|Infant mortality", US_national_yearly!$D:$AM, 20, FALSE) / VLOOKUP("LULUCF|NOx|Infant mortality", US_national_yearly!$D:$AM, 10, FALSE), 1)</f>
        <v>3.584209672421247E-7</v>
      </c>
      <c r="M3" s="7">
        <f>$B3 * IFERROR(VLOOKUP("LULUCF|NOx|Infant mortality", US_national_yearly!$D:$AM, 21, FALSE) / VLOOKUP("LULUCF|NOx|Infant mortality", US_national_yearly!$D:$AM, 10, FALSE), 1)</f>
        <v>3.5581282042903984E-7</v>
      </c>
      <c r="N3" s="7">
        <f>$B3 * IFERROR(VLOOKUP("LULUCF|NOx|Infant mortality", US_national_yearly!$D:$AM, 22, FALSE) / VLOOKUP("LULUCF|NOx|Infant mortality", US_national_yearly!$D:$AM, 10, FALSE), 1)</f>
        <v>3.5408164162761264E-7</v>
      </c>
      <c r="O3" s="7">
        <f>$B3 * IFERROR(VLOOKUP("LULUCF|NOx|Infant mortality", US_national_yearly!$D:$AM, 23, FALSE) / VLOOKUP("LULUCF|NOx|Infant mortality", US_national_yearly!$D:$AM, 10, FALSE), 1)</f>
        <v>3.5235046282618544E-7</v>
      </c>
      <c r="P3" s="7">
        <f>$B3 * IFERROR(VLOOKUP("LULUCF|NOx|Infant mortality", US_national_yearly!$D:$AM, 24, FALSE) / VLOOKUP("LULUCF|NOx|Infant mortality", US_national_yearly!$D:$AM, 10, FALSE), 1)</f>
        <v>3.5061928402475824E-7</v>
      </c>
      <c r="Q3" s="7">
        <f>$B3 * IFERROR(VLOOKUP("LULUCF|NOx|Infant mortality", US_national_yearly!$D:$AM, 25, FALSE) / VLOOKUP("LULUCF|NOx|Infant mortality", US_national_yearly!$D:$AM, 10, FALSE), 1)</f>
        <v>3.4888810522333104E-7</v>
      </c>
      <c r="R3" s="7">
        <f>$B3 * IFERROR(VLOOKUP("LULUCF|NOx|Infant mortality", US_national_yearly!$D:$AM, 26, FALSE) / VLOOKUP("LULUCF|NOx|Infant mortality", US_national_yearly!$D:$AM, 10, FALSE), 1)</f>
        <v>3.4715692642190384E-7</v>
      </c>
      <c r="S3" s="7">
        <f>$B3 * IFERROR(VLOOKUP("LULUCF|NOx|Infant mortality", US_national_yearly!$D:$AM, 27, FALSE) / VLOOKUP("LULUCF|NOx|Infant mortality", US_national_yearly!$D:$AM, 10, FALSE), 1)</f>
        <v>3.4507577420391232E-7</v>
      </c>
      <c r="T3" s="7">
        <f>$B3 * IFERROR(VLOOKUP("LULUCF|NOx|Infant mortality", US_national_yearly!$D:$AM, 28, FALSE) / VLOOKUP("LULUCF|NOx|Infant mortality", US_national_yearly!$D:$AM, 10, FALSE), 1)</f>
        <v>3.4299462198592074E-7</v>
      </c>
      <c r="U3" s="7">
        <f>$B3 * IFERROR(VLOOKUP("LULUCF|NOx|Infant mortality", US_national_yearly!$D:$AM, 29, FALSE) / VLOOKUP("LULUCF|NOx|Infant mortality", US_national_yearly!$D:$AM, 10, FALSE), 1)</f>
        <v>3.4091346976792921E-7</v>
      </c>
      <c r="V3" s="7">
        <f>$B3 * IFERROR(VLOOKUP("LULUCF|NOx|Infant mortality", US_national_yearly!$D:$AM, 30, FALSE) / VLOOKUP("LULUCF|NOx|Infant mortality", US_national_yearly!$D:$AM, 10, FALSE), 1)</f>
        <v>3.3883231754993769E-7</v>
      </c>
      <c r="W3" s="7">
        <f>$B3 * IFERROR(VLOOKUP("LULUCF|NOx|Infant mortality", US_national_yearly!$D:$AM, 31, FALSE) / VLOOKUP("LULUCF|NOx|Infant mortality", US_national_yearly!$D:$AM, 10, FALSE), 1)</f>
        <v>3.3675116533194611E-7</v>
      </c>
      <c r="X3" s="7">
        <f>$B3 * IFERROR(VLOOKUP("LULUCF|NOx|Infant mortality", US_national_yearly!$D:$AM, 32, FALSE) / VLOOKUP("LULUCF|NOx|Infant mortality", US_national_yearly!$D:$AM, 10, FALSE), 1)</f>
        <v>3.345471244926794E-7</v>
      </c>
      <c r="Y3" s="7">
        <f>$B3 * IFERROR(VLOOKUP("LULUCF|NOx|Infant mortality", US_national_yearly!$D:$AM, 33, FALSE) / VLOOKUP("LULUCF|NOx|Infant mortality", US_national_yearly!$D:$AM, 10, FALSE), 1)</f>
        <v>3.3234308365341269E-7</v>
      </c>
      <c r="Z3" s="7">
        <f>$B3 * IFERROR(VLOOKUP("LULUCF|NOx|Infant mortality", US_national_yearly!$D:$AM, 34, FALSE) / VLOOKUP("LULUCF|NOx|Infant mortality", US_national_yearly!$D:$AM, 10, FALSE), 1)</f>
        <v>3.3013904281414592E-7</v>
      </c>
      <c r="AA3" s="7">
        <f>$B3 * IFERROR(VLOOKUP("LULUCF|NOx|Infant mortality", US_national_yearly!$D:$AM, 35, FALSE) / VLOOKUP("LULUCF|NOx|Infant mortality", US_national_yearly!$D:$AM, 10, FALSE), 1)</f>
        <v>3.2793500197487916E-7</v>
      </c>
      <c r="AB3" s="7">
        <f>$B3 * IFERROR(VLOOKUP("LULUCF|NOx|Infant mortality", US_national_yearly!$D:$AM, 36, FALSE) / VLOOKUP("LULUCF|NOx|Infant mortality", US_national_yearly!$D:$AM, 10, FALSE), 1)</f>
        <v>3.2573096113561239E-7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1.5913241447734151E-3</v>
      </c>
      <c r="C6" s="7">
        <f>$B6 * IFERROR(VLOOKUP("LULUCF|NOx|Asthma symptoms cough", US_national_yearly!$D:$AM, 11, FALSE) / VLOOKUP("LULUCF|NOx|Asthma symptoms cough", US_national_yearly!$D:$AM, 10, FALSE), 1)</f>
        <v>1.6130801475444565E-3</v>
      </c>
      <c r="D6" s="7">
        <f>$B6 * IFERROR(VLOOKUP("LULUCF|NOx|Asthma symptoms cough", US_national_yearly!$D:$AM, 12, FALSE) / VLOOKUP("LULUCF|NOx|Asthma symptoms cough", US_national_yearly!$D:$AM, 10, FALSE), 1)</f>
        <v>1.6348361503154981E-3</v>
      </c>
      <c r="E6" s="7">
        <f>$B6 * IFERROR(VLOOKUP("LULUCF|NOx|Asthma symptoms cough", US_national_yearly!$D:$AM, 13, FALSE) / VLOOKUP("LULUCF|NOx|Asthma symptoms cough", US_national_yearly!$D:$AM, 10, FALSE), 1)</f>
        <v>1.6565921530865395E-3</v>
      </c>
      <c r="F6" s="7">
        <f>$B6 * IFERROR(VLOOKUP("LULUCF|NOx|Asthma symptoms cough", US_national_yearly!$D:$AM, 14, FALSE) / VLOOKUP("LULUCF|NOx|Asthma symptoms cough", US_national_yearly!$D:$AM, 10, FALSE), 1)</f>
        <v>1.678348155857581E-3</v>
      </c>
      <c r="G6" s="7">
        <f>$B6 * IFERROR(VLOOKUP("LULUCF|NOx|Asthma symptoms cough", US_national_yearly!$D:$AM, 15, FALSE) / VLOOKUP("LULUCF|NOx|Asthma symptoms cough", US_national_yearly!$D:$AM, 10, FALSE), 1)</f>
        <v>1.6957172838742646E-3</v>
      </c>
      <c r="H6" s="7">
        <f>$B6 * IFERROR(VLOOKUP("LULUCF|NOx|Asthma symptoms cough", US_national_yearly!$D:$AM, 16, FALSE) / VLOOKUP("LULUCF|NOx|Asthma symptoms cough", US_national_yearly!$D:$AM, 10, FALSE), 1)</f>
        <v>1.7130864118909486E-3</v>
      </c>
      <c r="I6" s="7">
        <f>$B6 * IFERROR(VLOOKUP("LULUCF|NOx|Asthma symptoms cough", US_national_yearly!$D:$AM, 17, FALSE) / VLOOKUP("LULUCF|NOx|Asthma symptoms cough", US_national_yearly!$D:$AM, 10, FALSE), 1)</f>
        <v>1.7190646174495565E-3</v>
      </c>
      <c r="J6" s="7">
        <f>$B6 * IFERROR(VLOOKUP("LULUCF|NOx|Asthma symptoms cough", US_national_yearly!$D:$AM, 18, FALSE) / VLOOKUP("LULUCF|NOx|Asthma symptoms cough", US_national_yearly!$D:$AM, 10, FALSE), 1)</f>
        <v>1.7250428230081649E-3</v>
      </c>
      <c r="K6" s="7">
        <f>$B6 * IFERROR(VLOOKUP("LULUCF|NOx|Asthma symptoms cough", US_national_yearly!$D:$AM, 19, FALSE) / VLOOKUP("LULUCF|NOx|Asthma symptoms cough", US_national_yearly!$D:$AM, 10, FALSE), 1)</f>
        <v>1.7310210285667728E-3</v>
      </c>
      <c r="L6" s="7">
        <f>$B6 * IFERROR(VLOOKUP("LULUCF|NOx|Asthma symptoms cough", US_national_yearly!$D:$AM, 20, FALSE) / VLOOKUP("LULUCF|NOx|Asthma symptoms cough", US_national_yearly!$D:$AM, 10, FALSE), 1)</f>
        <v>1.7369992341253807E-3</v>
      </c>
      <c r="M6" s="7">
        <f>$B6 * IFERROR(VLOOKUP("LULUCF|NOx|Asthma symptoms cough", US_national_yearly!$D:$AM, 21, FALSE) / VLOOKUP("LULUCF|NOx|Asthma symptoms cough", US_national_yearly!$D:$AM, 10, FALSE), 1)</f>
        <v>1.742977439683989E-3</v>
      </c>
      <c r="N6" s="7">
        <f>$B6 * IFERROR(VLOOKUP("LULUCF|NOx|Asthma symptoms cough", US_national_yearly!$D:$AM, 22, FALSE) / VLOOKUP("LULUCF|NOx|Asthma symptoms cough", US_national_yearly!$D:$AM, 10, FALSE), 1)</f>
        <v>1.7499096142098401E-3</v>
      </c>
      <c r="O6" s="7">
        <f>$B6 * IFERROR(VLOOKUP("LULUCF|NOx|Asthma symptoms cough", US_national_yearly!$D:$AM, 23, FALSE) / VLOOKUP("LULUCF|NOx|Asthma symptoms cough", US_national_yearly!$D:$AM, 10, FALSE), 1)</f>
        <v>1.7568417887356912E-3</v>
      </c>
      <c r="P6" s="7">
        <f>$B6 * IFERROR(VLOOKUP("LULUCF|NOx|Asthma symptoms cough", US_national_yearly!$D:$AM, 24, FALSE) / VLOOKUP("LULUCF|NOx|Asthma symptoms cough", US_national_yearly!$D:$AM, 10, FALSE), 1)</f>
        <v>1.7637739632615423E-3</v>
      </c>
      <c r="Q6" s="7">
        <f>$B6 * IFERROR(VLOOKUP("LULUCF|NOx|Asthma symptoms cough", US_national_yearly!$D:$AM, 25, FALSE) / VLOOKUP("LULUCF|NOx|Asthma symptoms cough", US_national_yearly!$D:$AM, 10, FALSE), 1)</f>
        <v>1.7707061377873938E-3</v>
      </c>
      <c r="R6" s="7">
        <f>$B6 * IFERROR(VLOOKUP("LULUCF|NOx|Asthma symptoms cough", US_national_yearly!$D:$AM, 26, FALSE) / VLOOKUP("LULUCF|NOx|Asthma symptoms cough", US_national_yearly!$D:$AM, 10, FALSE), 1)</f>
        <v>1.7776383123132449E-3</v>
      </c>
      <c r="S6" s="7">
        <f>$B6 * IFERROR(VLOOKUP("LULUCF|NOx|Asthma symptoms cough", US_national_yearly!$D:$AM, 27, FALSE) / VLOOKUP("LULUCF|NOx|Asthma symptoms cough", US_national_yearly!$D:$AM, 10, FALSE), 1)</f>
        <v>1.7866939401252329E-3</v>
      </c>
      <c r="T6" s="7">
        <f>$B6 * IFERROR(VLOOKUP("LULUCF|NOx|Asthma symptoms cough", US_national_yearly!$D:$AM, 28, FALSE) / VLOOKUP("LULUCF|NOx|Asthma symptoms cough", US_national_yearly!$D:$AM, 10, FALSE), 1)</f>
        <v>1.7957495679372204E-3</v>
      </c>
      <c r="U6" s="7">
        <f>$B6 * IFERROR(VLOOKUP("LULUCF|NOx|Asthma symptoms cough", US_national_yearly!$D:$AM, 29, FALSE) / VLOOKUP("LULUCF|NOx|Asthma symptoms cough", US_national_yearly!$D:$AM, 10, FALSE), 1)</f>
        <v>1.8048051957492077E-3</v>
      </c>
      <c r="V6" s="7">
        <f>$B6 * IFERROR(VLOOKUP("LULUCF|NOx|Asthma symptoms cough", US_national_yearly!$D:$AM, 30, FALSE) / VLOOKUP("LULUCF|NOx|Asthma symptoms cough", US_national_yearly!$D:$AM, 10, FALSE), 1)</f>
        <v>1.8138608235611954E-3</v>
      </c>
      <c r="W6" s="7">
        <f>$B6 * IFERROR(VLOOKUP("LULUCF|NOx|Asthma symptoms cough", US_national_yearly!$D:$AM, 31, FALSE) / VLOOKUP("LULUCF|NOx|Asthma symptoms cough", US_national_yearly!$D:$AM, 10, FALSE), 1)</f>
        <v>1.8229164513731829E-3</v>
      </c>
      <c r="X6" s="7">
        <f>$B6 * IFERROR(VLOOKUP("LULUCF|NOx|Asthma symptoms cough", US_national_yearly!$D:$AM, 32, FALSE) / VLOOKUP("LULUCF|NOx|Asthma symptoms cough", US_national_yearly!$D:$AM, 10, FALSE), 1)</f>
        <v>1.8313304307733614E-3</v>
      </c>
      <c r="Y6" s="7">
        <f>$B6 * IFERROR(VLOOKUP("LULUCF|NOx|Asthma symptoms cough", US_national_yearly!$D:$AM, 33, FALSE) / VLOOKUP("LULUCF|NOx|Asthma symptoms cough", US_national_yearly!$D:$AM, 10, FALSE), 1)</f>
        <v>1.8397444101735396E-3</v>
      </c>
      <c r="Z6" s="7">
        <f>$B6 * IFERROR(VLOOKUP("LULUCF|NOx|Asthma symptoms cough", US_national_yearly!$D:$AM, 34, FALSE) / VLOOKUP("LULUCF|NOx|Asthma symptoms cough", US_national_yearly!$D:$AM, 10, FALSE), 1)</f>
        <v>1.848158389573718E-3</v>
      </c>
      <c r="AA6" s="7">
        <f>$B6 * IFERROR(VLOOKUP("LULUCF|NOx|Asthma symptoms cough", US_national_yearly!$D:$AM, 35, FALSE) / VLOOKUP("LULUCF|NOx|Asthma symptoms cough", US_national_yearly!$D:$AM, 10, FALSE), 1)</f>
        <v>1.8565723689738963E-3</v>
      </c>
      <c r="AB6" s="7">
        <f>$B6 * IFERROR(VLOOKUP("LULUCF|NOx|Asthma symptoms cough", US_national_yearly!$D:$AM, 36, FALSE) / VLOOKUP("LULUCF|NOx|Asthma symptoms cough", US_national_yearly!$D:$AM, 10, FALSE), 1)</f>
        <v>1.8649863483740751E-3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2.1429354437387158E-3</v>
      </c>
      <c r="C7" s="7">
        <f>$B7 * IFERROR(VLOOKUP("LULUCF|NOx|Asthma symptoms shortness of breath", US_national_yearly!$D:$AM, 11, FALSE) / VLOOKUP("LULUCF|NOx|Asthma symptoms shortness of breath", US_national_yearly!$D:$AM, 10, FALSE), 1)</f>
        <v>2.1722328747924677E-3</v>
      </c>
      <c r="D7" s="7">
        <f>$B7 * IFERROR(VLOOKUP("LULUCF|NOx|Asthma symptoms shortness of breath", US_national_yearly!$D:$AM, 12, FALSE) / VLOOKUP("LULUCF|NOx|Asthma symptoms shortness of breath", US_national_yearly!$D:$AM, 10, FALSE), 1)</f>
        <v>2.2015303058462192E-3</v>
      </c>
      <c r="E7" s="7">
        <f>$B7 * IFERROR(VLOOKUP("LULUCF|NOx|Asthma symptoms shortness of breath", US_national_yearly!$D:$AM, 13, FALSE) / VLOOKUP("LULUCF|NOx|Asthma symptoms shortness of breath", US_national_yearly!$D:$AM, 10, FALSE), 1)</f>
        <v>2.2308277368999711E-3</v>
      </c>
      <c r="F7" s="7">
        <f>$B7 * IFERROR(VLOOKUP("LULUCF|NOx|Asthma symptoms shortness of breath", US_national_yearly!$D:$AM, 14, FALSE) / VLOOKUP("LULUCF|NOx|Asthma symptoms shortness of breath", US_national_yearly!$D:$AM, 10, FALSE), 1)</f>
        <v>2.260125167953723E-3</v>
      </c>
      <c r="G7" s="7">
        <f>$B7 * IFERROR(VLOOKUP("LULUCF|NOx|Asthma symptoms shortness of breath", US_national_yearly!$D:$AM, 15, FALSE) / VLOOKUP("LULUCF|NOx|Asthma symptoms shortness of breath", US_national_yearly!$D:$AM, 10, FALSE), 1)</f>
        <v>2.2835150725904253E-3</v>
      </c>
      <c r="H7" s="7">
        <f>$B7 * IFERROR(VLOOKUP("LULUCF|NOx|Asthma symptoms shortness of breath", US_national_yearly!$D:$AM, 16, FALSE) / VLOOKUP("LULUCF|NOx|Asthma symptoms shortness of breath", US_national_yearly!$D:$AM, 10, FALSE), 1)</f>
        <v>2.3069049772271276E-3</v>
      </c>
      <c r="I7" s="7">
        <f>$B7 * IFERROR(VLOOKUP("LULUCF|NOx|Asthma symptoms shortness of breath", US_national_yearly!$D:$AM, 17, FALSE) / VLOOKUP("LULUCF|NOx|Asthma symptoms shortness of breath", US_national_yearly!$D:$AM, 10, FALSE), 1)</f>
        <v>2.3149554479867385E-3</v>
      </c>
      <c r="J7" s="7">
        <f>$B7 * IFERROR(VLOOKUP("LULUCF|NOx|Asthma symptoms shortness of breath", US_national_yearly!$D:$AM, 18, FALSE) / VLOOKUP("LULUCF|NOx|Asthma symptoms shortness of breath", US_national_yearly!$D:$AM, 10, FALSE), 1)</f>
        <v>2.3230059187463493E-3</v>
      </c>
      <c r="K7" s="7">
        <f>$B7 * IFERROR(VLOOKUP("LULUCF|NOx|Asthma symptoms shortness of breath", US_national_yearly!$D:$AM, 19, FALSE) / VLOOKUP("LULUCF|NOx|Asthma symptoms shortness of breath", US_national_yearly!$D:$AM, 10, FALSE), 1)</f>
        <v>2.3310563895059602E-3</v>
      </c>
      <c r="L7" s="7">
        <f>$B7 * IFERROR(VLOOKUP("LULUCF|NOx|Asthma symptoms shortness of breath", US_national_yearly!$D:$AM, 20, FALSE) / VLOOKUP("LULUCF|NOx|Asthma symptoms shortness of breath", US_national_yearly!$D:$AM, 10, FALSE), 1)</f>
        <v>2.3391068602655715E-3</v>
      </c>
      <c r="M7" s="7">
        <f>$B7 * IFERROR(VLOOKUP("LULUCF|NOx|Asthma symptoms shortness of breath", US_national_yearly!$D:$AM, 21, FALSE) / VLOOKUP("LULUCF|NOx|Asthma symptoms shortness of breath", US_national_yearly!$D:$AM, 10, FALSE), 1)</f>
        <v>2.3471573310251824E-3</v>
      </c>
      <c r="N7" s="7">
        <f>$B7 * IFERROR(VLOOKUP("LULUCF|NOx|Asthma symptoms shortness of breath", US_national_yearly!$D:$AM, 22, FALSE) / VLOOKUP("LULUCF|NOx|Asthma symptoms shortness of breath", US_national_yearly!$D:$AM, 10, FALSE), 1)</f>
        <v>2.3564924513991285E-3</v>
      </c>
      <c r="O7" s="7">
        <f>$B7 * IFERROR(VLOOKUP("LULUCF|NOx|Asthma symptoms shortness of breath", US_national_yearly!$D:$AM, 23, FALSE) / VLOOKUP("LULUCF|NOx|Asthma symptoms shortness of breath", US_national_yearly!$D:$AM, 10, FALSE), 1)</f>
        <v>2.3658275717730747E-3</v>
      </c>
      <c r="P7" s="7">
        <f>$B7 * IFERROR(VLOOKUP("LULUCF|NOx|Asthma symptoms shortness of breath", US_national_yearly!$D:$AM, 24, FALSE) / VLOOKUP("LULUCF|NOx|Asthma symptoms shortness of breath", US_national_yearly!$D:$AM, 10, FALSE), 1)</f>
        <v>2.3751626921470204E-3</v>
      </c>
      <c r="Q7" s="7">
        <f>$B7 * IFERROR(VLOOKUP("LULUCF|NOx|Asthma symptoms shortness of breath", US_national_yearly!$D:$AM, 25, FALSE) / VLOOKUP("LULUCF|NOx|Asthma symptoms shortness of breath", US_national_yearly!$D:$AM, 10, FALSE), 1)</f>
        <v>2.3844978125209665E-3</v>
      </c>
      <c r="R7" s="7">
        <f>$B7 * IFERROR(VLOOKUP("LULUCF|NOx|Asthma symptoms shortness of breath", US_national_yearly!$D:$AM, 26, FALSE) / VLOOKUP("LULUCF|NOx|Asthma symptoms shortness of breath", US_national_yearly!$D:$AM, 10, FALSE), 1)</f>
        <v>2.3938329328949126E-3</v>
      </c>
      <c r="S7" s="7">
        <f>$B7 * IFERROR(VLOOKUP("LULUCF|NOx|Asthma symptoms shortness of breath", US_national_yearly!$D:$AM, 27, FALSE) / VLOOKUP("LULUCF|NOx|Asthma symptoms shortness of breath", US_national_yearly!$D:$AM, 10, FALSE), 1)</f>
        <v>2.4060275733512682E-3</v>
      </c>
      <c r="T7" s="7">
        <f>$B7 * IFERROR(VLOOKUP("LULUCF|NOx|Asthma symptoms shortness of breath", US_national_yearly!$D:$AM, 28, FALSE) / VLOOKUP("LULUCF|NOx|Asthma symptoms shortness of breath", US_national_yearly!$D:$AM, 10, FALSE), 1)</f>
        <v>2.4182222138076238E-3</v>
      </c>
      <c r="U7" s="7">
        <f>$B7 * IFERROR(VLOOKUP("LULUCF|NOx|Asthma symptoms shortness of breath", US_national_yearly!$D:$AM, 29, FALSE) / VLOOKUP("LULUCF|NOx|Asthma symptoms shortness of breath", US_national_yearly!$D:$AM, 10, FALSE), 1)</f>
        <v>2.4304168542639793E-3</v>
      </c>
      <c r="V7" s="7">
        <f>$B7 * IFERROR(VLOOKUP("LULUCF|NOx|Asthma symptoms shortness of breath", US_national_yearly!$D:$AM, 30, FALSE) / VLOOKUP("LULUCF|NOx|Asthma symptoms shortness of breath", US_national_yearly!$D:$AM, 10, FALSE), 1)</f>
        <v>2.4426114947203345E-3</v>
      </c>
      <c r="W7" s="7">
        <f>$B7 * IFERROR(VLOOKUP("LULUCF|NOx|Asthma symptoms shortness of breath", US_national_yearly!$D:$AM, 31, FALSE) / VLOOKUP("LULUCF|NOx|Asthma symptoms shortness of breath", US_national_yearly!$D:$AM, 10, FALSE), 1)</f>
        <v>2.4548061351766896E-3</v>
      </c>
      <c r="X7" s="7">
        <f>$B7 * IFERROR(VLOOKUP("LULUCF|NOx|Asthma symptoms shortness of breath", US_national_yearly!$D:$AM, 32, FALSE) / VLOOKUP("LULUCF|NOx|Asthma symptoms shortness of breath", US_national_yearly!$D:$AM, 10, FALSE), 1)</f>
        <v>2.4661367083467708E-3</v>
      </c>
      <c r="Y7" s="7">
        <f>$B7 * IFERROR(VLOOKUP("LULUCF|NOx|Asthma symptoms shortness of breath", US_national_yearly!$D:$AM, 33, FALSE) / VLOOKUP("LULUCF|NOx|Asthma symptoms shortness of breath", US_national_yearly!$D:$AM, 10, FALSE), 1)</f>
        <v>2.4774672815168521E-3</v>
      </c>
      <c r="Z7" s="7">
        <f>$B7 * IFERROR(VLOOKUP("LULUCF|NOx|Asthma symptoms shortness of breath", US_national_yearly!$D:$AM, 34, FALSE) / VLOOKUP("LULUCF|NOx|Asthma symptoms shortness of breath", US_national_yearly!$D:$AM, 10, FALSE), 1)</f>
        <v>2.4887978546869337E-3</v>
      </c>
      <c r="AA7" s="7">
        <f>$B7 * IFERROR(VLOOKUP("LULUCF|NOx|Asthma symptoms shortness of breath", US_national_yearly!$D:$AM, 35, FALSE) / VLOOKUP("LULUCF|NOx|Asthma symptoms shortness of breath", US_national_yearly!$D:$AM, 10, FALSE), 1)</f>
        <v>2.5001284278570153E-3</v>
      </c>
      <c r="AB7" s="7">
        <f>$B7 * IFERROR(VLOOKUP("LULUCF|NOx|Asthma symptoms shortness of breath", US_national_yearly!$D:$AM, 36, FALSE) / VLOOKUP("LULUCF|NOx|Asthma symptoms shortness of breath", US_national_yearly!$D:$AM, 10, FALSE), 1)</f>
        <v>2.5114590010270966E-3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3.2740900615224537E-3</v>
      </c>
      <c r="C8" s="7">
        <f>$B8 * IFERROR(VLOOKUP("LULUCF|NOx|Asthma symptoms wheeze", US_national_yearly!$D:$AM, 11, FALSE) / VLOOKUP("LULUCF|NOx|Asthma symptoms wheeze", US_national_yearly!$D:$AM, 10, FALSE), 1)</f>
        <v>3.3188522256505475E-3</v>
      </c>
      <c r="D8" s="7">
        <f>$B8 * IFERROR(VLOOKUP("LULUCF|NOx|Asthma symptoms wheeze", US_national_yearly!$D:$AM, 12, FALSE) / VLOOKUP("LULUCF|NOx|Asthma symptoms wheeze", US_national_yearly!$D:$AM, 10, FALSE), 1)</f>
        <v>3.3636143897786425E-3</v>
      </c>
      <c r="E8" s="7">
        <f>$B8 * IFERROR(VLOOKUP("LULUCF|NOx|Asthma symptoms wheeze", US_national_yearly!$D:$AM, 13, FALSE) / VLOOKUP("LULUCF|NOx|Asthma symptoms wheeze", US_national_yearly!$D:$AM, 10, FALSE), 1)</f>
        <v>3.4083765539067359E-3</v>
      </c>
      <c r="F8" s="7">
        <f>$B8 * IFERROR(VLOOKUP("LULUCF|NOx|Asthma symptoms wheeze", US_national_yearly!$D:$AM, 14, FALSE) / VLOOKUP("LULUCF|NOx|Asthma symptoms wheeze", US_national_yearly!$D:$AM, 10, FALSE), 1)</f>
        <v>3.4531387180348296E-3</v>
      </c>
      <c r="G8" s="7">
        <f>$B8 * IFERROR(VLOOKUP("LULUCF|NOx|Asthma symptoms wheeze", US_national_yearly!$D:$AM, 15, FALSE) / VLOOKUP("LULUCF|NOx|Asthma symptoms wheeze", US_national_yearly!$D:$AM, 10, FALSE), 1)</f>
        <v>3.48887505102789E-3</v>
      </c>
      <c r="H8" s="7">
        <f>$B8 * IFERROR(VLOOKUP("LULUCF|NOx|Asthma symptoms wheeze", US_national_yearly!$D:$AM, 16, FALSE) / VLOOKUP("LULUCF|NOx|Asthma symptoms wheeze", US_national_yearly!$D:$AM, 10, FALSE), 1)</f>
        <v>3.52461138402095E-3</v>
      </c>
      <c r="I8" s="7">
        <f>$B8 * IFERROR(VLOOKUP("LULUCF|NOx|Asthma symptoms wheeze", US_national_yearly!$D:$AM, 17, FALSE) / VLOOKUP("LULUCF|NOx|Asthma symptoms wheeze", US_national_yearly!$D:$AM, 10, FALSE), 1)</f>
        <v>3.5369113190048596E-3</v>
      </c>
      <c r="J8" s="7">
        <f>$B8 * IFERROR(VLOOKUP("LULUCF|NOx|Asthma symptoms wheeze", US_national_yearly!$D:$AM, 18, FALSE) / VLOOKUP("LULUCF|NOx|Asthma symptoms wheeze", US_national_yearly!$D:$AM, 10, FALSE), 1)</f>
        <v>3.5492112539887693E-3</v>
      </c>
      <c r="K8" s="7">
        <f>$B8 * IFERROR(VLOOKUP("LULUCF|NOx|Asthma symptoms wheeze", US_national_yearly!$D:$AM, 19, FALSE) / VLOOKUP("LULUCF|NOx|Asthma symptoms wheeze", US_national_yearly!$D:$AM, 10, FALSE), 1)</f>
        <v>3.5615111889726781E-3</v>
      </c>
      <c r="L8" s="7">
        <f>$B8 * IFERROR(VLOOKUP("LULUCF|NOx|Asthma symptoms wheeze", US_national_yearly!$D:$AM, 20, FALSE) / VLOOKUP("LULUCF|NOx|Asthma symptoms wheeze", US_national_yearly!$D:$AM, 10, FALSE), 1)</f>
        <v>3.5738111239565881E-3</v>
      </c>
      <c r="M8" s="7">
        <f>$B8 * IFERROR(VLOOKUP("LULUCF|NOx|Asthma symptoms wheeze", US_national_yearly!$D:$AM, 21, FALSE) / VLOOKUP("LULUCF|NOx|Asthma symptoms wheeze", US_national_yearly!$D:$AM, 10, FALSE), 1)</f>
        <v>3.5861110589404973E-3</v>
      </c>
      <c r="N8" s="7">
        <f>$B8 * IFERROR(VLOOKUP("LULUCF|NOx|Asthma symptoms wheeze", US_national_yearly!$D:$AM, 22, FALSE) / VLOOKUP("LULUCF|NOx|Asthma symptoms wheeze", US_national_yearly!$D:$AM, 10, FALSE), 1)</f>
        <v>3.6003737495026058E-3</v>
      </c>
      <c r="O8" s="7">
        <f>$B8 * IFERROR(VLOOKUP("LULUCF|NOx|Asthma symptoms wheeze", US_national_yearly!$D:$AM, 23, FALSE) / VLOOKUP("LULUCF|NOx|Asthma symptoms wheeze", US_national_yearly!$D:$AM, 10, FALSE), 1)</f>
        <v>3.6146364400647148E-3</v>
      </c>
      <c r="P8" s="7">
        <f>$B8 * IFERROR(VLOOKUP("LULUCF|NOx|Asthma symptoms wheeze", US_national_yearly!$D:$AM, 24, FALSE) / VLOOKUP("LULUCF|NOx|Asthma symptoms wheeze", US_national_yearly!$D:$AM, 10, FALSE), 1)</f>
        <v>3.6288991306268228E-3</v>
      </c>
      <c r="Q8" s="7">
        <f>$B8 * IFERROR(VLOOKUP("LULUCF|NOx|Asthma symptoms wheeze", US_national_yearly!$D:$AM, 25, FALSE) / VLOOKUP("LULUCF|NOx|Asthma symptoms wheeze", US_national_yearly!$D:$AM, 10, FALSE), 1)</f>
        <v>3.6431618211889322E-3</v>
      </c>
      <c r="R8" s="7">
        <f>$B8 * IFERROR(VLOOKUP("LULUCF|NOx|Asthma symptoms wheeze", US_national_yearly!$D:$AM, 26, FALSE) / VLOOKUP("LULUCF|NOx|Asthma symptoms wheeze", US_national_yearly!$D:$AM, 10, FALSE), 1)</f>
        <v>3.6574245117510402E-3</v>
      </c>
      <c r="S8" s="7">
        <f>$B8 * IFERROR(VLOOKUP("LULUCF|NOx|Asthma symptoms wheeze", US_national_yearly!$D:$AM, 27, FALSE) / VLOOKUP("LULUCF|NOx|Asthma symptoms wheeze", US_national_yearly!$D:$AM, 10, FALSE), 1)</f>
        <v>3.6760561282474001E-3</v>
      </c>
      <c r="T8" s="7">
        <f>$B8 * IFERROR(VLOOKUP("LULUCF|NOx|Asthma symptoms wheeze", US_national_yearly!$D:$AM, 28, FALSE) / VLOOKUP("LULUCF|NOx|Asthma symptoms wheeze", US_national_yearly!$D:$AM, 10, FALSE), 1)</f>
        <v>3.6946877447437605E-3</v>
      </c>
      <c r="U8" s="7">
        <f>$B8 * IFERROR(VLOOKUP("LULUCF|NOx|Asthma symptoms wheeze", US_national_yearly!$D:$AM, 29, FALSE) / VLOOKUP("LULUCF|NOx|Asthma symptoms wheeze", US_national_yearly!$D:$AM, 10, FALSE), 1)</f>
        <v>3.7133193612401204E-3</v>
      </c>
      <c r="V8" s="7">
        <f>$B8 * IFERROR(VLOOKUP("LULUCF|NOx|Asthma symptoms wheeze", US_national_yearly!$D:$AM, 30, FALSE) / VLOOKUP("LULUCF|NOx|Asthma symptoms wheeze", US_national_yearly!$D:$AM, 10, FALSE), 1)</f>
        <v>3.7319509777364811E-3</v>
      </c>
      <c r="W8" s="7">
        <f>$B8 * IFERROR(VLOOKUP("LULUCF|NOx|Asthma symptoms wheeze", US_national_yearly!$D:$AM, 31, FALSE) / VLOOKUP("LULUCF|NOx|Asthma symptoms wheeze", US_national_yearly!$D:$AM, 10, FALSE), 1)</f>
        <v>3.7505825942328402E-3</v>
      </c>
      <c r="X8" s="7">
        <f>$B8 * IFERROR(VLOOKUP("LULUCF|NOx|Asthma symptoms wheeze", US_national_yearly!$D:$AM, 32, FALSE) / VLOOKUP("LULUCF|NOx|Asthma symptoms wheeze", US_national_yearly!$D:$AM, 10, FALSE), 1)</f>
        <v>3.7678940430460974E-3</v>
      </c>
      <c r="Y8" s="7">
        <f>$B8 * IFERROR(VLOOKUP("LULUCF|NOx|Asthma symptoms wheeze", US_national_yearly!$D:$AM, 33, FALSE) / VLOOKUP("LULUCF|NOx|Asthma symptoms wheeze", US_national_yearly!$D:$AM, 10, FALSE), 1)</f>
        <v>3.7852054918593543E-3</v>
      </c>
      <c r="Z8" s="7">
        <f>$B8 * IFERROR(VLOOKUP("LULUCF|NOx|Asthma symptoms wheeze", US_national_yearly!$D:$AM, 34, FALSE) / VLOOKUP("LULUCF|NOx|Asthma symptoms wheeze", US_national_yearly!$D:$AM, 10, FALSE), 1)</f>
        <v>3.802516940672612E-3</v>
      </c>
      <c r="AA8" s="7">
        <f>$B8 * IFERROR(VLOOKUP("LULUCF|NOx|Asthma symptoms wheeze", US_national_yearly!$D:$AM, 35, FALSE) / VLOOKUP("LULUCF|NOx|Asthma symptoms wheeze", US_national_yearly!$D:$AM, 10, FALSE), 1)</f>
        <v>3.8198283894858684E-3</v>
      </c>
      <c r="AB8" s="7">
        <f>$B8 * IFERROR(VLOOKUP("LULUCF|NOx|Asthma symptoms wheeze", US_national_yearly!$D:$AM, 36, FALSE) / VLOOKUP("LULUCF|NOx|Asthma symptoms wheeze", US_national_yearly!$D:$AM, 10, FALSE), 1)</f>
        <v>3.8371398382991261E-3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3.412783774651488E-5</v>
      </c>
      <c r="C12" s="7">
        <f>$B12 * IFERROR(VLOOKUP("LULUCF|NOx|Respiratory hospital admissions", US_national_yearly!$D:$AM, 11, FALSE) / VLOOKUP("LULUCF|NOx|Respiratory hospital admissions", US_national_yearly!$D:$AM, 10, FALSE), 1)</f>
        <v>3.4979145216126171E-5</v>
      </c>
      <c r="D12" s="7">
        <f>$B12 * IFERROR(VLOOKUP("LULUCF|NOx|Respiratory hospital admissions", US_national_yearly!$D:$AM, 12, FALSE) / VLOOKUP("LULUCF|NOx|Respiratory hospital admissions", US_national_yearly!$D:$AM, 10, FALSE), 1)</f>
        <v>3.5830452685737468E-5</v>
      </c>
      <c r="E12" s="7">
        <f>$B12 * IFERROR(VLOOKUP("LULUCF|NOx|Respiratory hospital admissions", US_national_yearly!$D:$AM, 13, FALSE) / VLOOKUP("LULUCF|NOx|Respiratory hospital admissions", US_national_yearly!$D:$AM, 10, FALSE), 1)</f>
        <v>3.6681760155348765E-5</v>
      </c>
      <c r="F12" s="7">
        <f>$B12 * IFERROR(VLOOKUP("LULUCF|NOx|Respiratory hospital admissions", US_national_yearly!$D:$AM, 14, FALSE) / VLOOKUP("LULUCF|NOx|Respiratory hospital admissions", US_national_yearly!$D:$AM, 10, FALSE), 1)</f>
        <v>3.7533067624960063E-5</v>
      </c>
      <c r="G12" s="7">
        <f>$B12 * IFERROR(VLOOKUP("LULUCF|NOx|Respiratory hospital admissions", US_national_yearly!$D:$AM, 15, FALSE) / VLOOKUP("LULUCF|NOx|Respiratory hospital admissions", US_national_yearly!$D:$AM, 10, FALSE), 1)</f>
        <v>3.8346946540965672E-5</v>
      </c>
      <c r="H12" s="7">
        <f>$B12 * IFERROR(VLOOKUP("LULUCF|NOx|Respiratory hospital admissions", US_national_yearly!$D:$AM, 16, FALSE) / VLOOKUP("LULUCF|NOx|Respiratory hospital admissions", US_national_yearly!$D:$AM, 10, FALSE), 1)</f>
        <v>3.9160825456971274E-5</v>
      </c>
      <c r="I12" s="7">
        <f>$B12 * IFERROR(VLOOKUP("LULUCF|NOx|Respiratory hospital admissions", US_national_yearly!$D:$AM, 17, FALSE) / VLOOKUP("LULUCF|NOx|Respiratory hospital admissions", US_national_yearly!$D:$AM, 10, FALSE), 1)</f>
        <v>3.9851825388317293E-5</v>
      </c>
      <c r="J12" s="7">
        <f>$B12 * IFERROR(VLOOKUP("LULUCF|NOx|Respiratory hospital admissions", US_national_yearly!$D:$AM, 18, FALSE) / VLOOKUP("LULUCF|NOx|Respiratory hospital admissions", US_national_yearly!$D:$AM, 10, FALSE), 1)</f>
        <v>4.0542825319663305E-5</v>
      </c>
      <c r="K12" s="7">
        <f>$B12 * IFERROR(VLOOKUP("LULUCF|NOx|Respiratory hospital admissions", US_national_yearly!$D:$AM, 19, FALSE) / VLOOKUP("LULUCF|NOx|Respiratory hospital admissions", US_national_yearly!$D:$AM, 10, FALSE), 1)</f>
        <v>4.1233825251009323E-5</v>
      </c>
      <c r="L12" s="7">
        <f>$B12 * IFERROR(VLOOKUP("LULUCF|NOx|Respiratory hospital admissions", US_national_yearly!$D:$AM, 20, FALSE) / VLOOKUP("LULUCF|NOx|Respiratory hospital admissions", US_national_yearly!$D:$AM, 10, FALSE), 1)</f>
        <v>4.1924825182355342E-5</v>
      </c>
      <c r="M12" s="7">
        <f>$B12 * IFERROR(VLOOKUP("LULUCF|NOx|Respiratory hospital admissions", US_national_yearly!$D:$AM, 21, FALSE) / VLOOKUP("LULUCF|NOx|Respiratory hospital admissions", US_national_yearly!$D:$AM, 10, FALSE), 1)</f>
        <v>4.261582511370136E-5</v>
      </c>
      <c r="N12" s="7">
        <f>$B12 * IFERROR(VLOOKUP("LULUCF|NOx|Respiratory hospital admissions", US_national_yearly!$D:$AM, 22, FALSE) / VLOOKUP("LULUCF|NOx|Respiratory hospital admissions", US_national_yearly!$D:$AM, 10, FALSE), 1)</f>
        <v>4.3077771008955446E-5</v>
      </c>
      <c r="O12" s="7">
        <f>$B12 * IFERROR(VLOOKUP("LULUCF|NOx|Respiratory hospital admissions", US_national_yearly!$D:$AM, 23, FALSE) / VLOOKUP("LULUCF|NOx|Respiratory hospital admissions", US_national_yearly!$D:$AM, 10, FALSE), 1)</f>
        <v>4.3539716904209544E-5</v>
      </c>
      <c r="P12" s="7">
        <f>$B12 * IFERROR(VLOOKUP("LULUCF|NOx|Respiratory hospital admissions", US_national_yearly!$D:$AM, 24, FALSE) / VLOOKUP("LULUCF|NOx|Respiratory hospital admissions", US_national_yearly!$D:$AM, 10, FALSE), 1)</f>
        <v>4.4001662799463636E-5</v>
      </c>
      <c r="Q12" s="7">
        <f>$B12 * IFERROR(VLOOKUP("LULUCF|NOx|Respiratory hospital admissions", US_national_yearly!$D:$AM, 25, FALSE) / VLOOKUP("LULUCF|NOx|Respiratory hospital admissions", US_national_yearly!$D:$AM, 10, FALSE), 1)</f>
        <v>4.4463608694717742E-5</v>
      </c>
      <c r="R12" s="7">
        <f>$B12 * IFERROR(VLOOKUP("LULUCF|NOx|Respiratory hospital admissions", US_national_yearly!$D:$AM, 26, FALSE) / VLOOKUP("LULUCF|NOx|Respiratory hospital admissions", US_national_yearly!$D:$AM, 10, FALSE), 1)</f>
        <v>4.4925554589971834E-5</v>
      </c>
      <c r="S12" s="7">
        <f>$B12 * IFERROR(VLOOKUP("LULUCF|NOx|Respiratory hospital admissions", US_national_yearly!$D:$AM, 27, FALSE) / VLOOKUP("LULUCF|NOx|Respiratory hospital admissions", US_national_yearly!$D:$AM, 10, FALSE), 1)</f>
        <v>4.5173052683365133E-5</v>
      </c>
      <c r="T12" s="7">
        <f>$B12 * IFERROR(VLOOKUP("LULUCF|NOx|Respiratory hospital admissions", US_national_yearly!$D:$AM, 28, FALSE) / VLOOKUP("LULUCF|NOx|Respiratory hospital admissions", US_national_yearly!$D:$AM, 10, FALSE), 1)</f>
        <v>4.5420550776758439E-5</v>
      </c>
      <c r="U12" s="7">
        <f>$B12 * IFERROR(VLOOKUP("LULUCF|NOx|Respiratory hospital admissions", US_national_yearly!$D:$AM, 29, FALSE) / VLOOKUP("LULUCF|NOx|Respiratory hospital admissions", US_national_yearly!$D:$AM, 10, FALSE), 1)</f>
        <v>4.5668048870151738E-5</v>
      </c>
      <c r="V12" s="7">
        <f>$B12 * IFERROR(VLOOKUP("LULUCF|NOx|Respiratory hospital admissions", US_national_yearly!$D:$AM, 30, FALSE) / VLOOKUP("LULUCF|NOx|Respiratory hospital admissions", US_national_yearly!$D:$AM, 10, FALSE), 1)</f>
        <v>4.591554696354503E-5</v>
      </c>
      <c r="W12" s="7">
        <f>$B12 * IFERROR(VLOOKUP("LULUCF|NOx|Respiratory hospital admissions", US_national_yearly!$D:$AM, 31, FALSE) / VLOOKUP("LULUCF|NOx|Respiratory hospital admissions", US_national_yearly!$D:$AM, 10, FALSE), 1)</f>
        <v>4.6163045056938335E-5</v>
      </c>
      <c r="X12" s="7">
        <f>$B12 * IFERROR(VLOOKUP("LULUCF|NOx|Respiratory hospital admissions", US_national_yearly!$D:$AM, 32, FALSE) / VLOOKUP("LULUCF|NOx|Respiratory hospital admissions", US_national_yearly!$D:$AM, 10, FALSE), 1)</f>
        <v>4.6332177849690327E-5</v>
      </c>
      <c r="Y12" s="7">
        <f>$B12 * IFERROR(VLOOKUP("LULUCF|NOx|Respiratory hospital admissions", US_national_yearly!$D:$AM, 33, FALSE) / VLOOKUP("LULUCF|NOx|Respiratory hospital admissions", US_national_yearly!$D:$AM, 10, FALSE), 1)</f>
        <v>4.6501310642442319E-5</v>
      </c>
      <c r="Z12" s="7">
        <f>$B12 * IFERROR(VLOOKUP("LULUCF|NOx|Respiratory hospital admissions", US_national_yearly!$D:$AM, 34, FALSE) / VLOOKUP("LULUCF|NOx|Respiratory hospital admissions", US_national_yearly!$D:$AM, 10, FALSE), 1)</f>
        <v>4.6670443435194318E-5</v>
      </c>
      <c r="AA12" s="7">
        <f>$B12 * IFERROR(VLOOKUP("LULUCF|NOx|Respiratory hospital admissions", US_national_yearly!$D:$AM, 35, FALSE) / VLOOKUP("LULUCF|NOx|Respiratory hospital admissions", US_national_yearly!$D:$AM, 10, FALSE), 1)</f>
        <v>4.6839576227946309E-5</v>
      </c>
      <c r="AB12" s="7">
        <f>$B12 * IFERROR(VLOOKUP("LULUCF|NOx|Respiratory hospital admissions", US_national_yearly!$D:$AM, 36, FALSE) / VLOOKUP("LULUCF|NOx|Respiratory hospital admissions", US_national_yearly!$D:$AM, 10, FALSE), 1)</f>
        <v>4.7008709020698301E-5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2.4511725059510168E-4</v>
      </c>
      <c r="C13" s="7">
        <f>$B13 * IFERROR(VLOOKUP("LULUCF|NOx|Non-fatal heart attacks", US_national_yearly!$D:$AM, 11, FALSE) / VLOOKUP("LULUCF|NOx|Non-fatal heart attacks", US_national_yearly!$D:$AM, 10, FALSE), 1)</f>
        <v>2.5212493682753899E-4</v>
      </c>
      <c r="D13" s="7">
        <f>$B13 * IFERROR(VLOOKUP("LULUCF|NOx|Non-fatal heart attacks", US_national_yearly!$D:$AM, 12, FALSE) / VLOOKUP("LULUCF|NOx|Non-fatal heart attacks", US_national_yearly!$D:$AM, 10, FALSE), 1)</f>
        <v>2.5913262305997631E-4</v>
      </c>
      <c r="E13" s="7">
        <f>$B13 * IFERROR(VLOOKUP("LULUCF|NOx|Non-fatal heart attacks", US_national_yearly!$D:$AM, 13, FALSE) / VLOOKUP("LULUCF|NOx|Non-fatal heart attacks", US_national_yearly!$D:$AM, 10, FALSE), 1)</f>
        <v>2.6614030929241351E-4</v>
      </c>
      <c r="F13" s="7">
        <f>$B13 * IFERROR(VLOOKUP("LULUCF|NOx|Non-fatal heart attacks", US_national_yearly!$D:$AM, 14, FALSE) / VLOOKUP("LULUCF|NOx|Non-fatal heart attacks", US_national_yearly!$D:$AM, 10, FALSE), 1)</f>
        <v>2.7314799552485082E-4</v>
      </c>
      <c r="G13" s="7">
        <f>$B13 * IFERROR(VLOOKUP("LULUCF|NOx|Non-fatal heart attacks", US_national_yearly!$D:$AM, 15, FALSE) / VLOOKUP("LULUCF|NOx|Non-fatal heart attacks", US_national_yearly!$D:$AM, 10, FALSE), 1)</f>
        <v>2.7969666374465902E-4</v>
      </c>
      <c r="H13" s="7">
        <f>$B13 * IFERROR(VLOOKUP("LULUCF|NOx|Non-fatal heart attacks", US_national_yearly!$D:$AM, 16, FALSE) / VLOOKUP("LULUCF|NOx|Non-fatal heart attacks", US_national_yearly!$D:$AM, 10, FALSE), 1)</f>
        <v>2.8624533196446722E-4</v>
      </c>
      <c r="I13" s="7">
        <f>$B13 * IFERROR(VLOOKUP("LULUCF|NOx|Non-fatal heart attacks", US_national_yearly!$D:$AM, 17, FALSE) / VLOOKUP("LULUCF|NOx|Non-fatal heart attacks", US_national_yearly!$D:$AM, 10, FALSE), 1)</f>
        <v>2.9140820827153261E-4</v>
      </c>
      <c r="J13" s="7">
        <f>$B13 * IFERROR(VLOOKUP("LULUCF|NOx|Non-fatal heart attacks", US_national_yearly!$D:$AM, 18, FALSE) / VLOOKUP("LULUCF|NOx|Non-fatal heart attacks", US_national_yearly!$D:$AM, 10, FALSE), 1)</f>
        <v>2.9657108457859806E-4</v>
      </c>
      <c r="K13" s="7">
        <f>$B13 * IFERROR(VLOOKUP("LULUCF|NOx|Non-fatal heart attacks", US_national_yearly!$D:$AM, 19, FALSE) / VLOOKUP("LULUCF|NOx|Non-fatal heart attacks", US_national_yearly!$D:$AM, 10, FALSE), 1)</f>
        <v>3.0173396088566329E-4</v>
      </c>
      <c r="L13" s="7">
        <f>$B13 * IFERROR(VLOOKUP("LULUCF|NOx|Non-fatal heart attacks", US_national_yearly!$D:$AM, 20, FALSE) / VLOOKUP("LULUCF|NOx|Non-fatal heart attacks", US_national_yearly!$D:$AM, 10, FALSE), 1)</f>
        <v>3.068968371927289E-4</v>
      </c>
      <c r="M13" s="7">
        <f>$B13 * IFERROR(VLOOKUP("LULUCF|NOx|Non-fatal heart attacks", US_national_yearly!$D:$AM, 21, FALSE) / VLOOKUP("LULUCF|NOx|Non-fatal heart attacks", US_national_yearly!$D:$AM, 10, FALSE), 1)</f>
        <v>3.1205971349979424E-4</v>
      </c>
      <c r="N13" s="7">
        <f>$B13 * IFERROR(VLOOKUP("LULUCF|NOx|Non-fatal heart attacks", US_national_yearly!$D:$AM, 22, FALSE) / VLOOKUP("LULUCF|NOx|Non-fatal heart attacks", US_national_yearly!$D:$AM, 10, FALSE), 1)</f>
        <v>3.1516585645849447E-4</v>
      </c>
      <c r="O13" s="7">
        <f>$B13 * IFERROR(VLOOKUP("LULUCF|NOx|Non-fatal heart attacks", US_national_yearly!$D:$AM, 23, FALSE) / VLOOKUP("LULUCF|NOx|Non-fatal heart attacks", US_national_yearly!$D:$AM, 10, FALSE), 1)</f>
        <v>3.1827199941719469E-4</v>
      </c>
      <c r="P13" s="7">
        <f>$B13 * IFERROR(VLOOKUP("LULUCF|NOx|Non-fatal heart attacks", US_national_yearly!$D:$AM, 24, FALSE) / VLOOKUP("LULUCF|NOx|Non-fatal heart attacks", US_national_yearly!$D:$AM, 10, FALSE), 1)</f>
        <v>3.2137814237589486E-4</v>
      </c>
      <c r="Q13" s="7">
        <f>$B13 * IFERROR(VLOOKUP("LULUCF|NOx|Non-fatal heart attacks", US_national_yearly!$D:$AM, 25, FALSE) / VLOOKUP("LULUCF|NOx|Non-fatal heart attacks", US_national_yearly!$D:$AM, 10, FALSE), 1)</f>
        <v>3.2448428533459514E-4</v>
      </c>
      <c r="R13" s="7">
        <f>$B13 * IFERROR(VLOOKUP("LULUCF|NOx|Non-fatal heart attacks", US_national_yearly!$D:$AM, 26, FALSE) / VLOOKUP("LULUCF|NOx|Non-fatal heart attacks", US_national_yearly!$D:$AM, 10, FALSE), 1)</f>
        <v>3.2759042829329536E-4</v>
      </c>
      <c r="S13" s="7">
        <f>$B13 * IFERROR(VLOOKUP("LULUCF|NOx|Non-fatal heart attacks", US_national_yearly!$D:$AM, 27, FALSE) / VLOOKUP("LULUCF|NOx|Non-fatal heart attacks", US_national_yearly!$D:$AM, 10, FALSE), 1)</f>
        <v>3.28999396222602E-4</v>
      </c>
      <c r="T13" s="7">
        <f>$B13 * IFERROR(VLOOKUP("LULUCF|NOx|Non-fatal heart attacks", US_national_yearly!$D:$AM, 28, FALSE) / VLOOKUP("LULUCF|NOx|Non-fatal heart attacks", US_national_yearly!$D:$AM, 10, FALSE), 1)</f>
        <v>3.3040836415190863E-4</v>
      </c>
      <c r="U13" s="7">
        <f>$B13 * IFERROR(VLOOKUP("LULUCF|NOx|Non-fatal heart attacks", US_national_yearly!$D:$AM, 29, FALSE) / VLOOKUP("LULUCF|NOx|Non-fatal heart attacks", US_national_yearly!$D:$AM, 10, FALSE), 1)</f>
        <v>3.3181733208121532E-4</v>
      </c>
      <c r="V13" s="7">
        <f>$B13 * IFERROR(VLOOKUP("LULUCF|NOx|Non-fatal heart attacks", US_national_yearly!$D:$AM, 30, FALSE) / VLOOKUP("LULUCF|NOx|Non-fatal heart attacks", US_national_yearly!$D:$AM, 10, FALSE), 1)</f>
        <v>3.3322630001052196E-4</v>
      </c>
      <c r="W13" s="7">
        <f>$B13 * IFERROR(VLOOKUP("LULUCF|NOx|Non-fatal heart attacks", US_national_yearly!$D:$AM, 31, FALSE) / VLOOKUP("LULUCF|NOx|Non-fatal heart attacks", US_national_yearly!$D:$AM, 10, FALSE), 1)</f>
        <v>3.3463526793982859E-4</v>
      </c>
      <c r="X13" s="7">
        <f>$B13 * IFERROR(VLOOKUP("LULUCF|NOx|Non-fatal heart attacks", US_national_yearly!$D:$AM, 32, FALSE) / VLOOKUP("LULUCF|NOx|Non-fatal heart attacks", US_national_yearly!$D:$AM, 10, FALSE), 1)</f>
        <v>3.3557681444756237E-4</v>
      </c>
      <c r="Y13" s="7">
        <f>$B13 * IFERROR(VLOOKUP("LULUCF|NOx|Non-fatal heart attacks", US_national_yearly!$D:$AM, 33, FALSE) / VLOOKUP("LULUCF|NOx|Non-fatal heart attacks", US_national_yearly!$D:$AM, 10, FALSE), 1)</f>
        <v>3.3651836095529626E-4</v>
      </c>
      <c r="Z13" s="7">
        <f>$B13 * IFERROR(VLOOKUP("LULUCF|NOx|Non-fatal heart attacks", US_national_yearly!$D:$AM, 34, FALSE) / VLOOKUP("LULUCF|NOx|Non-fatal heart attacks", US_national_yearly!$D:$AM, 10, FALSE), 1)</f>
        <v>3.3745990746302998E-4</v>
      </c>
      <c r="AA13" s="7">
        <f>$B13 * IFERROR(VLOOKUP("LULUCF|NOx|Non-fatal heart attacks", US_national_yearly!$D:$AM, 35, FALSE) / VLOOKUP("LULUCF|NOx|Non-fatal heart attacks", US_national_yearly!$D:$AM, 10, FALSE), 1)</f>
        <v>3.3840145397076376E-4</v>
      </c>
      <c r="AB13" s="7">
        <f>$B13 * IFERROR(VLOOKUP("LULUCF|NOx|Non-fatal heart attacks", US_national_yearly!$D:$AM, 36, FALSE) / VLOOKUP("LULUCF|NOx|Non-fatal heart attacks", US_national_yearly!$D:$AM, 10, FALSE), 1)</f>
        <v>3.3934300047849765E-4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0.20713053994362229</v>
      </c>
      <c r="C14" s="7">
        <f>$B14 * IFERROR(VLOOKUP("LULUCF|NOx|Minor restricted activity days", US_national_yearly!$D:$AM, 11, FALSE) / VLOOKUP("LULUCF|NOx|Minor restricted activity days", US_national_yearly!$D:$AM, 10, FALSE), 1)</f>
        <v>0.20744810582171772</v>
      </c>
      <c r="D14" s="7">
        <f>$B14 * IFERROR(VLOOKUP("LULUCF|NOx|Minor restricted activity days", US_national_yearly!$D:$AM, 12, FALSE) / VLOOKUP("LULUCF|NOx|Minor restricted activity days", US_national_yearly!$D:$AM, 10, FALSE), 1)</f>
        <v>0.20776567169981319</v>
      </c>
      <c r="E14" s="7">
        <f>$B14 * IFERROR(VLOOKUP("LULUCF|NOx|Minor restricted activity days", US_national_yearly!$D:$AM, 13, FALSE) / VLOOKUP("LULUCF|NOx|Minor restricted activity days", US_national_yearly!$D:$AM, 10, FALSE), 1)</f>
        <v>0.20808323757790867</v>
      </c>
      <c r="F14" s="7">
        <f>$B14 * IFERROR(VLOOKUP("LULUCF|NOx|Minor restricted activity days", US_national_yearly!$D:$AM, 14, FALSE) / VLOOKUP("LULUCF|NOx|Minor restricted activity days", US_national_yearly!$D:$AM, 10, FALSE), 1)</f>
        <v>0.20840080345600412</v>
      </c>
      <c r="G14" s="7">
        <f>$B14 * IFERROR(VLOOKUP("LULUCF|NOx|Minor restricted activity days", US_national_yearly!$D:$AM, 15, FALSE) / VLOOKUP("LULUCF|NOx|Minor restricted activity days", US_national_yearly!$D:$AM, 10, FALSE), 1)</f>
        <v>0.20897425184467039</v>
      </c>
      <c r="H14" s="7">
        <f>$B14 * IFERROR(VLOOKUP("LULUCF|NOx|Minor restricted activity days", US_national_yearly!$D:$AM, 16, FALSE) / VLOOKUP("LULUCF|NOx|Minor restricted activity days", US_national_yearly!$D:$AM, 10, FALSE), 1)</f>
        <v>0.20954770023333663</v>
      </c>
      <c r="I14" s="7">
        <f>$B14 * IFERROR(VLOOKUP("LULUCF|NOx|Minor restricted activity days", US_national_yearly!$D:$AM, 17, FALSE) / VLOOKUP("LULUCF|NOx|Minor restricted activity days", US_national_yearly!$D:$AM, 10, FALSE), 1)</f>
        <v>0.21066934260507214</v>
      </c>
      <c r="J14" s="7">
        <f>$B14 * IFERROR(VLOOKUP("LULUCF|NOx|Minor restricted activity days", US_national_yearly!$D:$AM, 18, FALSE) / VLOOKUP("LULUCF|NOx|Minor restricted activity days", US_national_yearly!$D:$AM, 10, FALSE), 1)</f>
        <v>0.21179098497680759</v>
      </c>
      <c r="K14" s="7">
        <f>$B14 * IFERROR(VLOOKUP("LULUCF|NOx|Minor restricted activity days", US_national_yearly!$D:$AM, 19, FALSE) / VLOOKUP("LULUCF|NOx|Minor restricted activity days", US_national_yearly!$D:$AM, 10, FALSE), 1)</f>
        <v>0.2129126273485431</v>
      </c>
      <c r="L14" s="7">
        <f>$B14 * IFERROR(VLOOKUP("LULUCF|NOx|Minor restricted activity days", US_national_yearly!$D:$AM, 20, FALSE) / VLOOKUP("LULUCF|NOx|Minor restricted activity days", US_national_yearly!$D:$AM, 10, FALSE), 1)</f>
        <v>0.21403426972027856</v>
      </c>
      <c r="M14" s="7">
        <f>$B14 * IFERROR(VLOOKUP("LULUCF|NOx|Minor restricted activity days", US_national_yearly!$D:$AM, 21, FALSE) / VLOOKUP("LULUCF|NOx|Minor restricted activity days", US_national_yearly!$D:$AM, 10, FALSE), 1)</f>
        <v>0.21515591209201407</v>
      </c>
      <c r="N14" s="7">
        <f>$B14 * IFERROR(VLOOKUP("LULUCF|NOx|Minor restricted activity days", US_national_yearly!$D:$AM, 22, FALSE) / VLOOKUP("LULUCF|NOx|Minor restricted activity days", US_national_yearly!$D:$AM, 10, FALSE), 1)</f>
        <v>0.21676184964144007</v>
      </c>
      <c r="O14" s="7">
        <f>$B14 * IFERROR(VLOOKUP("LULUCF|NOx|Minor restricted activity days", US_national_yearly!$D:$AM, 23, FALSE) / VLOOKUP("LULUCF|NOx|Minor restricted activity days", US_national_yearly!$D:$AM, 10, FALSE), 1)</f>
        <v>0.21836778719086611</v>
      </c>
      <c r="P14" s="7">
        <f>$B14 * IFERROR(VLOOKUP("LULUCF|NOx|Minor restricted activity days", US_national_yearly!$D:$AM, 24, FALSE) / VLOOKUP("LULUCF|NOx|Minor restricted activity days", US_national_yearly!$D:$AM, 10, FALSE), 1)</f>
        <v>0.21997372474029211</v>
      </c>
      <c r="Q14" s="7">
        <f>$B14 * IFERROR(VLOOKUP("LULUCF|NOx|Minor restricted activity days", US_national_yearly!$D:$AM, 25, FALSE) / VLOOKUP("LULUCF|NOx|Minor restricted activity days", US_national_yearly!$D:$AM, 10, FALSE), 1)</f>
        <v>0.22157966228971812</v>
      </c>
      <c r="R14" s="7">
        <f>$B14 * IFERROR(VLOOKUP("LULUCF|NOx|Minor restricted activity days", US_national_yearly!$D:$AM, 26, FALSE) / VLOOKUP("LULUCF|NOx|Minor restricted activity days", US_national_yearly!$D:$AM, 10, FALSE), 1)</f>
        <v>0.22318559983914413</v>
      </c>
      <c r="S14" s="7">
        <f>$B14 * IFERROR(VLOOKUP("LULUCF|NOx|Minor restricted activity days", US_national_yearly!$D:$AM, 27, FALSE) / VLOOKUP("LULUCF|NOx|Minor restricted activity days", US_national_yearly!$D:$AM, 10, FALSE), 1)</f>
        <v>0.22479119974363765</v>
      </c>
      <c r="T14" s="7">
        <f>$B14 * IFERROR(VLOOKUP("LULUCF|NOx|Minor restricted activity days", US_national_yearly!$D:$AM, 28, FALSE) / VLOOKUP("LULUCF|NOx|Minor restricted activity days", US_national_yearly!$D:$AM, 10, FALSE), 1)</f>
        <v>0.22639679964813111</v>
      </c>
      <c r="U14" s="7">
        <f>$B14 * IFERROR(VLOOKUP("LULUCF|NOx|Minor restricted activity days", US_national_yearly!$D:$AM, 29, FALSE) / VLOOKUP("LULUCF|NOx|Minor restricted activity days", US_national_yearly!$D:$AM, 10, FALSE), 1)</f>
        <v>0.22800239955262461</v>
      </c>
      <c r="V14" s="7">
        <f>$B14 * IFERROR(VLOOKUP("LULUCF|NOx|Minor restricted activity days", US_national_yearly!$D:$AM, 30, FALSE) / VLOOKUP("LULUCF|NOx|Minor restricted activity days", US_national_yearly!$D:$AM, 10, FALSE), 1)</f>
        <v>0.2296079994571181</v>
      </c>
      <c r="W14" s="7">
        <f>$B14 * IFERROR(VLOOKUP("LULUCF|NOx|Minor restricted activity days", US_national_yearly!$D:$AM, 31, FALSE) / VLOOKUP("LULUCF|NOx|Minor restricted activity days", US_national_yearly!$D:$AM, 10, FALSE), 1)</f>
        <v>0.23121359936161157</v>
      </c>
      <c r="X14" s="7">
        <f>$B14 * IFERROR(VLOOKUP("LULUCF|NOx|Minor restricted activity days", US_national_yearly!$D:$AM, 32, FALSE) / VLOOKUP("LULUCF|NOx|Minor restricted activity days", US_national_yearly!$D:$AM, 10, FALSE), 1)</f>
        <v>0.23257107291420001</v>
      </c>
      <c r="Y14" s="7">
        <f>$B14 * IFERROR(VLOOKUP("LULUCF|NOx|Minor restricted activity days", US_national_yearly!$D:$AM, 33, FALSE) / VLOOKUP("LULUCF|NOx|Minor restricted activity days", US_national_yearly!$D:$AM, 10, FALSE), 1)</f>
        <v>0.23392854646678848</v>
      </c>
      <c r="Z14" s="7">
        <f>$B14 * IFERROR(VLOOKUP("LULUCF|NOx|Minor restricted activity days", US_national_yearly!$D:$AM, 34, FALSE) / VLOOKUP("LULUCF|NOx|Minor restricted activity days", US_national_yearly!$D:$AM, 10, FALSE), 1)</f>
        <v>0.23528602001937693</v>
      </c>
      <c r="AA14" s="7">
        <f>$B14 * IFERROR(VLOOKUP("LULUCF|NOx|Minor restricted activity days", US_national_yearly!$D:$AM, 35, FALSE) / VLOOKUP("LULUCF|NOx|Minor restricted activity days", US_national_yearly!$D:$AM, 10, FALSE), 1)</f>
        <v>0.23664349357196537</v>
      </c>
      <c r="AB14" s="7">
        <f>$B14 * IFERROR(VLOOKUP("LULUCF|NOx|Minor restricted activity days", US_national_yearly!$D:$AM, 36, FALSE) / VLOOKUP("LULUCF|NOx|Minor restricted activity days", US_national_yearly!$D:$AM, 10, FALSE), 1)</f>
        <v>0.23800096712455382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3.5196600650179009E-2</v>
      </c>
      <c r="C15" s="7">
        <f>$B15 * IFERROR(VLOOKUP("LULUCF|NOx|Work loss days", US_national_yearly!$D:$AM, 11, FALSE) / VLOOKUP("LULUCF|NOx|Work loss days", US_national_yearly!$D:$AM, 10, FALSE), 1)</f>
        <v>3.5274893594867823E-2</v>
      </c>
      <c r="D15" s="7">
        <f>$B15 * IFERROR(VLOOKUP("LULUCF|NOx|Work loss days", US_national_yearly!$D:$AM, 12, FALSE) / VLOOKUP("LULUCF|NOx|Work loss days", US_national_yearly!$D:$AM, 10, FALSE), 1)</f>
        <v>3.5353186539556644E-2</v>
      </c>
      <c r="E15" s="7">
        <f>$B15 * IFERROR(VLOOKUP("LULUCF|NOx|Work loss days", US_national_yearly!$D:$AM, 13, FALSE) / VLOOKUP("LULUCF|NOx|Work loss days", US_national_yearly!$D:$AM, 10, FALSE), 1)</f>
        <v>3.5431479484245458E-2</v>
      </c>
      <c r="F15" s="7">
        <f>$B15 * IFERROR(VLOOKUP("LULUCF|NOx|Work loss days", US_national_yearly!$D:$AM, 14, FALSE) / VLOOKUP("LULUCF|NOx|Work loss days", US_national_yearly!$D:$AM, 10, FALSE), 1)</f>
        <v>3.5509772428934286E-2</v>
      </c>
      <c r="G15" s="7">
        <f>$B15 * IFERROR(VLOOKUP("LULUCF|NOx|Work loss days", US_national_yearly!$D:$AM, 15, FALSE) / VLOOKUP("LULUCF|NOx|Work loss days", US_national_yearly!$D:$AM, 10, FALSE), 1)</f>
        <v>3.5624080796053538E-2</v>
      </c>
      <c r="H15" s="7">
        <f>$B15 * IFERROR(VLOOKUP("LULUCF|NOx|Work loss days", US_national_yearly!$D:$AM, 16, FALSE) / VLOOKUP("LULUCF|NOx|Work loss days", US_national_yearly!$D:$AM, 10, FALSE), 1)</f>
        <v>3.5738389163172797E-2</v>
      </c>
      <c r="I15" s="7">
        <f>$B15 * IFERROR(VLOOKUP("LULUCF|NOx|Work loss days", US_national_yearly!$D:$AM, 17, FALSE) / VLOOKUP("LULUCF|NOx|Work loss days", US_national_yearly!$D:$AM, 10, FALSE), 1)</f>
        <v>3.5923562522824956E-2</v>
      </c>
      <c r="J15" s="7">
        <f>$B15 * IFERROR(VLOOKUP("LULUCF|NOx|Work loss days", US_national_yearly!$D:$AM, 18, FALSE) / VLOOKUP("LULUCF|NOx|Work loss days", US_national_yearly!$D:$AM, 10, FALSE), 1)</f>
        <v>3.6108735882477122E-2</v>
      </c>
      <c r="K15" s="7">
        <f>$B15 * IFERROR(VLOOKUP("LULUCF|NOx|Work loss days", US_national_yearly!$D:$AM, 19, FALSE) / VLOOKUP("LULUCF|NOx|Work loss days", US_national_yearly!$D:$AM, 10, FALSE), 1)</f>
        <v>3.6293909242129274E-2</v>
      </c>
      <c r="L15" s="7">
        <f>$B15 * IFERROR(VLOOKUP("LULUCF|NOx|Work loss days", US_national_yearly!$D:$AM, 20, FALSE) / VLOOKUP("LULUCF|NOx|Work loss days", US_national_yearly!$D:$AM, 10, FALSE), 1)</f>
        <v>3.6479082601781433E-2</v>
      </c>
      <c r="M15" s="7">
        <f>$B15 * IFERROR(VLOOKUP("LULUCF|NOx|Work loss days", US_national_yearly!$D:$AM, 21, FALSE) / VLOOKUP("LULUCF|NOx|Work loss days", US_national_yearly!$D:$AM, 10, FALSE), 1)</f>
        <v>3.6664255961433599E-2</v>
      </c>
      <c r="N15" s="7">
        <f>$B15 * IFERROR(VLOOKUP("LULUCF|NOx|Work loss days", US_national_yearly!$D:$AM, 22, FALSE) / VLOOKUP("LULUCF|NOx|Work loss days", US_national_yearly!$D:$AM, 10, FALSE), 1)</f>
        <v>3.6905247726277401E-2</v>
      </c>
      <c r="O15" s="7">
        <f>$B15 * IFERROR(VLOOKUP("LULUCF|NOx|Work loss days", US_national_yearly!$D:$AM, 23, FALSE) / VLOOKUP("LULUCF|NOx|Work loss days", US_national_yearly!$D:$AM, 10, FALSE), 1)</f>
        <v>3.7146239491121204E-2</v>
      </c>
      <c r="P15" s="7">
        <f>$B15 * IFERROR(VLOOKUP("LULUCF|NOx|Work loss days", US_national_yearly!$D:$AM, 24, FALSE) / VLOOKUP("LULUCF|NOx|Work loss days", US_national_yearly!$D:$AM, 10, FALSE), 1)</f>
        <v>3.7387231255965013E-2</v>
      </c>
      <c r="Q15" s="7">
        <f>$B15 * IFERROR(VLOOKUP("LULUCF|NOx|Work loss days", US_national_yearly!$D:$AM, 25, FALSE) / VLOOKUP("LULUCF|NOx|Work loss days", US_national_yearly!$D:$AM, 10, FALSE), 1)</f>
        <v>3.7628223020808808E-2</v>
      </c>
      <c r="R15" s="7">
        <f>$B15 * IFERROR(VLOOKUP("LULUCF|NOx|Work loss days", US_national_yearly!$D:$AM, 26, FALSE) / VLOOKUP("LULUCF|NOx|Work loss days", US_national_yearly!$D:$AM, 10, FALSE), 1)</f>
        <v>3.7869214785652618E-2</v>
      </c>
      <c r="S15" s="7">
        <f>$B15 * IFERROR(VLOOKUP("LULUCF|NOx|Work loss days", US_national_yearly!$D:$AM, 27, FALSE) / VLOOKUP("LULUCF|NOx|Work loss days", US_national_yearly!$D:$AM, 10, FALSE), 1)</f>
        <v>3.8137889789763298E-2</v>
      </c>
      <c r="T15" s="7">
        <f>$B15 * IFERROR(VLOOKUP("LULUCF|NOx|Work loss days", US_national_yearly!$D:$AM, 28, FALSE) / VLOOKUP("LULUCF|NOx|Work loss days", US_national_yearly!$D:$AM, 10, FALSE), 1)</f>
        <v>3.8406564793873971E-2</v>
      </c>
      <c r="U15" s="7">
        <f>$B15 * IFERROR(VLOOKUP("LULUCF|NOx|Work loss days", US_national_yearly!$D:$AM, 29, FALSE) / VLOOKUP("LULUCF|NOx|Work loss days", US_national_yearly!$D:$AM, 10, FALSE), 1)</f>
        <v>3.8675239797984644E-2</v>
      </c>
      <c r="V15" s="7">
        <f>$B15 * IFERROR(VLOOKUP("LULUCF|NOx|Work loss days", US_national_yearly!$D:$AM, 30, FALSE) / VLOOKUP("LULUCF|NOx|Work loss days", US_national_yearly!$D:$AM, 10, FALSE), 1)</f>
        <v>3.8943914802095317E-2</v>
      </c>
      <c r="W15" s="7">
        <f>$B15 * IFERROR(VLOOKUP("LULUCF|NOx|Work loss days", US_national_yearly!$D:$AM, 31, FALSE) / VLOOKUP("LULUCF|NOx|Work loss days", US_national_yearly!$D:$AM, 10, FALSE), 1)</f>
        <v>3.9212589806205997E-2</v>
      </c>
      <c r="X15" s="7">
        <f>$B15 * IFERROR(VLOOKUP("LULUCF|NOx|Work loss days", US_national_yearly!$D:$AM, 32, FALSE) / VLOOKUP("LULUCF|NOx|Work loss days", US_national_yearly!$D:$AM, 10, FALSE), 1)</f>
        <v>3.9445785384898568E-2</v>
      </c>
      <c r="Y15" s="7">
        <f>$B15 * IFERROR(VLOOKUP("LULUCF|NOx|Work loss days", US_national_yearly!$D:$AM, 33, FALSE) / VLOOKUP("LULUCF|NOx|Work loss days", US_national_yearly!$D:$AM, 10, FALSE), 1)</f>
        <v>3.967898096359114E-2</v>
      </c>
      <c r="Z15" s="7">
        <f>$B15 * IFERROR(VLOOKUP("LULUCF|NOx|Work loss days", US_national_yearly!$D:$AM, 34, FALSE) / VLOOKUP("LULUCF|NOx|Work loss days", US_national_yearly!$D:$AM, 10, FALSE), 1)</f>
        <v>3.9912176542283712E-2</v>
      </c>
      <c r="AA15" s="7">
        <f>$B15 * IFERROR(VLOOKUP("LULUCF|NOx|Work loss days", US_national_yearly!$D:$AM, 35, FALSE) / VLOOKUP("LULUCF|NOx|Work loss days", US_national_yearly!$D:$AM, 10, FALSE), 1)</f>
        <v>4.014537212097629E-2</v>
      </c>
      <c r="AB15" s="7">
        <f>$B15 * IFERROR(VLOOKUP("LULUCF|NOx|Work loss days", US_national_yearly!$D:$AM, 36, FALSE) / VLOOKUP("LULUCF|NOx|Work loss days", US_national_yearly!$D:$AM, 10, FALSE), 1)</f>
        <v>4.0378567699668862E-2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4.5982831282426447E-5</v>
      </c>
      <c r="C17" s="7">
        <f>$B17 * IFERROR(VLOOKUP("LULUCF|NOx|Cardiovascular hospital admissions", US_national_yearly!$D:$AM, 11, FALSE) / VLOOKUP("LULUCF|NOx|Cardiovascular hospital admissions", US_national_yearly!$D:$AM, 10, FALSE), 1)</f>
        <v>4.7334019844942934E-5</v>
      </c>
      <c r="D17" s="7">
        <f>$B17 * IFERROR(VLOOKUP("LULUCF|NOx|Cardiovascular hospital admissions", US_national_yearly!$D:$AM, 12, FALSE) / VLOOKUP("LULUCF|NOx|Cardiovascular hospital admissions", US_national_yearly!$D:$AM, 10, FALSE), 1)</f>
        <v>4.8685208407459414E-5</v>
      </c>
      <c r="E17" s="7">
        <f>$B17 * IFERROR(VLOOKUP("LULUCF|NOx|Cardiovascular hospital admissions", US_national_yearly!$D:$AM, 13, FALSE) / VLOOKUP("LULUCF|NOx|Cardiovascular hospital admissions", US_national_yearly!$D:$AM, 10, FALSE), 1)</f>
        <v>5.0036396969975893E-5</v>
      </c>
      <c r="F17" s="7">
        <f>$B17 * IFERROR(VLOOKUP("LULUCF|NOx|Cardiovascular hospital admissions", US_national_yearly!$D:$AM, 14, FALSE) / VLOOKUP("LULUCF|NOx|Cardiovascular hospital admissions", US_national_yearly!$D:$AM, 10, FALSE), 1)</f>
        <v>5.138758553249238E-5</v>
      </c>
      <c r="G17" s="7">
        <f>$B17 * IFERROR(VLOOKUP("LULUCF|NOx|Cardiovascular hospital admissions", US_national_yearly!$D:$AM, 15, FALSE) / VLOOKUP("LULUCF|NOx|Cardiovascular hospital admissions", US_national_yearly!$D:$AM, 10, FALSE), 1)</f>
        <v>5.2670991214617007E-5</v>
      </c>
      <c r="H17" s="7">
        <f>$B17 * IFERROR(VLOOKUP("LULUCF|NOx|Cardiovascular hospital admissions", US_national_yearly!$D:$AM, 16, FALSE) / VLOOKUP("LULUCF|NOx|Cardiovascular hospital admissions", US_national_yearly!$D:$AM, 10, FALSE), 1)</f>
        <v>5.3954396896741647E-5</v>
      </c>
      <c r="I17" s="7">
        <f>$B17 * IFERROR(VLOOKUP("LULUCF|NOx|Cardiovascular hospital admissions", US_national_yearly!$D:$AM, 17, FALSE) / VLOOKUP("LULUCF|NOx|Cardiovascular hospital admissions", US_national_yearly!$D:$AM, 10, FALSE), 1)</f>
        <v>5.5033642066248476E-5</v>
      </c>
      <c r="J17" s="7">
        <f>$B17 * IFERROR(VLOOKUP("LULUCF|NOx|Cardiovascular hospital admissions", US_national_yearly!$D:$AM, 18, FALSE) / VLOOKUP("LULUCF|NOx|Cardiovascular hospital admissions", US_national_yearly!$D:$AM, 10, FALSE), 1)</f>
        <v>5.6112887235755297E-5</v>
      </c>
      <c r="K17" s="7">
        <f>$B17 * IFERROR(VLOOKUP("LULUCF|NOx|Cardiovascular hospital admissions", US_national_yearly!$D:$AM, 19, FALSE) / VLOOKUP("LULUCF|NOx|Cardiovascular hospital admissions", US_national_yearly!$D:$AM, 10, FALSE), 1)</f>
        <v>5.7192132405262126E-5</v>
      </c>
      <c r="L17" s="7">
        <f>$B17 * IFERROR(VLOOKUP("LULUCF|NOx|Cardiovascular hospital admissions", US_national_yearly!$D:$AM, 20, FALSE) / VLOOKUP("LULUCF|NOx|Cardiovascular hospital admissions", US_national_yearly!$D:$AM, 10, FALSE), 1)</f>
        <v>5.8271377574768954E-5</v>
      </c>
      <c r="M17" s="7">
        <f>$B17 * IFERROR(VLOOKUP("LULUCF|NOx|Cardiovascular hospital admissions", US_national_yearly!$D:$AM, 21, FALSE) / VLOOKUP("LULUCF|NOx|Cardiovascular hospital admissions", US_national_yearly!$D:$AM, 10, FALSE), 1)</f>
        <v>5.935062274427579E-5</v>
      </c>
      <c r="N17" s="7">
        <f>$B17 * IFERROR(VLOOKUP("LULUCF|NOx|Cardiovascular hospital admissions", US_national_yearly!$D:$AM, 22, FALSE) / VLOOKUP("LULUCF|NOx|Cardiovascular hospital admissions", US_national_yearly!$D:$AM, 10, FALSE), 1)</f>
        <v>6.002551050932595E-5</v>
      </c>
      <c r="O17" s="7">
        <f>$B17 * IFERROR(VLOOKUP("LULUCF|NOx|Cardiovascular hospital admissions", US_national_yearly!$D:$AM, 23, FALSE) / VLOOKUP("LULUCF|NOx|Cardiovascular hospital admissions", US_national_yearly!$D:$AM, 10, FALSE), 1)</f>
        <v>6.0700398274376117E-5</v>
      </c>
      <c r="P17" s="7">
        <f>$B17 * IFERROR(VLOOKUP("LULUCF|NOx|Cardiovascular hospital admissions", US_national_yearly!$D:$AM, 24, FALSE) / VLOOKUP("LULUCF|NOx|Cardiovascular hospital admissions", US_national_yearly!$D:$AM, 10, FALSE), 1)</f>
        <v>6.1375286039426277E-5</v>
      </c>
      <c r="Q17" s="7">
        <f>$B17 * IFERROR(VLOOKUP("LULUCF|NOx|Cardiovascular hospital admissions", US_national_yearly!$D:$AM, 25, FALSE) / VLOOKUP("LULUCF|NOx|Cardiovascular hospital admissions", US_national_yearly!$D:$AM, 10, FALSE), 1)</f>
        <v>6.2050173804476444E-5</v>
      </c>
      <c r="R17" s="7">
        <f>$B17 * IFERROR(VLOOKUP("LULUCF|NOx|Cardiovascular hospital admissions", US_national_yearly!$D:$AM, 26, FALSE) / VLOOKUP("LULUCF|NOx|Cardiovascular hospital admissions", US_national_yearly!$D:$AM, 10, FALSE), 1)</f>
        <v>6.2725061569526611E-5</v>
      </c>
      <c r="S17" s="7">
        <f>$B17 * IFERROR(VLOOKUP("LULUCF|NOx|Cardiovascular hospital admissions", US_national_yearly!$D:$AM, 27, FALSE) / VLOOKUP("LULUCF|NOx|Cardiovascular hospital admissions", US_national_yearly!$D:$AM, 10, FALSE), 1)</f>
        <v>6.3032994323976551E-5</v>
      </c>
      <c r="T17" s="7">
        <f>$B17 * IFERROR(VLOOKUP("LULUCF|NOx|Cardiovascular hospital admissions", US_national_yearly!$D:$AM, 28, FALSE) / VLOOKUP("LULUCF|NOx|Cardiovascular hospital admissions", US_national_yearly!$D:$AM, 10, FALSE), 1)</f>
        <v>6.3340927078426492E-5</v>
      </c>
      <c r="U17" s="7">
        <f>$B17 * IFERROR(VLOOKUP("LULUCF|NOx|Cardiovascular hospital admissions", US_national_yearly!$D:$AM, 29, FALSE) / VLOOKUP("LULUCF|NOx|Cardiovascular hospital admissions", US_national_yearly!$D:$AM, 10, FALSE), 1)</f>
        <v>6.3648859832876432E-5</v>
      </c>
      <c r="V17" s="7">
        <f>$B17 * IFERROR(VLOOKUP("LULUCF|NOx|Cardiovascular hospital admissions", US_national_yearly!$D:$AM, 30, FALSE) / VLOOKUP("LULUCF|NOx|Cardiovascular hospital admissions", US_national_yearly!$D:$AM, 10, FALSE), 1)</f>
        <v>6.3956792587326373E-5</v>
      </c>
      <c r="W17" s="7">
        <f>$B17 * IFERROR(VLOOKUP("LULUCF|NOx|Cardiovascular hospital admissions", US_national_yearly!$D:$AM, 31, FALSE) / VLOOKUP("LULUCF|NOx|Cardiovascular hospital admissions", US_national_yearly!$D:$AM, 10, FALSE), 1)</f>
        <v>6.4264725341776313E-5</v>
      </c>
      <c r="X17" s="7">
        <f>$B17 * IFERROR(VLOOKUP("LULUCF|NOx|Cardiovascular hospital admissions", US_national_yearly!$D:$AM, 32, FALSE) / VLOOKUP("LULUCF|NOx|Cardiovascular hospital admissions", US_national_yearly!$D:$AM, 10, FALSE), 1)</f>
        <v>6.4436100595537709E-5</v>
      </c>
      <c r="Y17" s="7">
        <f>$B17 * IFERROR(VLOOKUP("LULUCF|NOx|Cardiovascular hospital admissions", US_national_yearly!$D:$AM, 33, FALSE) / VLOOKUP("LULUCF|NOx|Cardiovascular hospital admissions", US_national_yearly!$D:$AM, 10, FALSE), 1)</f>
        <v>6.4607475849299092E-5</v>
      </c>
      <c r="Z17" s="7">
        <f>$B17 * IFERROR(VLOOKUP("LULUCF|NOx|Cardiovascular hospital admissions", US_national_yearly!$D:$AM, 34, FALSE) / VLOOKUP("LULUCF|NOx|Cardiovascular hospital admissions", US_national_yearly!$D:$AM, 10, FALSE), 1)</f>
        <v>6.4778851103060488E-5</v>
      </c>
      <c r="AA17" s="7">
        <f>$B17 * IFERROR(VLOOKUP("LULUCF|NOx|Cardiovascular hospital admissions", US_national_yearly!$D:$AM, 35, FALSE) / VLOOKUP("LULUCF|NOx|Cardiovascular hospital admissions", US_national_yearly!$D:$AM, 10, FALSE), 1)</f>
        <v>6.495022635682187E-5</v>
      </c>
      <c r="AB17" s="7">
        <f>$B17 * IFERROR(VLOOKUP("LULUCF|NOx|Cardiovascular hospital admissions", US_national_yearly!$D:$AM, 36, FALSE) / VLOOKUP("LULUCF|NOx|Cardiovascular hospital admissions", US_national_yearly!$D:$AM, 10, FALSE), 1)</f>
        <v>6.5121601610583252E-5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6.0305590806650439E-4</v>
      </c>
      <c r="C2" s="7">
        <f>$B2 * IFERROR(VLOOKUP("LULUCF|SO2|Premature mortality", US_national_yearly!$D:$AM, 11, FALSE) / VLOOKUP("LULUCF|SO2|Premature mortality", US_national_yearly!$D:$AM, 10, FALSE), 1)</f>
        <v>6.1069328485006502E-4</v>
      </c>
      <c r="D2" s="7">
        <f>$B2 * IFERROR(VLOOKUP("LULUCF|SO2|Premature mortality", US_national_yearly!$D:$AM, 12, FALSE) / VLOOKUP("LULUCF|SO2|Premature mortality", US_national_yearly!$D:$AM, 10, FALSE), 1)</f>
        <v>6.1833066163362565E-4</v>
      </c>
      <c r="E2" s="7">
        <f>$B2 * IFERROR(VLOOKUP("LULUCF|SO2|Premature mortality", US_national_yearly!$D:$AM, 13, FALSE) / VLOOKUP("LULUCF|SO2|Premature mortality", US_national_yearly!$D:$AM, 10, FALSE), 1)</f>
        <v>6.2596803841718628E-4</v>
      </c>
      <c r="F2" s="7">
        <f>$B2 * IFERROR(VLOOKUP("LULUCF|SO2|Premature mortality", US_national_yearly!$D:$AM, 14, FALSE) / VLOOKUP("LULUCF|SO2|Premature mortality", US_national_yearly!$D:$AM, 10, FALSE), 1)</f>
        <v>6.3360541520074691E-4</v>
      </c>
      <c r="G2" s="7">
        <f>$B2 * IFERROR(VLOOKUP("LULUCF|SO2|Premature mortality", US_national_yearly!$D:$AM, 15, FALSE) / VLOOKUP("LULUCF|SO2|Premature mortality", US_national_yearly!$D:$AM, 10, FALSE), 1)</f>
        <v>6.4832220742310853E-4</v>
      </c>
      <c r="H2" s="7">
        <f>$B2 * IFERROR(VLOOKUP("LULUCF|SO2|Premature mortality", US_national_yearly!$D:$AM, 16, FALSE) / VLOOKUP("LULUCF|SO2|Premature mortality", US_national_yearly!$D:$AM, 10, FALSE), 1)</f>
        <v>6.6303899964547015E-4</v>
      </c>
      <c r="I2" s="7">
        <f>$B2 * IFERROR(VLOOKUP("LULUCF|SO2|Premature mortality", US_national_yearly!$D:$AM, 17, FALSE) / VLOOKUP("LULUCF|SO2|Premature mortality", US_national_yearly!$D:$AM, 10, FALSE), 1)</f>
        <v>6.7276475770301932E-4</v>
      </c>
      <c r="J2" s="7">
        <f>$B2 * IFERROR(VLOOKUP("LULUCF|SO2|Premature mortality", US_national_yearly!$D:$AM, 18, FALSE) / VLOOKUP("LULUCF|SO2|Premature mortality", US_national_yearly!$D:$AM, 10, FALSE), 1)</f>
        <v>6.8249051576056837E-4</v>
      </c>
      <c r="K2" s="7">
        <f>$B2 * IFERROR(VLOOKUP("LULUCF|SO2|Premature mortality", US_national_yearly!$D:$AM, 19, FALSE) / VLOOKUP("LULUCF|SO2|Premature mortality", US_national_yearly!$D:$AM, 10, FALSE), 1)</f>
        <v>6.9221627381811743E-4</v>
      </c>
      <c r="L2" s="7">
        <f>$B2 * IFERROR(VLOOKUP("LULUCF|SO2|Premature mortality", US_national_yearly!$D:$AM, 20, FALSE) / VLOOKUP("LULUCF|SO2|Premature mortality", US_national_yearly!$D:$AM, 10, FALSE), 1)</f>
        <v>7.019420318756666E-4</v>
      </c>
      <c r="M2" s="7">
        <f>$B2 * IFERROR(VLOOKUP("LULUCF|SO2|Premature mortality", US_national_yearly!$D:$AM, 21, FALSE) / VLOOKUP("LULUCF|SO2|Premature mortality", US_national_yearly!$D:$AM, 10, FALSE), 1)</f>
        <v>7.1166778993321566E-4</v>
      </c>
      <c r="N2" s="7">
        <f>$B2 * IFERROR(VLOOKUP("LULUCF|SO2|Premature mortality", US_national_yearly!$D:$AM, 22, FALSE) / VLOOKUP("LULUCF|SO2|Premature mortality", US_national_yearly!$D:$AM, 10, FALSE), 1)</f>
        <v>7.1926696972774806E-4</v>
      </c>
      <c r="O2" s="7">
        <f>$B2 * IFERROR(VLOOKUP("LULUCF|SO2|Premature mortality", US_national_yearly!$D:$AM, 23, FALSE) / VLOOKUP("LULUCF|SO2|Premature mortality", US_national_yearly!$D:$AM, 10, FALSE), 1)</f>
        <v>7.2686614952228046E-4</v>
      </c>
      <c r="P2" s="7">
        <f>$B2 * IFERROR(VLOOKUP("LULUCF|SO2|Premature mortality", US_national_yearly!$D:$AM, 24, FALSE) / VLOOKUP("LULUCF|SO2|Premature mortality", US_national_yearly!$D:$AM, 10, FALSE), 1)</f>
        <v>7.3446532931681287E-4</v>
      </c>
      <c r="Q2" s="7">
        <f>$B2 * IFERROR(VLOOKUP("LULUCF|SO2|Premature mortality", US_national_yearly!$D:$AM, 25, FALSE) / VLOOKUP("LULUCF|SO2|Premature mortality", US_national_yearly!$D:$AM, 10, FALSE), 1)</f>
        <v>7.4206450911134517E-4</v>
      </c>
      <c r="R2" s="7">
        <f>$B2 * IFERROR(VLOOKUP("LULUCF|SO2|Premature mortality", US_national_yearly!$D:$AM, 26, FALSE) / VLOOKUP("LULUCF|SO2|Premature mortality", US_national_yearly!$D:$AM, 10, FALSE), 1)</f>
        <v>7.4966368890587746E-4</v>
      </c>
      <c r="S2" s="7">
        <f>$B2 * IFERROR(VLOOKUP("LULUCF|SO2|Premature mortality", US_national_yearly!$D:$AM, 27, FALSE) / VLOOKUP("LULUCF|SO2|Premature mortality", US_national_yearly!$D:$AM, 10, FALSE), 1)</f>
        <v>7.5373315087044269E-4</v>
      </c>
      <c r="T2" s="7">
        <f>$B2 * IFERROR(VLOOKUP("LULUCF|SO2|Premature mortality", US_national_yearly!$D:$AM, 28, FALSE) / VLOOKUP("LULUCF|SO2|Premature mortality", US_national_yearly!$D:$AM, 10, FALSE), 1)</f>
        <v>7.578026128350077E-4</v>
      </c>
      <c r="U2" s="7">
        <f>$B2 * IFERROR(VLOOKUP("LULUCF|SO2|Premature mortality", US_national_yearly!$D:$AM, 29, FALSE) / VLOOKUP("LULUCF|SO2|Premature mortality", US_national_yearly!$D:$AM, 10, FALSE), 1)</f>
        <v>7.6187207479957281E-4</v>
      </c>
      <c r="V2" s="7">
        <f>$B2 * IFERROR(VLOOKUP("LULUCF|SO2|Premature mortality", US_national_yearly!$D:$AM, 30, FALSE) / VLOOKUP("LULUCF|SO2|Premature mortality", US_national_yearly!$D:$AM, 10, FALSE), 1)</f>
        <v>7.6594153676413793E-4</v>
      </c>
      <c r="W2" s="7">
        <f>$B2 * IFERROR(VLOOKUP("LULUCF|SO2|Premature mortality", US_national_yearly!$D:$AM, 31, FALSE) / VLOOKUP("LULUCF|SO2|Premature mortality", US_national_yearly!$D:$AM, 10, FALSE), 1)</f>
        <v>7.7001099872870305E-4</v>
      </c>
      <c r="X2" s="7">
        <f>$B2 * IFERROR(VLOOKUP("LULUCF|SO2|Premature mortality", US_national_yearly!$D:$AM, 32, FALSE) / VLOOKUP("LULUCF|SO2|Premature mortality", US_national_yearly!$D:$AM, 10, FALSE), 1)</f>
        <v>7.7083772237435252E-4</v>
      </c>
      <c r="Y2" s="7">
        <f>$B2 * IFERROR(VLOOKUP("LULUCF|SO2|Premature mortality", US_national_yearly!$D:$AM, 33, FALSE) / VLOOKUP("LULUCF|SO2|Premature mortality", US_national_yearly!$D:$AM, 10, FALSE), 1)</f>
        <v>7.716644460200021E-4</v>
      </c>
      <c r="Z2" s="7">
        <f>$B2 * IFERROR(VLOOKUP("LULUCF|SO2|Premature mortality", US_national_yearly!$D:$AM, 34, FALSE) / VLOOKUP("LULUCF|SO2|Premature mortality", US_national_yearly!$D:$AM, 10, FALSE), 1)</f>
        <v>7.7249116966565158E-4</v>
      </c>
      <c r="AA2" s="7">
        <f>$B2 * IFERROR(VLOOKUP("LULUCF|SO2|Premature mortality", US_national_yearly!$D:$AM, 35, FALSE) / VLOOKUP("LULUCF|SO2|Premature mortality", US_national_yearly!$D:$AM, 10, FALSE), 1)</f>
        <v>7.7331789331130116E-4</v>
      </c>
      <c r="AB2" s="7">
        <f>$B2 * IFERROR(VLOOKUP("LULUCF|SO2|Premature mortality", US_national_yearly!$D:$AM, 36, FALSE) / VLOOKUP("LULUCF|SO2|Premature mortality", US_national_yearly!$D:$AM, 10, FALSE), 1)</f>
        <v>7.7414461695695064E-4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1.170183175115164E-6</v>
      </c>
      <c r="C3" s="7">
        <f>$B3 * IFERROR(VLOOKUP("LULUCF|SO2|Infant mortality", US_national_yearly!$D:$AM, 11, FALSE) / VLOOKUP("LULUCF|SO2|Infant mortality", US_national_yearly!$D:$AM, 10, FALSE), 1)</f>
        <v>1.1601310881929946E-6</v>
      </c>
      <c r="D3" s="7">
        <f>$B3 * IFERROR(VLOOKUP("LULUCF|SO2|Infant mortality", US_national_yearly!$D:$AM, 12, FALSE) / VLOOKUP("LULUCF|SO2|Infant mortality", US_national_yearly!$D:$AM, 10, FALSE), 1)</f>
        <v>1.1500790012708252E-6</v>
      </c>
      <c r="E3" s="7">
        <f>$B3 * IFERROR(VLOOKUP("LULUCF|SO2|Infant mortality", US_national_yearly!$D:$AM, 13, FALSE) / VLOOKUP("LULUCF|SO2|Infant mortality", US_national_yearly!$D:$AM, 10, FALSE), 1)</f>
        <v>1.1400269143486556E-6</v>
      </c>
      <c r="F3" s="7">
        <f>$B3 * IFERROR(VLOOKUP("LULUCF|SO2|Infant mortality", US_national_yearly!$D:$AM, 14, FALSE) / VLOOKUP("LULUCF|SO2|Infant mortality", US_national_yearly!$D:$AM, 10, FALSE), 1)</f>
        <v>1.1299748274264862E-6</v>
      </c>
      <c r="G3" s="7">
        <f>$B3 * IFERROR(VLOOKUP("LULUCF|SO2|Infant mortality", US_national_yearly!$D:$AM, 15, FALSE) / VLOOKUP("LULUCF|SO2|Infant mortality", US_national_yearly!$D:$AM, 10, FALSE), 1)</f>
        <v>7.526542450247818E-7</v>
      </c>
      <c r="H3" s="7">
        <f>$B3 * IFERROR(VLOOKUP("LULUCF|SO2|Infant mortality", US_national_yearly!$D:$AM, 16, FALSE) / VLOOKUP("LULUCF|SO2|Infant mortality", US_national_yearly!$D:$AM, 10, FALSE), 1)</f>
        <v>3.7533366262307787E-7</v>
      </c>
      <c r="I3" s="7">
        <f>$B3 * IFERROR(VLOOKUP("LULUCF|SO2|Infant mortality", US_national_yearly!$D:$AM, 17, FALSE) / VLOOKUP("LULUCF|SO2|Infant mortality", US_national_yearly!$D:$AM, 10, FALSE), 1)</f>
        <v>3.7297908121640834E-7</v>
      </c>
      <c r="J3" s="7">
        <f>$B3 * IFERROR(VLOOKUP("LULUCF|SO2|Infant mortality", US_national_yearly!$D:$AM, 18, FALSE) / VLOOKUP("LULUCF|SO2|Infant mortality", US_national_yearly!$D:$AM, 10, FALSE), 1)</f>
        <v>3.7062449980973881E-7</v>
      </c>
      <c r="K3" s="7">
        <f>$B3 * IFERROR(VLOOKUP("LULUCF|SO2|Infant mortality", US_national_yearly!$D:$AM, 19, FALSE) / VLOOKUP("LULUCF|SO2|Infant mortality", US_national_yearly!$D:$AM, 10, FALSE), 1)</f>
        <v>3.6826991840306933E-7</v>
      </c>
      <c r="L3" s="7">
        <f>$B3 * IFERROR(VLOOKUP("LULUCF|SO2|Infant mortality", US_national_yearly!$D:$AM, 20, FALSE) / VLOOKUP("LULUCF|SO2|Infant mortality", US_national_yearly!$D:$AM, 10, FALSE), 1)</f>
        <v>3.6591533699639985E-7</v>
      </c>
      <c r="M3" s="7">
        <f>$B3 * IFERROR(VLOOKUP("LULUCF|SO2|Infant mortality", US_national_yearly!$D:$AM, 21, FALSE) / VLOOKUP("LULUCF|SO2|Infant mortality", US_national_yearly!$D:$AM, 10, FALSE), 1)</f>
        <v>3.6356075558973038E-7</v>
      </c>
      <c r="N3" s="7">
        <f>$B3 * IFERROR(VLOOKUP("LULUCF|SO2|Infant mortality", US_national_yearly!$D:$AM, 22, FALSE) / VLOOKUP("LULUCF|SO2|Infant mortality", US_national_yearly!$D:$AM, 10, FALSE), 1)</f>
        <v>3.6208280246871957E-7</v>
      </c>
      <c r="O3" s="7">
        <f>$B3 * IFERROR(VLOOKUP("LULUCF|SO2|Infant mortality", US_national_yearly!$D:$AM, 23, FALSE) / VLOOKUP("LULUCF|SO2|Infant mortality", US_national_yearly!$D:$AM, 10, FALSE), 1)</f>
        <v>3.6060484934770883E-7</v>
      </c>
      <c r="P3" s="7">
        <f>$B3 * IFERROR(VLOOKUP("LULUCF|SO2|Infant mortality", US_national_yearly!$D:$AM, 24, FALSE) / VLOOKUP("LULUCF|SO2|Infant mortality", US_national_yearly!$D:$AM, 10, FALSE), 1)</f>
        <v>3.5912689622669797E-7</v>
      </c>
      <c r="Q3" s="7">
        <f>$B3 * IFERROR(VLOOKUP("LULUCF|SO2|Infant mortality", US_national_yearly!$D:$AM, 25, FALSE) / VLOOKUP("LULUCF|SO2|Infant mortality", US_national_yearly!$D:$AM, 10, FALSE), 1)</f>
        <v>3.5764894310568722E-7</v>
      </c>
      <c r="R3" s="7">
        <f>$B3 * IFERROR(VLOOKUP("LULUCF|SO2|Infant mortality", US_national_yearly!$D:$AM, 26, FALSE) / VLOOKUP("LULUCF|SO2|Infant mortality", US_national_yearly!$D:$AM, 10, FALSE), 1)</f>
        <v>3.5617098998467636E-7</v>
      </c>
      <c r="S3" s="7">
        <f>$B3 * IFERROR(VLOOKUP("LULUCF|SO2|Infant mortality", US_national_yearly!$D:$AM, 27, FALSE) / VLOOKUP("LULUCF|SO2|Infant mortality", US_national_yearly!$D:$AM, 10, FALSE), 1)</f>
        <v>3.5431532980241587E-7</v>
      </c>
      <c r="T3" s="7">
        <f>$B3 * IFERROR(VLOOKUP("LULUCF|SO2|Infant mortality", US_national_yearly!$D:$AM, 28, FALSE) / VLOOKUP("LULUCF|SO2|Infant mortality", US_national_yearly!$D:$AM, 10, FALSE), 1)</f>
        <v>3.5245966962015537E-7</v>
      </c>
      <c r="U3" s="7">
        <f>$B3 * IFERROR(VLOOKUP("LULUCF|SO2|Infant mortality", US_national_yearly!$D:$AM, 29, FALSE) / VLOOKUP("LULUCF|SO2|Infant mortality", US_national_yearly!$D:$AM, 10, FALSE), 1)</f>
        <v>3.5060400943789471E-7</v>
      </c>
      <c r="V3" s="7">
        <f>$B3 * IFERROR(VLOOKUP("LULUCF|SO2|Infant mortality", US_national_yearly!$D:$AM, 30, FALSE) / VLOOKUP("LULUCF|SO2|Infant mortality", US_national_yearly!$D:$AM, 10, FALSE), 1)</f>
        <v>3.4874834925563422E-7</v>
      </c>
      <c r="W3" s="7">
        <f>$B3 * IFERROR(VLOOKUP("LULUCF|SO2|Infant mortality", US_national_yearly!$D:$AM, 31, FALSE) / VLOOKUP("LULUCF|SO2|Infant mortality", US_national_yearly!$D:$AM, 10, FALSE), 1)</f>
        <v>3.4689268907337366E-7</v>
      </c>
      <c r="X3" s="7">
        <f>$B3 * IFERROR(VLOOKUP("LULUCF|SO2|Infant mortality", US_national_yearly!$D:$AM, 32, FALSE) / VLOOKUP("LULUCF|SO2|Infant mortality", US_national_yearly!$D:$AM, 10, FALSE), 1)</f>
        <v>3.448638797036899E-7</v>
      </c>
      <c r="Y3" s="7">
        <f>$B3 * IFERROR(VLOOKUP("LULUCF|SO2|Infant mortality", US_national_yearly!$D:$AM, 33, FALSE) / VLOOKUP("LULUCF|SO2|Infant mortality", US_national_yearly!$D:$AM, 10, FALSE), 1)</f>
        <v>3.4283507033400603E-7</v>
      </c>
      <c r="Z3" s="7">
        <f>$B3 * IFERROR(VLOOKUP("LULUCF|SO2|Infant mortality", US_national_yearly!$D:$AM, 34, FALSE) / VLOOKUP("LULUCF|SO2|Infant mortality", US_national_yearly!$D:$AM, 10, FALSE), 1)</f>
        <v>3.4080626096432227E-7</v>
      </c>
      <c r="AA3" s="7">
        <f>$B3 * IFERROR(VLOOKUP("LULUCF|SO2|Infant mortality", US_national_yearly!$D:$AM, 35, FALSE) / VLOOKUP("LULUCF|SO2|Infant mortality", US_national_yearly!$D:$AM, 10, FALSE), 1)</f>
        <v>3.387774515946384E-7</v>
      </c>
      <c r="AB3" s="7">
        <f>$B3 * IFERROR(VLOOKUP("LULUCF|SO2|Infant mortality", US_national_yearly!$D:$AM, 36, FALSE) / VLOOKUP("LULUCF|SO2|Infant mortality", US_national_yearly!$D:$AM, 10, FALSE), 1)</f>
        <v>3.3674864222495463E-7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1.5913241447734151E-3</v>
      </c>
      <c r="C6" s="7">
        <f>$B6 * IFERROR(VLOOKUP("LULUCF|SO2|Asthma symptoms cough", US_national_yearly!$D:$AM, 11, FALSE) / VLOOKUP("LULUCF|SO2|Asthma symptoms cough", US_national_yearly!$D:$AM, 10, FALSE), 1)</f>
        <v>1.5913241447734151E-3</v>
      </c>
      <c r="D6" s="7">
        <f>$B6 * IFERROR(VLOOKUP("LULUCF|SO2|Asthma symptoms cough", US_national_yearly!$D:$AM, 12, FALSE) / VLOOKUP("LULUCF|SO2|Asthma symptoms cough", US_national_yearly!$D:$AM, 10, FALSE), 1)</f>
        <v>1.5913241447734151E-3</v>
      </c>
      <c r="E6" s="7">
        <f>$B6 * IFERROR(VLOOKUP("LULUCF|SO2|Asthma symptoms cough", US_national_yearly!$D:$AM, 13, FALSE) / VLOOKUP("LULUCF|SO2|Asthma symptoms cough", US_national_yearly!$D:$AM, 10, FALSE), 1)</f>
        <v>1.5913241447734151E-3</v>
      </c>
      <c r="F6" s="7">
        <f>$B6 * IFERROR(VLOOKUP("LULUCF|SO2|Asthma symptoms cough", US_national_yearly!$D:$AM, 14, FALSE) / VLOOKUP("LULUCF|SO2|Asthma symptoms cough", US_national_yearly!$D:$AM, 10, FALSE), 1)</f>
        <v>1.5913241447734151E-3</v>
      </c>
      <c r="G6" s="7">
        <f>$B6 * IFERROR(VLOOKUP("LULUCF|SO2|Asthma symptoms cough", US_national_yearly!$D:$AM, 15, FALSE) / VLOOKUP("LULUCF|SO2|Asthma symptoms cough", US_national_yearly!$D:$AM, 10, FALSE), 1)</f>
        <v>1.5913241447734151E-3</v>
      </c>
      <c r="H6" s="7">
        <f>$B6 * IFERROR(VLOOKUP("LULUCF|SO2|Asthma symptoms cough", US_national_yearly!$D:$AM, 16, FALSE) / VLOOKUP("LULUCF|SO2|Asthma symptoms cough", US_national_yearly!$D:$AM, 10, FALSE), 1)</f>
        <v>1.5913241447734151E-3</v>
      </c>
      <c r="I6" s="7">
        <f>$B6 * IFERROR(VLOOKUP("LULUCF|SO2|Asthma symptoms cough", US_national_yearly!$D:$AM, 17, FALSE) / VLOOKUP("LULUCF|SO2|Asthma symptoms cough", US_national_yearly!$D:$AM, 10, FALSE), 1)</f>
        <v>1.5913241447734151E-3</v>
      </c>
      <c r="J6" s="7">
        <f>$B6 * IFERROR(VLOOKUP("LULUCF|SO2|Asthma symptoms cough", US_national_yearly!$D:$AM, 18, FALSE) / VLOOKUP("LULUCF|SO2|Asthma symptoms cough", US_national_yearly!$D:$AM, 10, FALSE), 1)</f>
        <v>1.5913241447734151E-3</v>
      </c>
      <c r="K6" s="7">
        <f>$B6 * IFERROR(VLOOKUP("LULUCF|SO2|Asthma symptoms cough", US_national_yearly!$D:$AM, 19, FALSE) / VLOOKUP("LULUCF|SO2|Asthma symptoms cough", US_national_yearly!$D:$AM, 10, FALSE), 1)</f>
        <v>1.5913241447734151E-3</v>
      </c>
      <c r="L6" s="7">
        <f>$B6 * IFERROR(VLOOKUP("LULUCF|SO2|Asthma symptoms cough", US_national_yearly!$D:$AM, 20, FALSE) / VLOOKUP("LULUCF|SO2|Asthma symptoms cough", US_national_yearly!$D:$AM, 10, FALSE), 1)</f>
        <v>1.5913241447734151E-3</v>
      </c>
      <c r="M6" s="7">
        <f>$B6 * IFERROR(VLOOKUP("LULUCF|SO2|Asthma symptoms cough", US_national_yearly!$D:$AM, 21, FALSE) / VLOOKUP("LULUCF|SO2|Asthma symptoms cough", US_national_yearly!$D:$AM, 10, FALSE), 1)</f>
        <v>1.5913241447734151E-3</v>
      </c>
      <c r="N6" s="7">
        <f>$B6 * IFERROR(VLOOKUP("LULUCF|SO2|Asthma symptoms cough", US_national_yearly!$D:$AM, 22, FALSE) / VLOOKUP("LULUCF|SO2|Asthma symptoms cough", US_national_yearly!$D:$AM, 10, FALSE), 1)</f>
        <v>1.5913241447734151E-3</v>
      </c>
      <c r="O6" s="7">
        <f>$B6 * IFERROR(VLOOKUP("LULUCF|SO2|Asthma symptoms cough", US_national_yearly!$D:$AM, 23, FALSE) / VLOOKUP("LULUCF|SO2|Asthma symptoms cough", US_national_yearly!$D:$AM, 10, FALSE), 1)</f>
        <v>1.5913241447734151E-3</v>
      </c>
      <c r="P6" s="7">
        <f>$B6 * IFERROR(VLOOKUP("LULUCF|SO2|Asthma symptoms cough", US_national_yearly!$D:$AM, 24, FALSE) / VLOOKUP("LULUCF|SO2|Asthma symptoms cough", US_national_yearly!$D:$AM, 10, FALSE), 1)</f>
        <v>1.5913241447734151E-3</v>
      </c>
      <c r="Q6" s="7">
        <f>$B6 * IFERROR(VLOOKUP("LULUCF|SO2|Asthma symptoms cough", US_national_yearly!$D:$AM, 25, FALSE) / VLOOKUP("LULUCF|SO2|Asthma symptoms cough", US_national_yearly!$D:$AM, 10, FALSE), 1)</f>
        <v>1.5913241447734151E-3</v>
      </c>
      <c r="R6" s="7">
        <f>$B6 * IFERROR(VLOOKUP("LULUCF|SO2|Asthma symptoms cough", US_national_yearly!$D:$AM, 26, FALSE) / VLOOKUP("LULUCF|SO2|Asthma symptoms cough", US_national_yearly!$D:$AM, 10, FALSE), 1)</f>
        <v>1.5913241447734151E-3</v>
      </c>
      <c r="S6" s="7">
        <f>$B6 * IFERROR(VLOOKUP("LULUCF|SO2|Asthma symptoms cough", US_national_yearly!$D:$AM, 27, FALSE) / VLOOKUP("LULUCF|SO2|Asthma symptoms cough", US_national_yearly!$D:$AM, 10, FALSE), 1)</f>
        <v>1.5913241447734151E-3</v>
      </c>
      <c r="T6" s="7">
        <f>$B6 * IFERROR(VLOOKUP("LULUCF|SO2|Asthma symptoms cough", US_national_yearly!$D:$AM, 28, FALSE) / VLOOKUP("LULUCF|SO2|Asthma symptoms cough", US_national_yearly!$D:$AM, 10, FALSE), 1)</f>
        <v>1.5913241447734151E-3</v>
      </c>
      <c r="U6" s="7">
        <f>$B6 * IFERROR(VLOOKUP("LULUCF|SO2|Asthma symptoms cough", US_national_yearly!$D:$AM, 29, FALSE) / VLOOKUP("LULUCF|SO2|Asthma symptoms cough", US_national_yearly!$D:$AM, 10, FALSE), 1)</f>
        <v>1.5913241447734151E-3</v>
      </c>
      <c r="V6" s="7">
        <f>$B6 * IFERROR(VLOOKUP("LULUCF|SO2|Asthma symptoms cough", US_national_yearly!$D:$AM, 30, FALSE) / VLOOKUP("LULUCF|SO2|Asthma symptoms cough", US_national_yearly!$D:$AM, 10, FALSE), 1)</f>
        <v>1.5913241447734151E-3</v>
      </c>
      <c r="W6" s="7">
        <f>$B6 * IFERROR(VLOOKUP("LULUCF|SO2|Asthma symptoms cough", US_national_yearly!$D:$AM, 31, FALSE) / VLOOKUP("LULUCF|SO2|Asthma symptoms cough", US_national_yearly!$D:$AM, 10, FALSE), 1)</f>
        <v>1.5913241447734151E-3</v>
      </c>
      <c r="X6" s="7">
        <f>$B6 * IFERROR(VLOOKUP("LULUCF|SO2|Asthma symptoms cough", US_national_yearly!$D:$AM, 32, FALSE) / VLOOKUP("LULUCF|SO2|Asthma symptoms cough", US_national_yearly!$D:$AM, 10, FALSE), 1)</f>
        <v>1.5913241447734151E-3</v>
      </c>
      <c r="Y6" s="7">
        <f>$B6 * IFERROR(VLOOKUP("LULUCF|SO2|Asthma symptoms cough", US_national_yearly!$D:$AM, 33, FALSE) / VLOOKUP("LULUCF|SO2|Asthma symptoms cough", US_national_yearly!$D:$AM, 10, FALSE), 1)</f>
        <v>1.5913241447734151E-3</v>
      </c>
      <c r="Z6" s="7">
        <f>$B6 * IFERROR(VLOOKUP("LULUCF|SO2|Asthma symptoms cough", US_national_yearly!$D:$AM, 34, FALSE) / VLOOKUP("LULUCF|SO2|Asthma symptoms cough", US_national_yearly!$D:$AM, 10, FALSE), 1)</f>
        <v>1.5913241447734151E-3</v>
      </c>
      <c r="AA6" s="7">
        <f>$B6 * IFERROR(VLOOKUP("LULUCF|SO2|Asthma symptoms cough", US_national_yearly!$D:$AM, 35, FALSE) / VLOOKUP("LULUCF|SO2|Asthma symptoms cough", US_national_yearly!$D:$AM, 10, FALSE), 1)</f>
        <v>1.5913241447734151E-3</v>
      </c>
      <c r="AB6" s="7">
        <f>$B6 * IFERROR(VLOOKUP("LULUCF|SO2|Asthma symptoms cough", US_national_yearly!$D:$AM, 36, FALSE) / VLOOKUP("LULUCF|SO2|Asthma symptoms cough", US_national_yearly!$D:$AM, 10, FALSE), 1)</f>
        <v>1.5913241447734151E-3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2.1429354437387158E-3</v>
      </c>
      <c r="C7" s="7">
        <f>$B7 * IFERROR(VLOOKUP("LULUCF|SO2|Asthma symptoms shortness of breath", US_national_yearly!$D:$AM, 11, FALSE) / VLOOKUP("LULUCF|SO2|Asthma symptoms shortness of breath", US_national_yearly!$D:$AM, 10, FALSE), 1)</f>
        <v>2.1429354437387158E-3</v>
      </c>
      <c r="D7" s="7">
        <f>$B7 * IFERROR(VLOOKUP("LULUCF|SO2|Asthma symptoms shortness of breath", US_national_yearly!$D:$AM, 12, FALSE) / VLOOKUP("LULUCF|SO2|Asthma symptoms shortness of breath", US_national_yearly!$D:$AM, 10, FALSE), 1)</f>
        <v>2.1429354437387158E-3</v>
      </c>
      <c r="E7" s="7">
        <f>$B7 * IFERROR(VLOOKUP("LULUCF|SO2|Asthma symptoms shortness of breath", US_national_yearly!$D:$AM, 13, FALSE) / VLOOKUP("LULUCF|SO2|Asthma symptoms shortness of breath", US_national_yearly!$D:$AM, 10, FALSE), 1)</f>
        <v>2.1429354437387158E-3</v>
      </c>
      <c r="F7" s="7">
        <f>$B7 * IFERROR(VLOOKUP("LULUCF|SO2|Asthma symptoms shortness of breath", US_national_yearly!$D:$AM, 14, FALSE) / VLOOKUP("LULUCF|SO2|Asthma symptoms shortness of breath", US_national_yearly!$D:$AM, 10, FALSE), 1)</f>
        <v>2.1429354437387158E-3</v>
      </c>
      <c r="G7" s="7">
        <f>$B7 * IFERROR(VLOOKUP("LULUCF|SO2|Asthma symptoms shortness of breath", US_national_yearly!$D:$AM, 15, FALSE) / VLOOKUP("LULUCF|SO2|Asthma symptoms shortness of breath", US_national_yearly!$D:$AM, 10, FALSE), 1)</f>
        <v>2.1429354437387158E-3</v>
      </c>
      <c r="H7" s="7">
        <f>$B7 * IFERROR(VLOOKUP("LULUCF|SO2|Asthma symptoms shortness of breath", US_national_yearly!$D:$AM, 16, FALSE) / VLOOKUP("LULUCF|SO2|Asthma symptoms shortness of breath", US_national_yearly!$D:$AM, 10, FALSE), 1)</f>
        <v>2.1429354437387158E-3</v>
      </c>
      <c r="I7" s="7">
        <f>$B7 * IFERROR(VLOOKUP("LULUCF|SO2|Asthma symptoms shortness of breath", US_national_yearly!$D:$AM, 17, FALSE) / VLOOKUP("LULUCF|SO2|Asthma symptoms shortness of breath", US_national_yearly!$D:$AM, 10, FALSE), 1)</f>
        <v>2.1429354437387158E-3</v>
      </c>
      <c r="J7" s="7">
        <f>$B7 * IFERROR(VLOOKUP("LULUCF|SO2|Asthma symptoms shortness of breath", US_national_yearly!$D:$AM, 18, FALSE) / VLOOKUP("LULUCF|SO2|Asthma symptoms shortness of breath", US_national_yearly!$D:$AM, 10, FALSE), 1)</f>
        <v>2.1429354437387158E-3</v>
      </c>
      <c r="K7" s="7">
        <f>$B7 * IFERROR(VLOOKUP("LULUCF|SO2|Asthma symptoms shortness of breath", US_national_yearly!$D:$AM, 19, FALSE) / VLOOKUP("LULUCF|SO2|Asthma symptoms shortness of breath", US_national_yearly!$D:$AM, 10, FALSE), 1)</f>
        <v>2.1429354437387158E-3</v>
      </c>
      <c r="L7" s="7">
        <f>$B7 * IFERROR(VLOOKUP("LULUCF|SO2|Asthma symptoms shortness of breath", US_national_yearly!$D:$AM, 20, FALSE) / VLOOKUP("LULUCF|SO2|Asthma symptoms shortness of breath", US_national_yearly!$D:$AM, 10, FALSE), 1)</f>
        <v>2.1429354437387158E-3</v>
      </c>
      <c r="M7" s="7">
        <f>$B7 * IFERROR(VLOOKUP("LULUCF|SO2|Asthma symptoms shortness of breath", US_national_yearly!$D:$AM, 21, FALSE) / VLOOKUP("LULUCF|SO2|Asthma symptoms shortness of breath", US_national_yearly!$D:$AM, 10, FALSE), 1)</f>
        <v>2.1429354437387158E-3</v>
      </c>
      <c r="N7" s="7">
        <f>$B7 * IFERROR(VLOOKUP("LULUCF|SO2|Asthma symptoms shortness of breath", US_national_yearly!$D:$AM, 22, FALSE) / VLOOKUP("LULUCF|SO2|Asthma symptoms shortness of breath", US_national_yearly!$D:$AM, 10, FALSE), 1)</f>
        <v>2.1429354437387158E-3</v>
      </c>
      <c r="O7" s="7">
        <f>$B7 * IFERROR(VLOOKUP("LULUCF|SO2|Asthma symptoms shortness of breath", US_national_yearly!$D:$AM, 23, FALSE) / VLOOKUP("LULUCF|SO2|Asthma symptoms shortness of breath", US_national_yearly!$D:$AM, 10, FALSE), 1)</f>
        <v>2.1429354437387158E-3</v>
      </c>
      <c r="P7" s="7">
        <f>$B7 * IFERROR(VLOOKUP("LULUCF|SO2|Asthma symptoms shortness of breath", US_national_yearly!$D:$AM, 24, FALSE) / VLOOKUP("LULUCF|SO2|Asthma symptoms shortness of breath", US_national_yearly!$D:$AM, 10, FALSE), 1)</f>
        <v>2.1429354437387158E-3</v>
      </c>
      <c r="Q7" s="7">
        <f>$B7 * IFERROR(VLOOKUP("LULUCF|SO2|Asthma symptoms shortness of breath", US_national_yearly!$D:$AM, 25, FALSE) / VLOOKUP("LULUCF|SO2|Asthma symptoms shortness of breath", US_national_yearly!$D:$AM, 10, FALSE), 1)</f>
        <v>2.1429354437387158E-3</v>
      </c>
      <c r="R7" s="7">
        <f>$B7 * IFERROR(VLOOKUP("LULUCF|SO2|Asthma symptoms shortness of breath", US_national_yearly!$D:$AM, 26, FALSE) / VLOOKUP("LULUCF|SO2|Asthma symptoms shortness of breath", US_national_yearly!$D:$AM, 10, FALSE), 1)</f>
        <v>2.1429354437387158E-3</v>
      </c>
      <c r="S7" s="7">
        <f>$B7 * IFERROR(VLOOKUP("LULUCF|SO2|Asthma symptoms shortness of breath", US_national_yearly!$D:$AM, 27, FALSE) / VLOOKUP("LULUCF|SO2|Asthma symptoms shortness of breath", US_national_yearly!$D:$AM, 10, FALSE), 1)</f>
        <v>2.1429354437387158E-3</v>
      </c>
      <c r="T7" s="7">
        <f>$B7 * IFERROR(VLOOKUP("LULUCF|SO2|Asthma symptoms shortness of breath", US_national_yearly!$D:$AM, 28, FALSE) / VLOOKUP("LULUCF|SO2|Asthma symptoms shortness of breath", US_national_yearly!$D:$AM, 10, FALSE), 1)</f>
        <v>2.1429354437387158E-3</v>
      </c>
      <c r="U7" s="7">
        <f>$B7 * IFERROR(VLOOKUP("LULUCF|SO2|Asthma symptoms shortness of breath", US_national_yearly!$D:$AM, 29, FALSE) / VLOOKUP("LULUCF|SO2|Asthma symptoms shortness of breath", US_national_yearly!$D:$AM, 10, FALSE), 1)</f>
        <v>2.1429354437387158E-3</v>
      </c>
      <c r="V7" s="7">
        <f>$B7 * IFERROR(VLOOKUP("LULUCF|SO2|Asthma symptoms shortness of breath", US_national_yearly!$D:$AM, 30, FALSE) / VLOOKUP("LULUCF|SO2|Asthma symptoms shortness of breath", US_national_yearly!$D:$AM, 10, FALSE), 1)</f>
        <v>2.1429354437387158E-3</v>
      </c>
      <c r="W7" s="7">
        <f>$B7 * IFERROR(VLOOKUP("LULUCF|SO2|Asthma symptoms shortness of breath", US_national_yearly!$D:$AM, 31, FALSE) / VLOOKUP("LULUCF|SO2|Asthma symptoms shortness of breath", US_national_yearly!$D:$AM, 10, FALSE), 1)</f>
        <v>2.1429354437387158E-3</v>
      </c>
      <c r="X7" s="7">
        <f>$B7 * IFERROR(VLOOKUP("LULUCF|SO2|Asthma symptoms shortness of breath", US_national_yearly!$D:$AM, 32, FALSE) / VLOOKUP("LULUCF|SO2|Asthma symptoms shortness of breath", US_national_yearly!$D:$AM, 10, FALSE), 1)</f>
        <v>2.1429354437387158E-3</v>
      </c>
      <c r="Y7" s="7">
        <f>$B7 * IFERROR(VLOOKUP("LULUCF|SO2|Asthma symptoms shortness of breath", US_national_yearly!$D:$AM, 33, FALSE) / VLOOKUP("LULUCF|SO2|Asthma symptoms shortness of breath", US_national_yearly!$D:$AM, 10, FALSE), 1)</f>
        <v>2.1429354437387158E-3</v>
      </c>
      <c r="Z7" s="7">
        <f>$B7 * IFERROR(VLOOKUP("LULUCF|SO2|Asthma symptoms shortness of breath", US_national_yearly!$D:$AM, 34, FALSE) / VLOOKUP("LULUCF|SO2|Asthma symptoms shortness of breath", US_national_yearly!$D:$AM, 10, FALSE), 1)</f>
        <v>2.1429354437387158E-3</v>
      </c>
      <c r="AA7" s="7">
        <f>$B7 * IFERROR(VLOOKUP("LULUCF|SO2|Asthma symptoms shortness of breath", US_national_yearly!$D:$AM, 35, FALSE) / VLOOKUP("LULUCF|SO2|Asthma symptoms shortness of breath", US_national_yearly!$D:$AM, 10, FALSE), 1)</f>
        <v>2.1429354437387158E-3</v>
      </c>
      <c r="AB7" s="7">
        <f>$B7 * IFERROR(VLOOKUP("LULUCF|SO2|Asthma symptoms shortness of breath", US_national_yearly!$D:$AM, 36, FALSE) / VLOOKUP("LULUCF|SO2|Asthma symptoms shortness of breath", US_national_yearly!$D:$AM, 10, FALSE), 1)</f>
        <v>2.1429354437387158E-3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3.2740900615224537E-3</v>
      </c>
      <c r="C8" s="7">
        <f>$B8 * IFERROR(VLOOKUP("LULUCF|SO2|Asthma symptoms wheeze", US_national_yearly!$D:$AM, 11, FALSE) / VLOOKUP("LULUCF|SO2|Asthma symptoms wheeze", US_national_yearly!$D:$AM, 10, FALSE), 1)</f>
        <v>3.2740900615224537E-3</v>
      </c>
      <c r="D8" s="7">
        <f>$B8 * IFERROR(VLOOKUP("LULUCF|SO2|Asthma symptoms wheeze", US_national_yearly!$D:$AM, 12, FALSE) / VLOOKUP("LULUCF|SO2|Asthma symptoms wheeze", US_national_yearly!$D:$AM, 10, FALSE), 1)</f>
        <v>3.2740900615224537E-3</v>
      </c>
      <c r="E8" s="7">
        <f>$B8 * IFERROR(VLOOKUP("LULUCF|SO2|Asthma symptoms wheeze", US_national_yearly!$D:$AM, 13, FALSE) / VLOOKUP("LULUCF|SO2|Asthma symptoms wheeze", US_national_yearly!$D:$AM, 10, FALSE), 1)</f>
        <v>3.2740900615224537E-3</v>
      </c>
      <c r="F8" s="7">
        <f>$B8 * IFERROR(VLOOKUP("LULUCF|SO2|Asthma symptoms wheeze", US_national_yearly!$D:$AM, 14, FALSE) / VLOOKUP("LULUCF|SO2|Asthma symptoms wheeze", US_national_yearly!$D:$AM, 10, FALSE), 1)</f>
        <v>3.2740900615224537E-3</v>
      </c>
      <c r="G8" s="7">
        <f>$B8 * IFERROR(VLOOKUP("LULUCF|SO2|Asthma symptoms wheeze", US_national_yearly!$D:$AM, 15, FALSE) / VLOOKUP("LULUCF|SO2|Asthma symptoms wheeze", US_national_yearly!$D:$AM, 10, FALSE), 1)</f>
        <v>3.2740900615224537E-3</v>
      </c>
      <c r="H8" s="7">
        <f>$B8 * IFERROR(VLOOKUP("LULUCF|SO2|Asthma symptoms wheeze", US_national_yearly!$D:$AM, 16, FALSE) / VLOOKUP("LULUCF|SO2|Asthma symptoms wheeze", US_national_yearly!$D:$AM, 10, FALSE), 1)</f>
        <v>3.2740900615224537E-3</v>
      </c>
      <c r="I8" s="7">
        <f>$B8 * IFERROR(VLOOKUP("LULUCF|SO2|Asthma symptoms wheeze", US_national_yearly!$D:$AM, 17, FALSE) / VLOOKUP("LULUCF|SO2|Asthma symptoms wheeze", US_national_yearly!$D:$AM, 10, FALSE), 1)</f>
        <v>3.2740900615224537E-3</v>
      </c>
      <c r="J8" s="7">
        <f>$B8 * IFERROR(VLOOKUP("LULUCF|SO2|Asthma symptoms wheeze", US_national_yearly!$D:$AM, 18, FALSE) / VLOOKUP("LULUCF|SO2|Asthma symptoms wheeze", US_national_yearly!$D:$AM, 10, FALSE), 1)</f>
        <v>3.2740900615224537E-3</v>
      </c>
      <c r="K8" s="7">
        <f>$B8 * IFERROR(VLOOKUP("LULUCF|SO2|Asthma symptoms wheeze", US_national_yearly!$D:$AM, 19, FALSE) / VLOOKUP("LULUCF|SO2|Asthma symptoms wheeze", US_national_yearly!$D:$AM, 10, FALSE), 1)</f>
        <v>3.2740900615224537E-3</v>
      </c>
      <c r="L8" s="7">
        <f>$B8 * IFERROR(VLOOKUP("LULUCF|SO2|Asthma symptoms wheeze", US_national_yearly!$D:$AM, 20, FALSE) / VLOOKUP("LULUCF|SO2|Asthma symptoms wheeze", US_national_yearly!$D:$AM, 10, FALSE), 1)</f>
        <v>3.2740900615224537E-3</v>
      </c>
      <c r="M8" s="7">
        <f>$B8 * IFERROR(VLOOKUP("LULUCF|SO2|Asthma symptoms wheeze", US_national_yearly!$D:$AM, 21, FALSE) / VLOOKUP("LULUCF|SO2|Asthma symptoms wheeze", US_national_yearly!$D:$AM, 10, FALSE), 1)</f>
        <v>3.2740900615224537E-3</v>
      </c>
      <c r="N8" s="7">
        <f>$B8 * IFERROR(VLOOKUP("LULUCF|SO2|Asthma symptoms wheeze", US_national_yearly!$D:$AM, 22, FALSE) / VLOOKUP("LULUCF|SO2|Asthma symptoms wheeze", US_national_yearly!$D:$AM, 10, FALSE), 1)</f>
        <v>3.2740900615224537E-3</v>
      </c>
      <c r="O8" s="7">
        <f>$B8 * IFERROR(VLOOKUP("LULUCF|SO2|Asthma symptoms wheeze", US_national_yearly!$D:$AM, 23, FALSE) / VLOOKUP("LULUCF|SO2|Asthma symptoms wheeze", US_national_yearly!$D:$AM, 10, FALSE), 1)</f>
        <v>3.2740900615224537E-3</v>
      </c>
      <c r="P8" s="7">
        <f>$B8 * IFERROR(VLOOKUP("LULUCF|SO2|Asthma symptoms wheeze", US_national_yearly!$D:$AM, 24, FALSE) / VLOOKUP("LULUCF|SO2|Asthma symptoms wheeze", US_national_yearly!$D:$AM, 10, FALSE), 1)</f>
        <v>3.2740900615224537E-3</v>
      </c>
      <c r="Q8" s="7">
        <f>$B8 * IFERROR(VLOOKUP("LULUCF|SO2|Asthma symptoms wheeze", US_national_yearly!$D:$AM, 25, FALSE) / VLOOKUP("LULUCF|SO2|Asthma symptoms wheeze", US_national_yearly!$D:$AM, 10, FALSE), 1)</f>
        <v>3.2740900615224537E-3</v>
      </c>
      <c r="R8" s="7">
        <f>$B8 * IFERROR(VLOOKUP("LULUCF|SO2|Asthma symptoms wheeze", US_national_yearly!$D:$AM, 26, FALSE) / VLOOKUP("LULUCF|SO2|Asthma symptoms wheeze", US_national_yearly!$D:$AM, 10, FALSE), 1)</f>
        <v>3.2740900615224537E-3</v>
      </c>
      <c r="S8" s="7">
        <f>$B8 * IFERROR(VLOOKUP("LULUCF|SO2|Asthma symptoms wheeze", US_national_yearly!$D:$AM, 27, FALSE) / VLOOKUP("LULUCF|SO2|Asthma symptoms wheeze", US_national_yearly!$D:$AM, 10, FALSE), 1)</f>
        <v>3.2740900615224537E-3</v>
      </c>
      <c r="T8" s="7">
        <f>$B8 * IFERROR(VLOOKUP("LULUCF|SO2|Asthma symptoms wheeze", US_national_yearly!$D:$AM, 28, FALSE) / VLOOKUP("LULUCF|SO2|Asthma symptoms wheeze", US_national_yearly!$D:$AM, 10, FALSE), 1)</f>
        <v>3.2740900615224537E-3</v>
      </c>
      <c r="U8" s="7">
        <f>$B8 * IFERROR(VLOOKUP("LULUCF|SO2|Asthma symptoms wheeze", US_national_yearly!$D:$AM, 29, FALSE) / VLOOKUP("LULUCF|SO2|Asthma symptoms wheeze", US_national_yearly!$D:$AM, 10, FALSE), 1)</f>
        <v>3.2740900615224537E-3</v>
      </c>
      <c r="V8" s="7">
        <f>$B8 * IFERROR(VLOOKUP("LULUCF|SO2|Asthma symptoms wheeze", US_national_yearly!$D:$AM, 30, FALSE) / VLOOKUP("LULUCF|SO2|Asthma symptoms wheeze", US_national_yearly!$D:$AM, 10, FALSE), 1)</f>
        <v>3.2740900615224537E-3</v>
      </c>
      <c r="W8" s="7">
        <f>$B8 * IFERROR(VLOOKUP("LULUCF|SO2|Asthma symptoms wheeze", US_national_yearly!$D:$AM, 31, FALSE) / VLOOKUP("LULUCF|SO2|Asthma symptoms wheeze", US_national_yearly!$D:$AM, 10, FALSE), 1)</f>
        <v>3.2740900615224537E-3</v>
      </c>
      <c r="X8" s="7">
        <f>$B8 * IFERROR(VLOOKUP("LULUCF|SO2|Asthma symptoms wheeze", US_national_yearly!$D:$AM, 32, FALSE) / VLOOKUP("LULUCF|SO2|Asthma symptoms wheeze", US_national_yearly!$D:$AM, 10, FALSE), 1)</f>
        <v>3.2740900615224537E-3</v>
      </c>
      <c r="Y8" s="7">
        <f>$B8 * IFERROR(VLOOKUP("LULUCF|SO2|Asthma symptoms wheeze", US_national_yearly!$D:$AM, 33, FALSE) / VLOOKUP("LULUCF|SO2|Asthma symptoms wheeze", US_national_yearly!$D:$AM, 10, FALSE), 1)</f>
        <v>3.2740900615224537E-3</v>
      </c>
      <c r="Z8" s="7">
        <f>$B8 * IFERROR(VLOOKUP("LULUCF|SO2|Asthma symptoms wheeze", US_national_yearly!$D:$AM, 34, FALSE) / VLOOKUP("LULUCF|SO2|Asthma symptoms wheeze", US_national_yearly!$D:$AM, 10, FALSE), 1)</f>
        <v>3.2740900615224537E-3</v>
      </c>
      <c r="AA8" s="7">
        <f>$B8 * IFERROR(VLOOKUP("LULUCF|SO2|Asthma symptoms wheeze", US_national_yearly!$D:$AM, 35, FALSE) / VLOOKUP("LULUCF|SO2|Asthma symptoms wheeze", US_national_yearly!$D:$AM, 10, FALSE), 1)</f>
        <v>3.2740900615224537E-3</v>
      </c>
      <c r="AB8" s="7">
        <f>$B8 * IFERROR(VLOOKUP("LULUCF|SO2|Asthma symptoms wheeze", US_national_yearly!$D:$AM, 36, FALSE) / VLOOKUP("LULUCF|SO2|Asthma symptoms wheeze", US_national_yearly!$D:$AM, 10, FALSE), 1)</f>
        <v>3.2740900615224537E-3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3.412783774651488E-5</v>
      </c>
      <c r="C12" s="7">
        <f>$B12 * IFERROR(VLOOKUP("LULUCF|SO2|Respiratory hospital admissions", US_national_yearly!$D:$AM, 11, FALSE) / VLOOKUP("LULUCF|SO2|Respiratory hospital admissions", US_national_yearly!$D:$AM, 10, FALSE), 1)</f>
        <v>3.4329125429523291E-5</v>
      </c>
      <c r="D12" s="7">
        <f>$B12 * IFERROR(VLOOKUP("LULUCF|SO2|Respiratory hospital admissions", US_national_yearly!$D:$AM, 12, FALSE) / VLOOKUP("LULUCF|SO2|Respiratory hospital admissions", US_national_yearly!$D:$AM, 10, FALSE), 1)</f>
        <v>3.4530413112531701E-5</v>
      </c>
      <c r="E12" s="7">
        <f>$B12 * IFERROR(VLOOKUP("LULUCF|SO2|Respiratory hospital admissions", US_national_yearly!$D:$AM, 13, FALSE) / VLOOKUP("LULUCF|SO2|Respiratory hospital admissions", US_national_yearly!$D:$AM, 10, FALSE), 1)</f>
        <v>3.4731700795540112E-5</v>
      </c>
      <c r="F12" s="7">
        <f>$B12 * IFERROR(VLOOKUP("LULUCF|SO2|Respiratory hospital admissions", US_national_yearly!$D:$AM, 14, FALSE) / VLOOKUP("LULUCF|SO2|Respiratory hospital admissions", US_national_yearly!$D:$AM, 10, FALSE), 1)</f>
        <v>3.4932988478548522E-5</v>
      </c>
      <c r="G12" s="7">
        <f>$B12 * IFERROR(VLOOKUP("LULUCF|SO2|Respiratory hospital admissions", US_national_yearly!$D:$AM, 15, FALSE) / VLOOKUP("LULUCF|SO2|Respiratory hospital admissions", US_national_yearly!$D:$AM, 10, FALSE), 1)</f>
        <v>3.5152426004421414E-5</v>
      </c>
      <c r="H12" s="7">
        <f>$B12 * IFERROR(VLOOKUP("LULUCF|SO2|Respiratory hospital admissions", US_national_yearly!$D:$AM, 16, FALSE) / VLOOKUP("LULUCF|SO2|Respiratory hospital admissions", US_national_yearly!$D:$AM, 10, FALSE), 1)</f>
        <v>3.5371863530294299E-5</v>
      </c>
      <c r="I12" s="7">
        <f>$B12 * IFERROR(VLOOKUP("LULUCF|SO2|Respiratory hospital admissions", US_national_yearly!$D:$AM, 17, FALSE) / VLOOKUP("LULUCF|SO2|Respiratory hospital admissions", US_national_yearly!$D:$AM, 10, FALSE), 1)</f>
        <v>3.5588255057943182E-5</v>
      </c>
      <c r="J12" s="7">
        <f>$B12 * IFERROR(VLOOKUP("LULUCF|SO2|Respiratory hospital admissions", US_national_yearly!$D:$AM, 18, FALSE) / VLOOKUP("LULUCF|SO2|Respiratory hospital admissions", US_national_yearly!$D:$AM, 10, FALSE), 1)</f>
        <v>3.5804646585592073E-5</v>
      </c>
      <c r="K12" s="7">
        <f>$B12 * IFERROR(VLOOKUP("LULUCF|SO2|Respiratory hospital admissions", US_national_yearly!$D:$AM, 19, FALSE) / VLOOKUP("LULUCF|SO2|Respiratory hospital admissions", US_national_yearly!$D:$AM, 10, FALSE), 1)</f>
        <v>3.602103811324095E-5</v>
      </c>
      <c r="L12" s="7">
        <f>$B12 * IFERROR(VLOOKUP("LULUCF|SO2|Respiratory hospital admissions", US_national_yearly!$D:$AM, 20, FALSE) / VLOOKUP("LULUCF|SO2|Respiratory hospital admissions", US_national_yearly!$D:$AM, 10, FALSE), 1)</f>
        <v>3.6237429640889833E-5</v>
      </c>
      <c r="M12" s="7">
        <f>$B12 * IFERROR(VLOOKUP("LULUCF|SO2|Respiratory hospital admissions", US_national_yearly!$D:$AM, 21, FALSE) / VLOOKUP("LULUCF|SO2|Respiratory hospital admissions", US_national_yearly!$D:$AM, 10, FALSE), 1)</f>
        <v>3.645382116853871E-5</v>
      </c>
      <c r="N12" s="7">
        <f>$B12 * IFERROR(VLOOKUP("LULUCF|SO2|Respiratory hospital admissions", US_national_yearly!$D:$AM, 22, FALSE) / VLOOKUP("LULUCF|SO2|Respiratory hospital admissions", US_national_yearly!$D:$AM, 10, FALSE), 1)</f>
        <v>3.6611780304019389E-5</v>
      </c>
      <c r="O12" s="7">
        <f>$B12 * IFERROR(VLOOKUP("LULUCF|SO2|Respiratory hospital admissions", US_national_yearly!$D:$AM, 23, FALSE) / VLOOKUP("LULUCF|SO2|Respiratory hospital admissions", US_national_yearly!$D:$AM, 10, FALSE), 1)</f>
        <v>3.6769739439500068E-5</v>
      </c>
      <c r="P12" s="7">
        <f>$B12 * IFERROR(VLOOKUP("LULUCF|SO2|Respiratory hospital admissions", US_national_yearly!$D:$AM, 24, FALSE) / VLOOKUP("LULUCF|SO2|Respiratory hospital admissions", US_national_yearly!$D:$AM, 10, FALSE), 1)</f>
        <v>3.692769857498074E-5</v>
      </c>
      <c r="Q12" s="7">
        <f>$B12 * IFERROR(VLOOKUP("LULUCF|SO2|Respiratory hospital admissions", US_national_yearly!$D:$AM, 25, FALSE) / VLOOKUP("LULUCF|SO2|Respiratory hospital admissions", US_national_yearly!$D:$AM, 10, FALSE), 1)</f>
        <v>3.7085657710461419E-5</v>
      </c>
      <c r="R12" s="7">
        <f>$B12 * IFERROR(VLOOKUP("LULUCF|SO2|Respiratory hospital admissions", US_national_yearly!$D:$AM, 26, FALSE) / VLOOKUP("LULUCF|SO2|Respiratory hospital admissions", US_national_yearly!$D:$AM, 10, FALSE), 1)</f>
        <v>3.7243616845942098E-5</v>
      </c>
      <c r="S12" s="7">
        <f>$B12 * IFERROR(VLOOKUP("LULUCF|SO2|Respiratory hospital admissions", US_national_yearly!$D:$AM, 27, FALSE) / VLOOKUP("LULUCF|SO2|Respiratory hospital admissions", US_national_yearly!$D:$AM, 10, FALSE), 1)</f>
        <v>3.7394297808568524E-5</v>
      </c>
      <c r="T12" s="7">
        <f>$B12 * IFERROR(VLOOKUP("LULUCF|SO2|Respiratory hospital admissions", US_national_yearly!$D:$AM, 28, FALSE) / VLOOKUP("LULUCF|SO2|Respiratory hospital admissions", US_national_yearly!$D:$AM, 10, FALSE), 1)</f>
        <v>3.754497877119495E-5</v>
      </c>
      <c r="U12" s="7">
        <f>$B12 * IFERROR(VLOOKUP("LULUCF|SO2|Respiratory hospital admissions", US_national_yearly!$D:$AM, 29, FALSE) / VLOOKUP("LULUCF|SO2|Respiratory hospital admissions", US_national_yearly!$D:$AM, 10, FALSE), 1)</f>
        <v>3.7695659733821376E-5</v>
      </c>
      <c r="V12" s="7">
        <f>$B12 * IFERROR(VLOOKUP("LULUCF|SO2|Respiratory hospital admissions", US_national_yearly!$D:$AM, 30, FALSE) / VLOOKUP("LULUCF|SO2|Respiratory hospital admissions", US_national_yearly!$D:$AM, 10, FALSE), 1)</f>
        <v>3.7846340696447809E-5</v>
      </c>
      <c r="W12" s="7">
        <f>$B12 * IFERROR(VLOOKUP("LULUCF|SO2|Respiratory hospital admissions", US_national_yearly!$D:$AM, 31, FALSE) / VLOOKUP("LULUCF|SO2|Respiratory hospital admissions", US_national_yearly!$D:$AM, 10, FALSE), 1)</f>
        <v>3.7997021659074242E-5</v>
      </c>
      <c r="X12" s="7">
        <f>$B12 * IFERROR(VLOOKUP("LULUCF|SO2|Respiratory hospital admissions", US_national_yearly!$D:$AM, 32, FALSE) / VLOOKUP("LULUCF|SO2|Respiratory hospital admissions", US_national_yearly!$D:$AM, 10, FALSE), 1)</f>
        <v>3.8139993153732616E-5</v>
      </c>
      <c r="Y12" s="7">
        <f>$B12 * IFERROR(VLOOKUP("LULUCF|SO2|Respiratory hospital admissions", US_national_yearly!$D:$AM, 33, FALSE) / VLOOKUP("LULUCF|SO2|Respiratory hospital admissions", US_national_yearly!$D:$AM, 10, FALSE), 1)</f>
        <v>3.8282964648390989E-5</v>
      </c>
      <c r="Z12" s="7">
        <f>$B12 * IFERROR(VLOOKUP("LULUCF|SO2|Respiratory hospital admissions", US_national_yearly!$D:$AM, 34, FALSE) / VLOOKUP("LULUCF|SO2|Respiratory hospital admissions", US_national_yearly!$D:$AM, 10, FALSE), 1)</f>
        <v>3.8425936143049363E-5</v>
      </c>
      <c r="AA12" s="7">
        <f>$B12 * IFERROR(VLOOKUP("LULUCF|SO2|Respiratory hospital admissions", US_national_yearly!$D:$AM, 35, FALSE) / VLOOKUP("LULUCF|SO2|Respiratory hospital admissions", US_national_yearly!$D:$AM, 10, FALSE), 1)</f>
        <v>3.856890763770773E-5</v>
      </c>
      <c r="AB12" s="7">
        <f>$B12 * IFERROR(VLOOKUP("LULUCF|SO2|Respiratory hospital admissions", US_national_yearly!$D:$AM, 36, FALSE) / VLOOKUP("LULUCF|SO2|Respiratory hospital admissions", US_national_yearly!$D:$AM, 10, FALSE), 1)</f>
        <v>3.8711879132366117E-5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2.4511725059510168E-4</v>
      </c>
      <c r="C13" s="7">
        <f>$B13 * IFERROR(VLOOKUP("LULUCF|SO2|Non-fatal heart attacks", US_national_yearly!$D:$AM, 11, FALSE) / VLOOKUP("LULUCF|SO2|Non-fatal heart attacks", US_national_yearly!$D:$AM, 10, FALSE), 1)</f>
        <v>2.5231300275790306E-4</v>
      </c>
      <c r="D13" s="7">
        <f>$B13 * IFERROR(VLOOKUP("LULUCF|SO2|Non-fatal heart attacks", US_national_yearly!$D:$AM, 12, FALSE) / VLOOKUP("LULUCF|SO2|Non-fatal heart attacks", US_national_yearly!$D:$AM, 10, FALSE), 1)</f>
        <v>2.5950875492070444E-4</v>
      </c>
      <c r="E13" s="7">
        <f>$B13 * IFERROR(VLOOKUP("LULUCF|SO2|Non-fatal heart attacks", US_national_yearly!$D:$AM, 13, FALSE) / VLOOKUP("LULUCF|SO2|Non-fatal heart attacks", US_national_yearly!$D:$AM, 10, FALSE), 1)</f>
        <v>2.6670450708350581E-4</v>
      </c>
      <c r="F13" s="7">
        <f>$B13 * IFERROR(VLOOKUP("LULUCF|SO2|Non-fatal heart attacks", US_national_yearly!$D:$AM, 14, FALSE) / VLOOKUP("LULUCF|SO2|Non-fatal heart attacks", US_national_yearly!$D:$AM, 10, FALSE), 1)</f>
        <v>2.7390025924630714E-4</v>
      </c>
      <c r="G13" s="7">
        <f>$B13 * IFERROR(VLOOKUP("LULUCF|SO2|Non-fatal heart attacks", US_national_yearly!$D:$AM, 15, FALSE) / VLOOKUP("LULUCF|SO2|Non-fatal heart attacks", US_national_yearly!$D:$AM, 10, FALSE), 1)</f>
        <v>2.8068652098261619E-4</v>
      </c>
      <c r="H13" s="7">
        <f>$B13 * IFERROR(VLOOKUP("LULUCF|SO2|Non-fatal heart attacks", US_national_yearly!$D:$AM, 16, FALSE) / VLOOKUP("LULUCF|SO2|Non-fatal heart attacks", US_national_yearly!$D:$AM, 10, FALSE), 1)</f>
        <v>2.874727827189252E-4</v>
      </c>
      <c r="I13" s="7">
        <f>$B13 * IFERROR(VLOOKUP("LULUCF|SO2|Non-fatal heart attacks", US_national_yearly!$D:$AM, 17, FALSE) / VLOOKUP("LULUCF|SO2|Non-fatal heart attacks", US_national_yearly!$D:$AM, 10, FALSE), 1)</f>
        <v>2.9293359602198963E-4</v>
      </c>
      <c r="J13" s="7">
        <f>$B13 * IFERROR(VLOOKUP("LULUCF|SO2|Non-fatal heart attacks", US_national_yearly!$D:$AM, 18, FALSE) / VLOOKUP("LULUCF|SO2|Non-fatal heart attacks", US_national_yearly!$D:$AM, 10, FALSE), 1)</f>
        <v>2.9839440932505405E-4</v>
      </c>
      <c r="K13" s="7">
        <f>$B13 * IFERROR(VLOOKUP("LULUCF|SO2|Non-fatal heart attacks", US_national_yearly!$D:$AM, 19, FALSE) / VLOOKUP("LULUCF|SO2|Non-fatal heart attacks", US_national_yearly!$D:$AM, 10, FALSE), 1)</f>
        <v>3.0385522262811842E-4</v>
      </c>
      <c r="L13" s="7">
        <f>$B13 * IFERROR(VLOOKUP("LULUCF|SO2|Non-fatal heart attacks", US_national_yearly!$D:$AM, 20, FALSE) / VLOOKUP("LULUCF|SO2|Non-fatal heart attacks", US_national_yearly!$D:$AM, 10, FALSE), 1)</f>
        <v>3.0931603593118296E-4</v>
      </c>
      <c r="M13" s="7">
        <f>$B13 * IFERROR(VLOOKUP("LULUCF|SO2|Non-fatal heart attacks", US_national_yearly!$D:$AM, 21, FALSE) / VLOOKUP("LULUCF|SO2|Non-fatal heart attacks", US_national_yearly!$D:$AM, 10, FALSE), 1)</f>
        <v>3.1477684923424739E-4</v>
      </c>
      <c r="N13" s="7">
        <f>$B13 * IFERROR(VLOOKUP("LULUCF|SO2|Non-fatal heart attacks", US_national_yearly!$D:$AM, 22, FALSE) / VLOOKUP("LULUCF|SO2|Non-fatal heart attacks", US_national_yearly!$D:$AM, 10, FALSE), 1)</f>
        <v>3.1832262128730503E-4</v>
      </c>
      <c r="O13" s="7">
        <f>$B13 * IFERROR(VLOOKUP("LULUCF|SO2|Non-fatal heart attacks", US_national_yearly!$D:$AM, 23, FALSE) / VLOOKUP("LULUCF|SO2|Non-fatal heart attacks", US_national_yearly!$D:$AM, 10, FALSE), 1)</f>
        <v>3.2186839334036283E-4</v>
      </c>
      <c r="P13" s="7">
        <f>$B13 * IFERROR(VLOOKUP("LULUCF|SO2|Non-fatal heart attacks", US_national_yearly!$D:$AM, 24, FALSE) / VLOOKUP("LULUCF|SO2|Non-fatal heart attacks", US_national_yearly!$D:$AM, 10, FALSE), 1)</f>
        <v>3.2541416539342058E-4</v>
      </c>
      <c r="Q13" s="7">
        <f>$B13 * IFERROR(VLOOKUP("LULUCF|SO2|Non-fatal heart attacks", US_national_yearly!$D:$AM, 25, FALSE) / VLOOKUP("LULUCF|SO2|Non-fatal heart attacks", US_national_yearly!$D:$AM, 10, FALSE), 1)</f>
        <v>3.2895993744647833E-4</v>
      </c>
      <c r="R13" s="7">
        <f>$B13 * IFERROR(VLOOKUP("LULUCF|SO2|Non-fatal heart attacks", US_national_yearly!$D:$AM, 26, FALSE) / VLOOKUP("LULUCF|SO2|Non-fatal heart attacks", US_national_yearly!$D:$AM, 10, FALSE), 1)</f>
        <v>3.3250570949953603E-4</v>
      </c>
      <c r="S13" s="7">
        <f>$B13 * IFERROR(VLOOKUP("LULUCF|SO2|Non-fatal heart attacks", US_national_yearly!$D:$AM, 27, FALSE) / VLOOKUP("LULUCF|SO2|Non-fatal heart attacks", US_national_yearly!$D:$AM, 10, FALSE), 1)</f>
        <v>3.343569371442177E-4</v>
      </c>
      <c r="T13" s="7">
        <f>$B13 * IFERROR(VLOOKUP("LULUCF|SO2|Non-fatal heart attacks", US_national_yearly!$D:$AM, 28, FALSE) / VLOOKUP("LULUCF|SO2|Non-fatal heart attacks", US_national_yearly!$D:$AM, 10, FALSE), 1)</f>
        <v>3.3620816478889933E-4</v>
      </c>
      <c r="U13" s="7">
        <f>$B13 * IFERROR(VLOOKUP("LULUCF|SO2|Non-fatal heart attacks", US_national_yearly!$D:$AM, 29, FALSE) / VLOOKUP("LULUCF|SO2|Non-fatal heart attacks", US_national_yearly!$D:$AM, 10, FALSE), 1)</f>
        <v>3.3805939243358095E-4</v>
      </c>
      <c r="V13" s="7">
        <f>$B13 * IFERROR(VLOOKUP("LULUCF|SO2|Non-fatal heart attacks", US_national_yearly!$D:$AM, 30, FALSE) / VLOOKUP("LULUCF|SO2|Non-fatal heart attacks", US_national_yearly!$D:$AM, 10, FALSE), 1)</f>
        <v>3.3991062007826252E-4</v>
      </c>
      <c r="W13" s="7">
        <f>$B13 * IFERROR(VLOOKUP("LULUCF|SO2|Non-fatal heart attacks", US_national_yearly!$D:$AM, 31, FALSE) / VLOOKUP("LULUCF|SO2|Non-fatal heart attacks", US_national_yearly!$D:$AM, 10, FALSE), 1)</f>
        <v>3.4176184772294425E-4</v>
      </c>
      <c r="X13" s="7">
        <f>$B13 * IFERROR(VLOOKUP("LULUCF|SO2|Non-fatal heart attacks", US_national_yearly!$D:$AM, 32, FALSE) / VLOOKUP("LULUCF|SO2|Non-fatal heart attacks", US_national_yearly!$D:$AM, 10, FALSE), 1)</f>
        <v>3.4315936266066739E-4</v>
      </c>
      <c r="Y13" s="7">
        <f>$B13 * IFERROR(VLOOKUP("LULUCF|SO2|Non-fatal heart attacks", US_national_yearly!$D:$AM, 33, FALSE) / VLOOKUP("LULUCF|SO2|Non-fatal heart attacks", US_national_yearly!$D:$AM, 10, FALSE), 1)</f>
        <v>3.4455687759839048E-4</v>
      </c>
      <c r="Z13" s="7">
        <f>$B13 * IFERROR(VLOOKUP("LULUCF|SO2|Non-fatal heart attacks", US_national_yearly!$D:$AM, 34, FALSE) / VLOOKUP("LULUCF|SO2|Non-fatal heart attacks", US_national_yearly!$D:$AM, 10, FALSE), 1)</f>
        <v>3.4595439253611363E-4</v>
      </c>
      <c r="AA13" s="7">
        <f>$B13 * IFERROR(VLOOKUP("LULUCF|SO2|Non-fatal heart attacks", US_national_yearly!$D:$AM, 35, FALSE) / VLOOKUP("LULUCF|SO2|Non-fatal heart attacks", US_national_yearly!$D:$AM, 10, FALSE), 1)</f>
        <v>3.4735190747383677E-4</v>
      </c>
      <c r="AB13" s="7">
        <f>$B13 * IFERROR(VLOOKUP("LULUCF|SO2|Non-fatal heart attacks", US_national_yearly!$D:$AM, 36, FALSE) / VLOOKUP("LULUCF|SO2|Non-fatal heart attacks", US_national_yearly!$D:$AM, 10, FALSE), 1)</f>
        <v>3.4874942241155992E-4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0.20713053994362229</v>
      </c>
      <c r="C14" s="7">
        <f>$B14 * IFERROR(VLOOKUP("LULUCF|SO2|Minor restricted activity days", US_national_yearly!$D:$AM, 11, FALSE) / VLOOKUP("LULUCF|SO2|Minor restricted activity days", US_national_yearly!$D:$AM, 10, FALSE), 1)</f>
        <v>0.20765264702051453</v>
      </c>
      <c r="D14" s="7">
        <f>$B14 * IFERROR(VLOOKUP("LULUCF|SO2|Minor restricted activity days", US_national_yearly!$D:$AM, 12, FALSE) / VLOOKUP("LULUCF|SO2|Minor restricted activity days", US_national_yearly!$D:$AM, 10, FALSE), 1)</f>
        <v>0.20817475409740671</v>
      </c>
      <c r="E14" s="7">
        <f>$B14 * IFERROR(VLOOKUP("LULUCF|SO2|Minor restricted activity days", US_national_yearly!$D:$AM, 13, FALSE) / VLOOKUP("LULUCF|SO2|Minor restricted activity days", US_national_yearly!$D:$AM, 10, FALSE), 1)</f>
        <v>0.20869686117429892</v>
      </c>
      <c r="F14" s="7">
        <f>$B14 * IFERROR(VLOOKUP("LULUCF|SO2|Minor restricted activity days", US_national_yearly!$D:$AM, 14, FALSE) / VLOOKUP("LULUCF|SO2|Minor restricted activity days", US_national_yearly!$D:$AM, 10, FALSE), 1)</f>
        <v>0.2092189682511911</v>
      </c>
      <c r="G14" s="7">
        <f>$B14 * IFERROR(VLOOKUP("LULUCF|SO2|Minor restricted activity days", US_national_yearly!$D:$AM, 15, FALSE) / VLOOKUP("LULUCF|SO2|Minor restricted activity days", US_national_yearly!$D:$AM, 10, FALSE), 1)</f>
        <v>0.20998745857629081</v>
      </c>
      <c r="H14" s="7">
        <f>$B14 * IFERROR(VLOOKUP("LULUCF|SO2|Minor restricted activity days", US_national_yearly!$D:$AM, 16, FALSE) / VLOOKUP("LULUCF|SO2|Minor restricted activity days", US_national_yearly!$D:$AM, 10, FALSE), 1)</f>
        <v>0.21075594890139049</v>
      </c>
      <c r="I14" s="7">
        <f>$B14 * IFERROR(VLOOKUP("LULUCF|SO2|Minor restricted activity days", US_national_yearly!$D:$AM, 17, FALSE) / VLOOKUP("LULUCF|SO2|Minor restricted activity days", US_national_yearly!$D:$AM, 10, FALSE), 1)</f>
        <v>0.21206653751915708</v>
      </c>
      <c r="J14" s="7">
        <f>$B14 * IFERROR(VLOOKUP("LULUCF|SO2|Minor restricted activity days", US_national_yearly!$D:$AM, 18, FALSE) / VLOOKUP("LULUCF|SO2|Minor restricted activity days", US_national_yearly!$D:$AM, 10, FALSE), 1)</f>
        <v>0.21337712613692369</v>
      </c>
      <c r="K14" s="7">
        <f>$B14 * IFERROR(VLOOKUP("LULUCF|SO2|Minor restricted activity days", US_national_yearly!$D:$AM, 19, FALSE) / VLOOKUP("LULUCF|SO2|Minor restricted activity days", US_national_yearly!$D:$AM, 10, FALSE), 1)</f>
        <v>0.21468771475469034</v>
      </c>
      <c r="L14" s="7">
        <f>$B14 * IFERROR(VLOOKUP("LULUCF|SO2|Minor restricted activity days", US_national_yearly!$D:$AM, 20, FALSE) / VLOOKUP("LULUCF|SO2|Minor restricted activity days", US_national_yearly!$D:$AM, 10, FALSE), 1)</f>
        <v>0.21599830337245693</v>
      </c>
      <c r="M14" s="7">
        <f>$B14 * IFERROR(VLOOKUP("LULUCF|SO2|Minor restricted activity days", US_national_yearly!$D:$AM, 21, FALSE) / VLOOKUP("LULUCF|SO2|Minor restricted activity days", US_national_yearly!$D:$AM, 10, FALSE), 1)</f>
        <v>0.21730889199022355</v>
      </c>
      <c r="N14" s="7">
        <f>$B14 * IFERROR(VLOOKUP("LULUCF|SO2|Minor restricted activity days", US_national_yearly!$D:$AM, 22, FALSE) / VLOOKUP("LULUCF|SO2|Minor restricted activity days", US_national_yearly!$D:$AM, 10, FALSE), 1)</f>
        <v>0.21910156692361754</v>
      </c>
      <c r="O14" s="7">
        <f>$B14 * IFERROR(VLOOKUP("LULUCF|SO2|Minor restricted activity days", US_national_yearly!$D:$AM, 23, FALSE) / VLOOKUP("LULUCF|SO2|Minor restricted activity days", US_national_yearly!$D:$AM, 10, FALSE), 1)</f>
        <v>0.22089424185701156</v>
      </c>
      <c r="P14" s="7">
        <f>$B14 * IFERROR(VLOOKUP("LULUCF|SO2|Minor restricted activity days", US_national_yearly!$D:$AM, 24, FALSE) / VLOOKUP("LULUCF|SO2|Minor restricted activity days", US_national_yearly!$D:$AM, 10, FALSE), 1)</f>
        <v>0.22268691679040556</v>
      </c>
      <c r="Q14" s="7">
        <f>$B14 * IFERROR(VLOOKUP("LULUCF|SO2|Minor restricted activity days", US_national_yearly!$D:$AM, 25, FALSE) / VLOOKUP("LULUCF|SO2|Minor restricted activity days", US_national_yearly!$D:$AM, 10, FALSE), 1)</f>
        <v>0.22447959172379955</v>
      </c>
      <c r="R14" s="7">
        <f>$B14 * IFERROR(VLOOKUP("LULUCF|SO2|Minor restricted activity days", US_national_yearly!$D:$AM, 26, FALSE) / VLOOKUP("LULUCF|SO2|Minor restricted activity days", US_national_yearly!$D:$AM, 10, FALSE), 1)</f>
        <v>0.22627226665719358</v>
      </c>
      <c r="S14" s="7">
        <f>$B14 * IFERROR(VLOOKUP("LULUCF|SO2|Minor restricted activity days", US_national_yearly!$D:$AM, 27, FALSE) / VLOOKUP("LULUCF|SO2|Minor restricted activity days", US_national_yearly!$D:$AM, 10, FALSE), 1)</f>
        <v>0.22810007420792053</v>
      </c>
      <c r="T14" s="7">
        <f>$B14 * IFERROR(VLOOKUP("LULUCF|SO2|Minor restricted activity days", US_national_yearly!$D:$AM, 28, FALSE) / VLOOKUP("LULUCF|SO2|Minor restricted activity days", US_national_yearly!$D:$AM, 10, FALSE), 1)</f>
        <v>0.22992788175864748</v>
      </c>
      <c r="U14" s="7">
        <f>$B14 * IFERROR(VLOOKUP("LULUCF|SO2|Minor restricted activity days", US_national_yearly!$D:$AM, 29, FALSE) / VLOOKUP("LULUCF|SO2|Minor restricted activity days", US_national_yearly!$D:$AM, 10, FALSE), 1)</f>
        <v>0.23175568930937443</v>
      </c>
      <c r="V14" s="7">
        <f>$B14 * IFERROR(VLOOKUP("LULUCF|SO2|Minor restricted activity days", US_national_yearly!$D:$AM, 30, FALSE) / VLOOKUP("LULUCF|SO2|Minor restricted activity days", US_national_yearly!$D:$AM, 10, FALSE), 1)</f>
        <v>0.23358349686010141</v>
      </c>
      <c r="W14" s="7">
        <f>$B14 * IFERROR(VLOOKUP("LULUCF|SO2|Minor restricted activity days", US_national_yearly!$D:$AM, 31, FALSE) / VLOOKUP("LULUCF|SO2|Minor restricted activity days", US_national_yearly!$D:$AM, 10, FALSE), 1)</f>
        <v>0.23541130441082839</v>
      </c>
      <c r="X14" s="7">
        <f>$B14 * IFERROR(VLOOKUP("LULUCF|SO2|Minor restricted activity days", US_national_yearly!$D:$AM, 32, FALSE) / VLOOKUP("LULUCF|SO2|Minor restricted activity days", US_national_yearly!$D:$AM, 10, FALSE), 1)</f>
        <v>0.23701871549587242</v>
      </c>
      <c r="Y14" s="7">
        <f>$B14 * IFERROR(VLOOKUP("LULUCF|SO2|Minor restricted activity days", US_national_yearly!$D:$AM, 33, FALSE) / VLOOKUP("LULUCF|SO2|Minor restricted activity days", US_national_yearly!$D:$AM, 10, FALSE), 1)</f>
        <v>0.23862612658091642</v>
      </c>
      <c r="Z14" s="7">
        <f>$B14 * IFERROR(VLOOKUP("LULUCF|SO2|Minor restricted activity days", US_national_yearly!$D:$AM, 34, FALSE) / VLOOKUP("LULUCF|SO2|Minor restricted activity days", US_national_yearly!$D:$AM, 10, FALSE), 1)</f>
        <v>0.24023353766596048</v>
      </c>
      <c r="AA14" s="7">
        <f>$B14 * IFERROR(VLOOKUP("LULUCF|SO2|Minor restricted activity days", US_national_yearly!$D:$AM, 35, FALSE) / VLOOKUP("LULUCF|SO2|Minor restricted activity days", US_national_yearly!$D:$AM, 10, FALSE), 1)</f>
        <v>0.24184094875100451</v>
      </c>
      <c r="AB14" s="7">
        <f>$B14 * IFERROR(VLOOKUP("LULUCF|SO2|Minor restricted activity days", US_national_yearly!$D:$AM, 36, FALSE) / VLOOKUP("LULUCF|SO2|Minor restricted activity days", US_national_yearly!$D:$AM, 10, FALSE), 1)</f>
        <v>0.24344835983604857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3.5196600650179009E-2</v>
      </c>
      <c r="C15" s="7">
        <f>$B15 * IFERROR(VLOOKUP("LULUCF|SO2|Work loss days", US_national_yearly!$D:$AM, 11, FALSE) / VLOOKUP("LULUCF|SO2|Work loss days", US_national_yearly!$D:$AM, 10, FALSE), 1)</f>
        <v>3.5310632042280729E-2</v>
      </c>
      <c r="D15" s="7">
        <f>$B15 * IFERROR(VLOOKUP("LULUCF|SO2|Work loss days", US_national_yearly!$D:$AM, 12, FALSE) / VLOOKUP("LULUCF|SO2|Work loss days", US_national_yearly!$D:$AM, 10, FALSE), 1)</f>
        <v>3.5424663434382456E-2</v>
      </c>
      <c r="E15" s="7">
        <f>$B15 * IFERROR(VLOOKUP("LULUCF|SO2|Work loss days", US_national_yearly!$D:$AM, 13, FALSE) / VLOOKUP("LULUCF|SO2|Work loss days", US_national_yearly!$D:$AM, 10, FALSE), 1)</f>
        <v>3.5538694826484175E-2</v>
      </c>
      <c r="F15" s="7">
        <f>$B15 * IFERROR(VLOOKUP("LULUCF|SO2|Work loss days", US_national_yearly!$D:$AM, 14, FALSE) / VLOOKUP("LULUCF|SO2|Work loss days", US_national_yearly!$D:$AM, 10, FALSE), 1)</f>
        <v>3.5652726218585895E-2</v>
      </c>
      <c r="G15" s="7">
        <f>$B15 * IFERROR(VLOOKUP("LULUCF|SO2|Work loss days", US_national_yearly!$D:$AM, 15, FALSE) / VLOOKUP("LULUCF|SO2|Work loss days", US_national_yearly!$D:$AM, 10, FALSE), 1)</f>
        <v>3.5801722184999413E-2</v>
      </c>
      <c r="H15" s="7">
        <f>$B15 * IFERROR(VLOOKUP("LULUCF|SO2|Work loss days", US_national_yearly!$D:$AM, 16, FALSE) / VLOOKUP("LULUCF|SO2|Work loss days", US_national_yearly!$D:$AM, 10, FALSE), 1)</f>
        <v>3.5950718151412923E-2</v>
      </c>
      <c r="I15" s="7">
        <f>$B15 * IFERROR(VLOOKUP("LULUCF|SO2|Work loss days", US_national_yearly!$D:$AM, 17, FALSE) / VLOOKUP("LULUCF|SO2|Work loss days", US_national_yearly!$D:$AM, 10, FALSE), 1)</f>
        <v>3.6168679249010384E-2</v>
      </c>
      <c r="J15" s="7">
        <f>$B15 * IFERROR(VLOOKUP("LULUCF|SO2|Work loss days", US_national_yearly!$D:$AM, 18, FALSE) / VLOOKUP("LULUCF|SO2|Work loss days", US_national_yearly!$D:$AM, 10, FALSE), 1)</f>
        <v>3.6386640346607831E-2</v>
      </c>
      <c r="K15" s="7">
        <f>$B15 * IFERROR(VLOOKUP("LULUCF|SO2|Work loss days", US_national_yearly!$D:$AM, 19, FALSE) / VLOOKUP("LULUCF|SO2|Work loss days", US_national_yearly!$D:$AM, 10, FALSE), 1)</f>
        <v>3.6604601444205291E-2</v>
      </c>
      <c r="L15" s="7">
        <f>$B15 * IFERROR(VLOOKUP("LULUCF|SO2|Work loss days", US_national_yearly!$D:$AM, 20, FALSE) / VLOOKUP("LULUCF|SO2|Work loss days", US_national_yearly!$D:$AM, 10, FALSE), 1)</f>
        <v>3.6822562541802752E-2</v>
      </c>
      <c r="M15" s="7">
        <f>$B15 * IFERROR(VLOOKUP("LULUCF|SO2|Work loss days", US_national_yearly!$D:$AM, 21, FALSE) / VLOOKUP("LULUCF|SO2|Work loss days", US_national_yearly!$D:$AM, 10, FALSE), 1)</f>
        <v>3.7040523639400212E-2</v>
      </c>
      <c r="N15" s="7">
        <f>$B15 * IFERROR(VLOOKUP("LULUCF|SO2|Work loss days", US_national_yearly!$D:$AM, 22, FALSE) / VLOOKUP("LULUCF|SO2|Work loss days", US_national_yearly!$D:$AM, 10, FALSE), 1)</f>
        <v>3.7313811535065543E-2</v>
      </c>
      <c r="O15" s="7">
        <f>$B15 * IFERROR(VLOOKUP("LULUCF|SO2|Work loss days", US_national_yearly!$D:$AM, 23, FALSE) / VLOOKUP("LULUCF|SO2|Work loss days", US_national_yearly!$D:$AM, 10, FALSE), 1)</f>
        <v>3.758709943073088E-2</v>
      </c>
      <c r="P15" s="7">
        <f>$B15 * IFERROR(VLOOKUP("LULUCF|SO2|Work loss days", US_national_yearly!$D:$AM, 24, FALSE) / VLOOKUP("LULUCF|SO2|Work loss days", US_national_yearly!$D:$AM, 10, FALSE), 1)</f>
        <v>3.7860387326396204E-2</v>
      </c>
      <c r="Q15" s="7">
        <f>$B15 * IFERROR(VLOOKUP("LULUCF|SO2|Work loss days", US_national_yearly!$D:$AM, 25, FALSE) / VLOOKUP("LULUCF|SO2|Work loss days", US_national_yearly!$D:$AM, 10, FALSE), 1)</f>
        <v>3.8133675222061542E-2</v>
      </c>
      <c r="R15" s="7">
        <f>$B15 * IFERROR(VLOOKUP("LULUCF|SO2|Work loss days", US_national_yearly!$D:$AM, 26, FALSE) / VLOOKUP("LULUCF|SO2|Work loss days", US_national_yearly!$D:$AM, 10, FALSE), 1)</f>
        <v>3.8406963117726872E-2</v>
      </c>
      <c r="S15" s="7">
        <f>$B15 * IFERROR(VLOOKUP("LULUCF|SO2|Work loss days", US_national_yearly!$D:$AM, 27, FALSE) / VLOOKUP("LULUCF|SO2|Work loss days", US_national_yearly!$D:$AM, 10, FALSE), 1)</f>
        <v>3.8712361440114196E-2</v>
      </c>
      <c r="T15" s="7">
        <f>$B15 * IFERROR(VLOOKUP("LULUCF|SO2|Work loss days", US_national_yearly!$D:$AM, 28, FALSE) / VLOOKUP("LULUCF|SO2|Work loss days", US_national_yearly!$D:$AM, 10, FALSE), 1)</f>
        <v>3.9017759762501526E-2</v>
      </c>
      <c r="U15" s="7">
        <f>$B15 * IFERROR(VLOOKUP("LULUCF|SO2|Work loss days", US_national_yearly!$D:$AM, 29, FALSE) / VLOOKUP("LULUCF|SO2|Work loss days", US_national_yearly!$D:$AM, 10, FALSE), 1)</f>
        <v>3.932315808488885E-2</v>
      </c>
      <c r="V15" s="7">
        <f>$B15 * IFERROR(VLOOKUP("LULUCF|SO2|Work loss days", US_national_yearly!$D:$AM, 30, FALSE) / VLOOKUP("LULUCF|SO2|Work loss days", US_national_yearly!$D:$AM, 10, FALSE), 1)</f>
        <v>3.962855640727618E-2</v>
      </c>
      <c r="W15" s="7">
        <f>$B15 * IFERROR(VLOOKUP("LULUCF|SO2|Work loss days", US_national_yearly!$D:$AM, 31, FALSE) / VLOOKUP("LULUCF|SO2|Work loss days", US_national_yearly!$D:$AM, 10, FALSE), 1)</f>
        <v>3.9933954729663511E-2</v>
      </c>
      <c r="X15" s="7">
        <f>$B15 * IFERROR(VLOOKUP("LULUCF|SO2|Work loss days", US_national_yearly!$D:$AM, 32, FALSE) / VLOOKUP("LULUCF|SO2|Work loss days", US_national_yearly!$D:$AM, 10, FALSE), 1)</f>
        <v>4.020816032809623E-2</v>
      </c>
      <c r="Y15" s="7">
        <f>$B15 * IFERROR(VLOOKUP("LULUCF|SO2|Work loss days", US_national_yearly!$D:$AM, 33, FALSE) / VLOOKUP("LULUCF|SO2|Work loss days", US_national_yearly!$D:$AM, 10, FALSE), 1)</f>
        <v>4.0482365926528957E-2</v>
      </c>
      <c r="Z15" s="7">
        <f>$B15 * IFERROR(VLOOKUP("LULUCF|SO2|Work loss days", US_national_yearly!$D:$AM, 34, FALSE) / VLOOKUP("LULUCF|SO2|Work loss days", US_national_yearly!$D:$AM, 10, FALSE), 1)</f>
        <v>4.0756571524961677E-2</v>
      </c>
      <c r="AA15" s="7">
        <f>$B15 * IFERROR(VLOOKUP("LULUCF|SO2|Work loss days", US_national_yearly!$D:$AM, 35, FALSE) / VLOOKUP("LULUCF|SO2|Work loss days", US_national_yearly!$D:$AM, 10, FALSE), 1)</f>
        <v>4.1030777123394403E-2</v>
      </c>
      <c r="AB15" s="7">
        <f>$B15 * IFERROR(VLOOKUP("LULUCF|SO2|Work loss days", US_national_yearly!$D:$AM, 36, FALSE) / VLOOKUP("LULUCF|SO2|Work loss days", US_national_yearly!$D:$AM, 10, FALSE), 1)</f>
        <v>4.130498272182713E-2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4.5982831282426447E-5</v>
      </c>
      <c r="C17" s="7">
        <f>$B17 * IFERROR(VLOOKUP("LULUCF|SO2|Cardiovascular hospital admissions", US_national_yearly!$D:$AM, 11, FALSE) / VLOOKUP("LULUCF|SO2|Cardiovascular hospital admissions", US_national_yearly!$D:$AM, 10, FALSE), 1)</f>
        <v>4.7373528188062239E-5</v>
      </c>
      <c r="D17" s="7">
        <f>$B17 * IFERROR(VLOOKUP("LULUCF|SO2|Cardiovascular hospital admissions", US_national_yearly!$D:$AM, 12, FALSE) / VLOOKUP("LULUCF|SO2|Cardiovascular hospital admissions", US_national_yearly!$D:$AM, 10, FALSE), 1)</f>
        <v>4.8764225093698037E-5</v>
      </c>
      <c r="E17" s="7">
        <f>$B17 * IFERROR(VLOOKUP("LULUCF|SO2|Cardiovascular hospital admissions", US_national_yearly!$D:$AM, 13, FALSE) / VLOOKUP("LULUCF|SO2|Cardiovascular hospital admissions", US_national_yearly!$D:$AM, 10, FALSE), 1)</f>
        <v>5.0154921999333829E-5</v>
      </c>
      <c r="F17" s="7">
        <f>$B17 * IFERROR(VLOOKUP("LULUCF|SO2|Cardiovascular hospital admissions", US_national_yearly!$D:$AM, 14, FALSE) / VLOOKUP("LULUCF|SO2|Cardiovascular hospital admissions", US_national_yearly!$D:$AM, 10, FALSE), 1)</f>
        <v>5.1545618904969634E-5</v>
      </c>
      <c r="G17" s="7">
        <f>$B17 * IFERROR(VLOOKUP("LULUCF|SO2|Cardiovascular hospital admissions", US_national_yearly!$D:$AM, 15, FALSE) / VLOOKUP("LULUCF|SO2|Cardiovascular hospital admissions", US_national_yearly!$D:$AM, 10, FALSE), 1)</f>
        <v>5.2877774305961954E-5</v>
      </c>
      <c r="H17" s="7">
        <f>$B17 * IFERROR(VLOOKUP("LULUCF|SO2|Cardiovascular hospital admissions", US_national_yearly!$D:$AM, 16, FALSE) / VLOOKUP("LULUCF|SO2|Cardiovascular hospital admissions", US_national_yearly!$D:$AM, 10, FALSE), 1)</f>
        <v>5.4209929706954281E-5</v>
      </c>
      <c r="I17" s="7">
        <f>$B17 * IFERROR(VLOOKUP("LULUCF|SO2|Cardiovascular hospital admissions", US_national_yearly!$D:$AM, 17, FALSE) / VLOOKUP("LULUCF|SO2|Cardiovascular hospital admissions", US_national_yearly!$D:$AM, 10, FALSE), 1)</f>
        <v>5.5351326917747606E-5</v>
      </c>
      <c r="J17" s="7">
        <f>$B17 * IFERROR(VLOOKUP("LULUCF|SO2|Cardiovascular hospital admissions", US_national_yearly!$D:$AM, 18, FALSE) / VLOOKUP("LULUCF|SO2|Cardiovascular hospital admissions", US_national_yearly!$D:$AM, 10, FALSE), 1)</f>
        <v>5.649272412854093E-5</v>
      </c>
      <c r="K17" s="7">
        <f>$B17 * IFERROR(VLOOKUP("LULUCF|SO2|Cardiovascular hospital admissions", US_national_yearly!$D:$AM, 19, FALSE) / VLOOKUP("LULUCF|SO2|Cardiovascular hospital admissions", US_national_yearly!$D:$AM, 10, FALSE), 1)</f>
        <v>5.7634121339334255E-5</v>
      </c>
      <c r="L17" s="7">
        <f>$B17 * IFERROR(VLOOKUP("LULUCF|SO2|Cardiovascular hospital admissions", US_national_yearly!$D:$AM, 20, FALSE) / VLOOKUP("LULUCF|SO2|Cardiovascular hospital admissions", US_national_yearly!$D:$AM, 10, FALSE), 1)</f>
        <v>5.8775518550127587E-5</v>
      </c>
      <c r="M17" s="7">
        <f>$B17 * IFERROR(VLOOKUP("LULUCF|SO2|Cardiovascular hospital admissions", US_national_yearly!$D:$AM, 21, FALSE) / VLOOKUP("LULUCF|SO2|Cardiovascular hospital admissions", US_national_yearly!$D:$AM, 10, FALSE), 1)</f>
        <v>5.9916915760920898E-5</v>
      </c>
      <c r="N17" s="7">
        <f>$B17 * IFERROR(VLOOKUP("LULUCF|SO2|Cardiovascular hospital admissions", US_national_yearly!$D:$AM, 22, FALSE) / VLOOKUP("LULUCF|SO2|Cardiovascular hospital admissions", US_national_yearly!$D:$AM, 10, FALSE), 1)</f>
        <v>6.0683674687964136E-5</v>
      </c>
      <c r="O17" s="7">
        <f>$B17 * IFERROR(VLOOKUP("LULUCF|SO2|Cardiovascular hospital admissions", US_national_yearly!$D:$AM, 23, FALSE) / VLOOKUP("LULUCF|SO2|Cardiovascular hospital admissions", US_national_yearly!$D:$AM, 10, FALSE), 1)</f>
        <v>6.1450433615007374E-5</v>
      </c>
      <c r="P17" s="7">
        <f>$B17 * IFERROR(VLOOKUP("LULUCF|SO2|Cardiovascular hospital admissions", US_national_yearly!$D:$AM, 24, FALSE) / VLOOKUP("LULUCF|SO2|Cardiovascular hospital admissions", US_national_yearly!$D:$AM, 10, FALSE), 1)</f>
        <v>6.2217192542050599E-5</v>
      </c>
      <c r="Q17" s="7">
        <f>$B17 * IFERROR(VLOOKUP("LULUCF|SO2|Cardiovascular hospital admissions", US_national_yearly!$D:$AM, 25, FALSE) / VLOOKUP("LULUCF|SO2|Cardiovascular hospital admissions", US_national_yearly!$D:$AM, 10, FALSE), 1)</f>
        <v>6.2983951469093824E-5</v>
      </c>
      <c r="R17" s="7">
        <f>$B17 * IFERROR(VLOOKUP("LULUCF|SO2|Cardiovascular hospital admissions", US_national_yearly!$D:$AM, 26, FALSE) / VLOOKUP("LULUCF|SO2|Cardiovascular hospital admissions", US_national_yearly!$D:$AM, 10, FALSE), 1)</f>
        <v>6.3750710396137062E-5</v>
      </c>
      <c r="S17" s="7">
        <f>$B17 * IFERROR(VLOOKUP("LULUCF|SO2|Cardiovascular hospital admissions", US_national_yearly!$D:$AM, 27, FALSE) / VLOOKUP("LULUCF|SO2|Cardiovascular hospital admissions", US_national_yearly!$D:$AM, 10, FALSE), 1)</f>
        <v>6.4153970998475209E-5</v>
      </c>
      <c r="T17" s="7">
        <f>$B17 * IFERROR(VLOOKUP("LULUCF|SO2|Cardiovascular hospital admissions", US_national_yearly!$D:$AM, 28, FALSE) / VLOOKUP("LULUCF|SO2|Cardiovascular hospital admissions", US_national_yearly!$D:$AM, 10, FALSE), 1)</f>
        <v>6.4557231600813355E-5</v>
      </c>
      <c r="U17" s="7">
        <f>$B17 * IFERROR(VLOOKUP("LULUCF|SO2|Cardiovascular hospital admissions", US_national_yearly!$D:$AM, 29, FALSE) / VLOOKUP("LULUCF|SO2|Cardiovascular hospital admissions", US_national_yearly!$D:$AM, 10, FALSE), 1)</f>
        <v>6.4960492203151502E-5</v>
      </c>
      <c r="V17" s="7">
        <f>$B17 * IFERROR(VLOOKUP("LULUCF|SO2|Cardiovascular hospital admissions", US_national_yearly!$D:$AM, 30, FALSE) / VLOOKUP("LULUCF|SO2|Cardiovascular hospital admissions", US_national_yearly!$D:$AM, 10, FALSE), 1)</f>
        <v>6.5363752805489648E-5</v>
      </c>
      <c r="W17" s="7">
        <f>$B17 * IFERROR(VLOOKUP("LULUCF|SO2|Cardiovascular hospital admissions", US_national_yearly!$D:$AM, 31, FALSE) / VLOOKUP("LULUCF|SO2|Cardiovascular hospital admissions", US_national_yearly!$D:$AM, 10, FALSE), 1)</f>
        <v>6.5767013407827781E-5</v>
      </c>
      <c r="X17" s="7">
        <f>$B17 * IFERROR(VLOOKUP("LULUCF|SO2|Cardiovascular hospital admissions", US_national_yearly!$D:$AM, 32, FALSE) / VLOOKUP("LULUCF|SO2|Cardiovascular hospital admissions", US_national_yearly!$D:$AM, 10, FALSE), 1)</f>
        <v>6.6037735580954415E-5</v>
      </c>
      <c r="Y17" s="7">
        <f>$B17 * IFERROR(VLOOKUP("LULUCF|SO2|Cardiovascular hospital admissions", US_national_yearly!$D:$AM, 33, FALSE) / VLOOKUP("LULUCF|SO2|Cardiovascular hospital admissions", US_national_yearly!$D:$AM, 10, FALSE), 1)</f>
        <v>6.6308457754081035E-5</v>
      </c>
      <c r="Z17" s="7">
        <f>$B17 * IFERROR(VLOOKUP("LULUCF|SO2|Cardiovascular hospital admissions", US_national_yearly!$D:$AM, 34, FALSE) / VLOOKUP("LULUCF|SO2|Cardiovascular hospital admissions", US_national_yearly!$D:$AM, 10, FALSE), 1)</f>
        <v>6.6579179927207655E-5</v>
      </c>
      <c r="AA17" s="7">
        <f>$B17 * IFERROR(VLOOKUP("LULUCF|SO2|Cardiovascular hospital admissions", US_national_yearly!$D:$AM, 35, FALSE) / VLOOKUP("LULUCF|SO2|Cardiovascular hospital admissions", US_national_yearly!$D:$AM, 10, FALSE), 1)</f>
        <v>6.6849902100334289E-5</v>
      </c>
      <c r="AB17" s="7">
        <f>$B17 * IFERROR(VLOOKUP("LULUCF|SO2|Cardiovascular hospital admissions", US_national_yearly!$D:$AM, 36, FALSE) / VLOOKUP("LULUCF|SO2|Cardiovascular hospital admissions", US_national_yearly!$D:$AM, 10, FALSE), 1)</f>
        <v>6.7120624273460909E-5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2026-06-15T17:17:42Z</dcterms:modified>
</cp:coreProperties>
</file>