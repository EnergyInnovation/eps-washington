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Parameters" sheetId="2" state="visible" r:id="rId2"/>
    <sheet xmlns:r="http://schemas.openxmlformats.org/officeDocument/2006/relationships" name="EIA-861 Sales 2024" sheetId="3" state="visible" r:id="rId3"/>
    <sheet xmlns:r="http://schemas.openxmlformats.org/officeDocument/2006/relationships" name="Share" sheetId="4" state="visible" r:id="rId4"/>
    <sheet xmlns:r="http://schemas.openxmlformats.org/officeDocument/2006/relationships" name="SoEDtIC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i val="1"/>
    </font>
    <font>
      <color rgb="000563C1"/>
      <u val="single"/>
    </font>
    <font>
      <b val="1"/>
      <color rgb="00FFFFFF"/>
    </font>
    <font>
      <b val="1"/>
      <i val="1"/>
      <color rgb="001F3864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 wrapText="1"/>
    </xf>
    <xf numFmtId="0" fontId="4" fillId="3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ia.gov/electricity/data/eia861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0" customWidth="1" min="1" max="1"/>
    <col width="110" customWidth="1" min="2" max="2"/>
  </cols>
  <sheetData>
    <row r="1">
      <c r="A1" s="1" t="inlineStr">
        <is>
          <t>SoEDtICoS Share of Electricity Demand that Is Cost of Service</t>
        </is>
      </c>
    </row>
    <row r="2">
      <c r="A2" s="2" t="inlineStr">
        <is>
          <t>Scope: state of WA   |   Data year: 2024</t>
        </is>
      </c>
    </row>
    <row r="4">
      <c r="A4" s="1" t="inlineStr">
        <is>
          <t>Source:</t>
        </is>
      </c>
      <c r="B4" s="3" t="inlineStr">
        <is>
          <t>Retail electricity sales by serving entity (utility / marketer / CCA)</t>
        </is>
      </c>
    </row>
    <row r="5">
      <c r="B5" s="4" t="inlineStr">
        <is>
          <t>U.S. Energy Information Administration (EIA)</t>
        </is>
      </c>
    </row>
    <row r="6">
      <c r="B6" s="4" t="inlineStr">
        <is>
          <t>Form EIA-861 detailed data, Sales_Ult_Cust_2024.xlsx (sheet 'States')</t>
        </is>
      </c>
    </row>
    <row r="7">
      <c r="B7" s="4" t="n">
        <v>2024</v>
      </c>
    </row>
    <row r="8">
      <c r="B8" s="5" t="inlineStr">
        <is>
          <t>https://www.eia.gov/electricity/data/eia861/</t>
        </is>
      </c>
    </row>
    <row r="9">
      <c r="B9" s="4" t="inlineStr">
        <is>
          <t>Cost-of-service share = cost-of-service MWh / (cost-of-service + procurement) MWh for this jurisdiction. Ties to EIA published retail sales (Bundled+Energy).</t>
        </is>
      </c>
    </row>
    <row r="11">
      <c r="A11" s="1" t="inlineStr">
        <is>
          <t>Notes:</t>
        </is>
      </c>
    </row>
    <row r="12">
      <c r="A12" s="6" t="inlineStr">
        <is>
          <t>Classification</t>
        </is>
      </c>
      <c r="B12" s="4" t="inlineStr">
        <is>
          <t>LSE-based: cost-of-service = bundled sales of munis, cooperatives, federal/state/political-subdivision utilities, plus IOUs in non-restructured states (and the TX override utilities). Procurement = marketers, CCAs, any 'Energy' service-type sales, and IOUs in restructured states.</t>
        </is>
      </c>
    </row>
    <row r="13">
      <c r="A13" s="6" t="inlineStr">
        <is>
          <t>Double-count fix</t>
        </is>
      </c>
      <c r="B13" s="4" t="inlineStr">
        <is>
          <t>Only Service Type Bundled or Energy enter the totals; 'Delivery' rows (the wires half of choice load) are classified 'excluded'.</t>
        </is>
      </c>
    </row>
    <row r="14">
      <c r="A14" s="6" t="inlineStr">
        <is>
          <t>Exclusions</t>
        </is>
      </c>
      <c r="B14" s="4" t="inlineStr">
        <is>
          <t>EIA 'Adjustment' rows and 'Behind the Meter' ownership are excluded.</t>
        </is>
      </c>
    </row>
    <row r="15">
      <c r="A15" s="6" t="inlineStr">
        <is>
          <t>Time profile</t>
        </is>
      </c>
      <c r="B15" s="4" t="inlineStr">
        <is>
          <t>Held FLAT 2021-2050 at the latest-year cost-of-service share. The analysis measures a single recent year; no independent forward projection is made.</t>
        </is>
      </c>
    </row>
    <row r="16">
      <c r="A16" s="6" t="inlineStr">
        <is>
          <t>Restructured + overrides</t>
        </is>
      </c>
      <c r="B16" s="4" t="inlineStr">
        <is>
          <t>Editable on the Parameters tab. Non-ERCOT TX IOUs (util #s 55937/17718/17698/5701) are held cost-of-service.</t>
        </is>
      </c>
    </row>
    <row r="17">
      <c r="A17" s="6" t="inlineStr">
        <is>
          <t>How it computes</t>
        </is>
      </c>
      <c r="B17" s="4" t="inlineStr">
        <is>
          <t>Source tab 'bucket' column classifies each row (reads Parameters via COUNTIF); the Share tab sums via SUMIFS; the SoEDtICoS tab = ROUND(share,3) flat across years. Edit Parameters and the EPS value recomputes.</t>
        </is>
      </c>
    </row>
    <row r="18">
      <c r="A18" s="6" t="inlineStr">
        <is>
          <t>Caveat</t>
        </is>
      </c>
      <c r="B18" s="4" t="inlineStr">
        <is>
          <t>Staff-review input; verify against EIA primary sources. Restructured list and TX overrides are adjustable assumptions.</t>
        </is>
      </c>
    </row>
  </sheetData>
  <hyperlinks>
    <hyperlink xmlns:r="http://schemas.openxmlformats.org/officeDocument/2006/relationships" ref="B8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34" customWidth="1" min="3" max="3"/>
  </cols>
  <sheetData>
    <row r="1">
      <c r="A1" s="1" t="inlineStr">
        <is>
          <t>Parameters (editable — outputs recompute)</t>
        </is>
      </c>
    </row>
    <row r="3">
      <c r="A3" s="7" t="inlineStr">
        <is>
          <t>Fully Restructured States</t>
        </is>
      </c>
      <c r="B3" s="7" t="inlineStr">
        <is>
          <t>Override Utility #</t>
        </is>
      </c>
      <c r="C3" s="7" t="inlineStr">
        <is>
          <t>Override Utility Name (reference)</t>
        </is>
      </c>
    </row>
    <row r="4">
      <c r="A4" t="inlineStr">
        <is>
          <t>CT</t>
        </is>
      </c>
      <c r="B4" t="n">
        <v>55937</v>
      </c>
      <c r="C4" t="inlineStr">
        <is>
          <t>Entergy Texas Inc.</t>
        </is>
      </c>
    </row>
    <row r="5">
      <c r="A5" t="inlineStr">
        <is>
          <t>DC</t>
        </is>
      </c>
      <c r="B5" t="n">
        <v>17718</v>
      </c>
      <c r="C5" t="inlineStr">
        <is>
          <t>Southwestern Public Service Co</t>
        </is>
      </c>
    </row>
    <row r="6">
      <c r="A6" t="inlineStr">
        <is>
          <t>DE</t>
        </is>
      </c>
      <c r="B6" t="n">
        <v>17698</v>
      </c>
      <c r="C6" t="inlineStr">
        <is>
          <t>Southwestern Electric Power Co</t>
        </is>
      </c>
    </row>
    <row r="7">
      <c r="A7" t="inlineStr">
        <is>
          <t>IL</t>
        </is>
      </c>
      <c r="B7" t="n">
        <v>5701</v>
      </c>
      <c r="C7" t="inlineStr">
        <is>
          <t>El Paso Electric Co</t>
        </is>
      </c>
    </row>
    <row r="8">
      <c r="A8" t="inlineStr">
        <is>
          <t>MA</t>
        </is>
      </c>
    </row>
    <row r="9">
      <c r="A9" t="inlineStr">
        <is>
          <t>MD</t>
        </is>
      </c>
    </row>
    <row r="10">
      <c r="A10" t="inlineStr">
        <is>
          <t>ME</t>
        </is>
      </c>
    </row>
    <row r="11">
      <c r="A11" t="inlineStr">
        <is>
          <t>NH</t>
        </is>
      </c>
    </row>
    <row r="12">
      <c r="A12" t="inlineStr">
        <is>
          <t>NJ</t>
        </is>
      </c>
    </row>
    <row r="13">
      <c r="A13" t="inlineStr">
        <is>
          <t>NY</t>
        </is>
      </c>
    </row>
    <row r="14">
      <c r="A14" t="inlineStr">
        <is>
          <t>OH</t>
        </is>
      </c>
    </row>
    <row r="15">
      <c r="A15" t="inlineStr">
        <is>
          <t>PA</t>
        </is>
      </c>
    </row>
    <row r="16">
      <c r="A16" t="inlineStr">
        <is>
          <t>RI</t>
        </is>
      </c>
    </row>
    <row r="17">
      <c r="A17" t="inlineStr">
        <is>
          <t>TX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Utility Characteristics</t>
        </is>
      </c>
      <c r="J1" t="inlineStr">
        <is>
          <t>RESIDENTIAL</t>
        </is>
      </c>
      <c r="M1" t="inlineStr">
        <is>
          <t>COMMERCIAL</t>
        </is>
      </c>
      <c r="P1" t="inlineStr">
        <is>
          <t>INDUSTRIAL</t>
        </is>
      </c>
      <c r="S1" t="inlineStr">
        <is>
          <t>TRANSPORTATION</t>
        </is>
      </c>
      <c r="V1" t="inlineStr">
        <is>
          <t>TOTAL</t>
        </is>
      </c>
    </row>
    <row r="2">
      <c r="A2" t="inlineStr"/>
      <c r="J2" t="inlineStr">
        <is>
          <t>Revenues</t>
        </is>
      </c>
      <c r="K2" t="inlineStr">
        <is>
          <t>Sales</t>
        </is>
      </c>
      <c r="L2" t="inlineStr">
        <is>
          <t>Customers</t>
        </is>
      </c>
      <c r="M2" t="inlineStr">
        <is>
          <t>Revenues</t>
        </is>
      </c>
      <c r="N2" t="inlineStr">
        <is>
          <t>Sales</t>
        </is>
      </c>
      <c r="O2" t="inlineStr">
        <is>
          <t>Customers</t>
        </is>
      </c>
      <c r="P2" t="inlineStr">
        <is>
          <t>Revenues</t>
        </is>
      </c>
      <c r="Q2" t="inlineStr">
        <is>
          <t>Sales</t>
        </is>
      </c>
      <c r="R2" t="inlineStr">
        <is>
          <t>Customers</t>
        </is>
      </c>
      <c r="S2" t="inlineStr">
        <is>
          <t>Revenues</t>
        </is>
      </c>
      <c r="T2" t="inlineStr">
        <is>
          <t>Sales</t>
        </is>
      </c>
      <c r="U2" t="inlineStr">
        <is>
          <t>Customers</t>
        </is>
      </c>
      <c r="V2" t="inlineStr">
        <is>
          <t>Revenues</t>
        </is>
      </c>
      <c r="W2" t="inlineStr">
        <is>
          <t>Sales</t>
        </is>
      </c>
      <c r="X2" t="inlineStr">
        <is>
          <t>Customers</t>
        </is>
      </c>
    </row>
    <row r="3">
      <c r="A3" t="inlineStr">
        <is>
          <t>Data Year</t>
        </is>
      </c>
      <c r="B3" t="inlineStr">
        <is>
          <t>Utility Number</t>
        </is>
      </c>
      <c r="C3" t="inlineStr">
        <is>
          <t>Utility Name</t>
        </is>
      </c>
      <c r="D3" t="inlineStr">
        <is>
          <t>Part</t>
        </is>
      </c>
      <c r="E3" t="inlineStr">
        <is>
          <t>Service Type</t>
        </is>
      </c>
      <c r="F3" t="inlineStr">
        <is>
          <t>Data Type
O = Observed
I = Imputed</t>
        </is>
      </c>
      <c r="G3" t="inlineStr">
        <is>
          <t>State</t>
        </is>
      </c>
      <c r="H3" t="inlineStr">
        <is>
          <t>Ownership</t>
        </is>
      </c>
      <c r="I3" t="inlineStr">
        <is>
          <t>BA Code</t>
        </is>
      </c>
      <c r="J3" t="inlineStr">
        <is>
          <t>Thousand Dollars</t>
        </is>
      </c>
      <c r="K3" t="inlineStr">
        <is>
          <t>Megawatthours</t>
        </is>
      </c>
      <c r="L3" t="inlineStr">
        <is>
          <t>Count</t>
        </is>
      </c>
      <c r="M3" t="inlineStr">
        <is>
          <t>Thousand Dollars</t>
        </is>
      </c>
      <c r="N3" t="inlineStr">
        <is>
          <t>Megawatthours</t>
        </is>
      </c>
      <c r="O3" t="inlineStr">
        <is>
          <t>Count</t>
        </is>
      </c>
      <c r="P3" t="inlineStr">
        <is>
          <t>Thousand Dollars</t>
        </is>
      </c>
      <c r="Q3" t="inlineStr">
        <is>
          <t>Megawatthours</t>
        </is>
      </c>
      <c r="R3" t="inlineStr">
        <is>
          <t>Count</t>
        </is>
      </c>
      <c r="S3" t="inlineStr">
        <is>
          <t>Thousand Dollars</t>
        </is>
      </c>
      <c r="T3" t="inlineStr">
        <is>
          <t>Megawatthours</t>
        </is>
      </c>
      <c r="U3" t="inlineStr">
        <is>
          <t>Count</t>
        </is>
      </c>
      <c r="V3" t="inlineStr">
        <is>
          <t>Thousand Dollars</t>
        </is>
      </c>
      <c r="W3" t="inlineStr">
        <is>
          <t>Megawatthours</t>
        </is>
      </c>
      <c r="X3" t="inlineStr">
        <is>
          <t>Count</t>
        </is>
      </c>
      <c r="Y3" s="8" t="inlineStr">
        <is>
          <t>sales_mwh (derived)</t>
        </is>
      </c>
      <c r="Z3" s="8" t="inlineStr">
        <is>
          <t>bucket (derived)</t>
        </is>
      </c>
    </row>
    <row r="4">
      <c r="A4" t="n">
        <v>2024</v>
      </c>
      <c r="B4" t="n">
        <v>540</v>
      </c>
      <c r="C4" t="inlineStr">
        <is>
          <t>BP Energy Company</t>
        </is>
      </c>
      <c r="D4" t="inlineStr">
        <is>
          <t>B</t>
        </is>
      </c>
      <c r="E4" t="inlineStr">
        <is>
          <t>Energy</t>
        </is>
      </c>
      <c r="F4" t="inlineStr">
        <is>
          <t>O</t>
        </is>
      </c>
      <c r="G4" t="inlineStr">
        <is>
          <t>WA</t>
        </is>
      </c>
      <c r="H4" t="inlineStr">
        <is>
          <t>Retail Power Marketer</t>
        </is>
      </c>
      <c r="I4" t="inlineStr">
        <is>
          <t>PSEI</t>
        </is>
      </c>
      <c r="J4" t="inlineStr">
        <is>
          <t>.</t>
        </is>
      </c>
      <c r="K4" t="inlineStr">
        <is>
          <t>.</t>
        </is>
      </c>
      <c r="L4" t="inlineStr">
        <is>
          <t>.</t>
        </is>
      </c>
      <c r="M4" t="inlineStr">
        <is>
          <t>.</t>
        </is>
      </c>
      <c r="N4" t="inlineStr">
        <is>
          <t>.</t>
        </is>
      </c>
      <c r="O4" t="inlineStr">
        <is>
          <t>.</t>
        </is>
      </c>
      <c r="P4" t="n">
        <v>60883.1</v>
      </c>
      <c r="Q4" t="n">
        <v>887803</v>
      </c>
      <c r="R4" t="n">
        <v>2</v>
      </c>
      <c r="S4" t="inlineStr">
        <is>
          <t>.</t>
        </is>
      </c>
      <c r="T4" t="inlineStr">
        <is>
          <t>.</t>
        </is>
      </c>
      <c r="U4" t="inlineStr">
        <is>
          <t>.</t>
        </is>
      </c>
      <c r="V4" t="n">
        <v>60883.1</v>
      </c>
      <c r="W4" t="n">
        <v>887803</v>
      </c>
      <c r="X4" t="n">
        <v>2</v>
      </c>
      <c r="Y4">
        <f>IF(ISNUMBER($W4),$W4,0)</f>
        <v/>
      </c>
      <c r="Z4">
        <f>IF(ISNUMBER(SEARCH("Adjustment",$C4)),"excluded",IF($H4="Behind the Meter","excluded",IF(NOT(OR($E4="Bundled",$E4="Energy")),"excluded",IF(OR($H4="Retail Power Marketer",$H4="Community Choice Aggregator",$E4="Energy"),"procurement",IF(OR($H4="Municipal",$H4="Cooperative",$H4="Federal",$H4="State",$H4="Political Subdivision"),"cost_service",IF($H4="Investor Owned",IF(AND(COUNTIF(Parameters!$A$4:$A$33,$G4)&gt;0,COUNTIF(Parameters!$B$4:$B$33,$B4)=0),"procurement","cost_service"),"unclassified"))))))</f>
        <v/>
      </c>
    </row>
    <row r="5">
      <c r="A5" t="n">
        <v>2024</v>
      </c>
      <c r="B5" t="n">
        <v>1579</v>
      </c>
      <c r="C5" t="inlineStr">
        <is>
          <t>PUD No 1 of Benton County</t>
        </is>
      </c>
      <c r="D5" t="inlineStr">
        <is>
          <t>A</t>
        </is>
      </c>
      <c r="E5" t="inlineStr">
        <is>
          <t>Bundled</t>
        </is>
      </c>
      <c r="F5" t="inlineStr">
        <is>
          <t>O</t>
        </is>
      </c>
      <c r="G5" t="inlineStr">
        <is>
          <t>WA</t>
        </is>
      </c>
      <c r="H5" t="inlineStr">
        <is>
          <t>Political Subdivision</t>
        </is>
      </c>
      <c r="I5" t="inlineStr">
        <is>
          <t>BPAT</t>
        </is>
      </c>
      <c r="J5" t="n">
        <v>64590.7</v>
      </c>
      <c r="K5" t="n">
        <v>732971</v>
      </c>
      <c r="L5" t="n">
        <v>50072</v>
      </c>
      <c r="M5" t="n">
        <v>39104.9</v>
      </c>
      <c r="N5" t="n">
        <v>564214</v>
      </c>
      <c r="O5" t="n">
        <v>6770</v>
      </c>
      <c r="P5" t="n">
        <v>28517.9</v>
      </c>
      <c r="Q5" t="n">
        <v>511637</v>
      </c>
      <c r="R5" t="n">
        <v>985</v>
      </c>
      <c r="S5" t="inlineStr">
        <is>
          <t>.</t>
        </is>
      </c>
      <c r="T5" t="inlineStr">
        <is>
          <t>.</t>
        </is>
      </c>
      <c r="U5" t="inlineStr">
        <is>
          <t>.</t>
        </is>
      </c>
      <c r="V5" t="n">
        <v>132213.5</v>
      </c>
      <c r="W5" t="n">
        <v>1808822</v>
      </c>
      <c r="X5" t="n">
        <v>57827</v>
      </c>
      <c r="Y5">
        <f>IF(ISNUMBER($W5),$W5,0)</f>
        <v/>
      </c>
      <c r="Z5">
        <f>IF(ISNUMBER(SEARCH("Adjustment",$C5)),"excluded",IF($H5="Behind the Meter","excluded",IF(NOT(OR($E5="Bundled",$E5="Energy")),"excluded",IF(OR($H5="Retail Power Marketer",$H5="Community Choice Aggregator",$E5="Energy"),"procurement",IF(OR($H5="Municipal",$H5="Cooperative",$H5="Federal",$H5="State",$H5="Political Subdivision"),"cost_service",IF($H5="Investor Owned",IF(AND(COUNTIF(Parameters!$A$4:$A$33,$G5)&gt;0,COUNTIF(Parameters!$B$4:$B$33,$B5)=0),"procurement","cost_service"),"unclassified"))))))</f>
        <v/>
      </c>
    </row>
    <row r="6">
      <c r="A6" t="n">
        <v>2024</v>
      </c>
      <c r="B6" t="n">
        <v>1625</v>
      </c>
      <c r="C6" t="inlineStr">
        <is>
          <t>Benton Rural Electric Assn</t>
        </is>
      </c>
      <c r="D6" t="inlineStr">
        <is>
          <t>A</t>
        </is>
      </c>
      <c r="E6" t="inlineStr">
        <is>
          <t>Bundled</t>
        </is>
      </c>
      <c r="F6" t="inlineStr">
        <is>
          <t>O</t>
        </is>
      </c>
      <c r="G6" t="inlineStr">
        <is>
          <t>WA</t>
        </is>
      </c>
      <c r="H6" t="inlineStr">
        <is>
          <t>Cooperative</t>
        </is>
      </c>
      <c r="I6" t="inlineStr">
        <is>
          <t>BPAT</t>
        </is>
      </c>
      <c r="J6" t="n">
        <v>21279.3</v>
      </c>
      <c r="K6" t="n">
        <v>229481</v>
      </c>
      <c r="L6" t="n">
        <v>13422</v>
      </c>
      <c r="M6" t="n">
        <v>12069.9</v>
      </c>
      <c r="N6" t="n">
        <v>172650</v>
      </c>
      <c r="O6" t="n">
        <v>1645</v>
      </c>
      <c r="P6" t="n">
        <v>14599</v>
      </c>
      <c r="Q6" t="n">
        <v>218406</v>
      </c>
      <c r="R6" t="n">
        <v>1386</v>
      </c>
      <c r="S6" t="inlineStr">
        <is>
          <t>.</t>
        </is>
      </c>
      <c r="T6" t="inlineStr">
        <is>
          <t>.</t>
        </is>
      </c>
      <c r="U6" t="inlineStr">
        <is>
          <t>.</t>
        </is>
      </c>
      <c r="V6" t="n">
        <v>47948.2</v>
      </c>
      <c r="W6" t="n">
        <v>620537</v>
      </c>
      <c r="X6" t="n">
        <v>16453</v>
      </c>
      <c r="Y6">
        <f>IF(ISNUMBER($W6),$W6,0)</f>
        <v/>
      </c>
      <c r="Z6">
        <f>IF(ISNUMBER(SEARCH("Adjustment",$C6)),"excluded",IF($H6="Behind the Meter","excluded",IF(NOT(OR($E6="Bundled",$E6="Energy")),"excluded",IF(OR($H6="Retail Power Marketer",$H6="Community Choice Aggregator",$E6="Energy"),"procurement",IF(OR($H6="Municipal",$H6="Cooperative",$H6="Federal",$H6="State",$H6="Political Subdivision"),"cost_service",IF($H6="Investor Owned",IF(AND(COUNTIF(Parameters!$A$4:$A$33,$G6)&gt;0,COUNTIF(Parameters!$B$4:$B$33,$B6)=0),"procurement","cost_service"),"unclassified"))))))</f>
        <v/>
      </c>
    </row>
    <row r="7">
      <c r="A7" t="n">
        <v>2024</v>
      </c>
      <c r="B7" t="n">
        <v>1723</v>
      </c>
      <c r="C7" t="inlineStr">
        <is>
          <t>Big Bend Electric Coop, Inc</t>
        </is>
      </c>
      <c r="D7" t="inlineStr">
        <is>
          <t>A</t>
        </is>
      </c>
      <c r="E7" t="inlineStr">
        <is>
          <t>Bundled</t>
        </is>
      </c>
      <c r="F7" t="inlineStr">
        <is>
          <t>O</t>
        </is>
      </c>
      <c r="G7" t="inlineStr">
        <is>
          <t>WA</t>
        </is>
      </c>
      <c r="H7" t="inlineStr">
        <is>
          <t>Cooperative</t>
        </is>
      </c>
      <c r="I7" t="inlineStr">
        <is>
          <t>BPAT</t>
        </is>
      </c>
      <c r="J7" t="n">
        <v>10530.9</v>
      </c>
      <c r="K7" t="n">
        <v>115719</v>
      </c>
      <c r="L7" t="n">
        <v>5841</v>
      </c>
      <c r="M7" t="n">
        <v>10348.3</v>
      </c>
      <c r="N7" t="n">
        <v>124100</v>
      </c>
      <c r="O7" t="n">
        <v>2059</v>
      </c>
      <c r="P7" t="n">
        <v>22904.9</v>
      </c>
      <c r="Q7" t="n">
        <v>342029</v>
      </c>
      <c r="R7" t="n">
        <v>2511</v>
      </c>
      <c r="S7" t="n">
        <v>0</v>
      </c>
      <c r="T7" t="n">
        <v>0</v>
      </c>
      <c r="U7" t="n">
        <v>0</v>
      </c>
      <c r="V7" t="n">
        <v>43784.1</v>
      </c>
      <c r="W7" t="n">
        <v>581848</v>
      </c>
      <c r="X7" t="n">
        <v>10411</v>
      </c>
      <c r="Y7">
        <f>IF(ISNUMBER($W7),$W7,0)</f>
        <v/>
      </c>
      <c r="Z7">
        <f>IF(ISNUMBER(SEARCH("Adjustment",$C7)),"excluded",IF($H7="Behind the Meter","excluded",IF(NOT(OR($E7="Bundled",$E7="Energy")),"excluded",IF(OR($H7="Retail Power Marketer",$H7="Community Choice Aggregator",$E7="Energy"),"procurement",IF(OR($H7="Municipal",$H7="Cooperative",$H7="Federal",$H7="State",$H7="Political Subdivision"),"cost_service",IF($H7="Investor Owned",IF(AND(COUNTIF(Parameters!$A$4:$A$33,$G7)&gt;0,COUNTIF(Parameters!$B$4:$B$33,$B7)=0),"procurement","cost_service"),"unclassified"))))))</f>
        <v/>
      </c>
    </row>
    <row r="8">
      <c r="A8" t="n">
        <v>2024</v>
      </c>
      <c r="B8" t="n">
        <v>1738</v>
      </c>
      <c r="C8" t="inlineStr">
        <is>
          <t>Bonneville Power Administration</t>
        </is>
      </c>
      <c r="D8" t="inlineStr">
        <is>
          <t>A</t>
        </is>
      </c>
      <c r="E8" t="inlineStr">
        <is>
          <t>Bundled</t>
        </is>
      </c>
      <c r="F8" t="inlineStr">
        <is>
          <t>O</t>
        </is>
      </c>
      <c r="G8" t="inlineStr">
        <is>
          <t>WA</t>
        </is>
      </c>
      <c r="H8" t="inlineStr">
        <is>
          <t>Federal</t>
        </is>
      </c>
      <c r="I8" t="inlineStr">
        <is>
          <t>BPAT</t>
        </is>
      </c>
      <c r="J8" t="inlineStr">
        <is>
          <t>.</t>
        </is>
      </c>
      <c r="K8" t="inlineStr">
        <is>
          <t>.</t>
        </is>
      </c>
      <c r="L8" t="inlineStr">
        <is>
          <t>.</t>
        </is>
      </c>
      <c r="M8" t="n">
        <v>30673</v>
      </c>
      <c r="N8" t="n">
        <v>681918</v>
      </c>
      <c r="O8" t="n">
        <v>7</v>
      </c>
      <c r="P8" t="n">
        <v>7256</v>
      </c>
      <c r="Q8" t="n">
        <v>546474</v>
      </c>
      <c r="R8" t="n">
        <v>3</v>
      </c>
      <c r="S8" t="inlineStr">
        <is>
          <t>.</t>
        </is>
      </c>
      <c r="T8" t="inlineStr">
        <is>
          <t>.</t>
        </is>
      </c>
      <c r="U8" t="inlineStr">
        <is>
          <t>.</t>
        </is>
      </c>
      <c r="V8" t="n">
        <v>37929</v>
      </c>
      <c r="W8" t="n">
        <v>1228392</v>
      </c>
      <c r="X8" t="n">
        <v>10</v>
      </c>
      <c r="Y8">
        <f>IF(ISNUMBER($W8),$W8,0)</f>
        <v/>
      </c>
      <c r="Z8">
        <f>IF(ISNUMBER(SEARCH("Adjustment",$C8)),"excluded",IF($H8="Behind the Meter","excluded",IF(NOT(OR($E8="Bundled",$E8="Energy")),"excluded",IF(OR($H8="Retail Power Marketer",$H8="Community Choice Aggregator",$E8="Energy"),"procurement",IF(OR($H8="Municipal",$H8="Cooperative",$H8="Federal",$H8="State",$H8="Political Subdivision"),"cost_service",IF($H8="Investor Owned",IF(AND(COUNTIF(Parameters!$A$4:$A$33,$G8)&gt;0,COUNTIF(Parameters!$B$4:$B$33,$B8)=0),"procurement","cost_service"),"unclassified"))))))</f>
        <v/>
      </c>
    </row>
    <row r="9">
      <c r="A9" t="n">
        <v>2024</v>
      </c>
      <c r="B9" t="n">
        <v>3295</v>
      </c>
      <c r="C9" t="inlineStr">
        <is>
          <t>City of Centralia - (WA)</t>
        </is>
      </c>
      <c r="D9" t="inlineStr">
        <is>
          <t>A</t>
        </is>
      </c>
      <c r="E9" t="inlineStr">
        <is>
          <t>Bundled</t>
        </is>
      </c>
      <c r="F9" t="inlineStr">
        <is>
          <t>O</t>
        </is>
      </c>
      <c r="G9" t="inlineStr">
        <is>
          <t>WA</t>
        </is>
      </c>
      <c r="H9" t="inlineStr">
        <is>
          <t>Municipal</t>
        </is>
      </c>
      <c r="I9" t="inlineStr">
        <is>
          <t>BPAT</t>
        </is>
      </c>
      <c r="J9" t="n">
        <v>12028.2</v>
      </c>
      <c r="K9" t="n">
        <v>121687</v>
      </c>
      <c r="L9" t="n">
        <v>9068</v>
      </c>
      <c r="M9" t="n">
        <v>3836.5</v>
      </c>
      <c r="N9" t="n">
        <v>32928</v>
      </c>
      <c r="O9" t="n">
        <v>1557</v>
      </c>
      <c r="P9" t="n">
        <v>10385.9</v>
      </c>
      <c r="Q9" t="n">
        <v>105963</v>
      </c>
      <c r="R9" t="n">
        <v>134</v>
      </c>
      <c r="S9" t="inlineStr">
        <is>
          <t>.</t>
        </is>
      </c>
      <c r="T9" t="inlineStr">
        <is>
          <t>.</t>
        </is>
      </c>
      <c r="U9" t="inlineStr">
        <is>
          <t>.</t>
        </is>
      </c>
      <c r="V9" t="n">
        <v>26250.6</v>
      </c>
      <c r="W9" t="n">
        <v>260578</v>
      </c>
      <c r="X9" t="n">
        <v>10759</v>
      </c>
      <c r="Y9">
        <f>IF(ISNUMBER($W9),$W9,0)</f>
        <v/>
      </c>
      <c r="Z9">
        <f>IF(ISNUMBER(SEARCH("Adjustment",$C9)),"excluded",IF($H9="Behind the Meter","excluded",IF(NOT(OR($E9="Bundled",$E9="Energy")),"excluded",IF(OR($H9="Retail Power Marketer",$H9="Community Choice Aggregator",$E9="Energy"),"procurement",IF(OR($H9="Municipal",$H9="Cooperative",$H9="Federal",$H9="State",$H9="Political Subdivision"),"cost_service",IF($H9="Investor Owned",IF(AND(COUNTIF(Parameters!$A$4:$A$33,$G9)&gt;0,COUNTIF(Parameters!$B$4:$B$33,$B9)=0),"procurement","cost_service"),"unclassified"))))))</f>
        <v/>
      </c>
    </row>
    <row r="10">
      <c r="A10" t="n">
        <v>2024</v>
      </c>
      <c r="B10" t="n">
        <v>3413</v>
      </c>
      <c r="C10" t="inlineStr">
        <is>
          <t>PUD No 1 of Chelan County</t>
        </is>
      </c>
      <c r="D10" t="inlineStr">
        <is>
          <t>A</t>
        </is>
      </c>
      <c r="E10" t="inlineStr">
        <is>
          <t>Bundled</t>
        </is>
      </c>
      <c r="F10" t="inlineStr">
        <is>
          <t>O</t>
        </is>
      </c>
      <c r="G10" t="inlineStr">
        <is>
          <t>WA</t>
        </is>
      </c>
      <c r="H10" t="inlineStr">
        <is>
          <t>Political Subdivision</t>
        </is>
      </c>
      <c r="I10" t="inlineStr">
        <is>
          <t>CHPD</t>
        </is>
      </c>
      <c r="J10" t="n">
        <v>33049.1</v>
      </c>
      <c r="K10" t="n">
        <v>900538</v>
      </c>
      <c r="L10" t="n">
        <v>42120</v>
      </c>
      <c r="M10" t="n">
        <v>19956.2</v>
      </c>
      <c r="N10" t="n">
        <v>487575</v>
      </c>
      <c r="O10" t="n">
        <v>6582</v>
      </c>
      <c r="P10" t="n">
        <v>16128.5</v>
      </c>
      <c r="Q10" t="n">
        <v>470409</v>
      </c>
      <c r="R10" t="n">
        <v>1435</v>
      </c>
      <c r="S10" t="inlineStr">
        <is>
          <t>.</t>
        </is>
      </c>
      <c r="T10" t="inlineStr">
        <is>
          <t>.</t>
        </is>
      </c>
      <c r="U10" t="inlineStr">
        <is>
          <t>.</t>
        </is>
      </c>
      <c r="V10" t="n">
        <v>69133.8</v>
      </c>
      <c r="W10" t="n">
        <v>1858522</v>
      </c>
      <c r="X10" t="n">
        <v>50137</v>
      </c>
      <c r="Y10">
        <f>IF(ISNUMBER($W10),$W10,0)</f>
        <v/>
      </c>
      <c r="Z10">
        <f>IF(ISNUMBER(SEARCH("Adjustment",$C10)),"excluded",IF($H10="Behind the Meter","excluded",IF(NOT(OR($E10="Bundled",$E10="Energy")),"excluded",IF(OR($H10="Retail Power Marketer",$H10="Community Choice Aggregator",$E10="Energy"),"procurement",IF(OR($H10="Municipal",$H10="Cooperative",$H10="Federal",$H10="State",$H10="Political Subdivision"),"cost_service",IF($H10="Investor Owned",IF(AND(COUNTIF(Parameters!$A$4:$A$33,$G10)&gt;0,COUNTIF(Parameters!$B$4:$B$33,$B10)=0),"procurement","cost_service"),"unclassified"))))))</f>
        <v/>
      </c>
    </row>
    <row r="11">
      <c r="A11" t="n">
        <v>2024</v>
      </c>
      <c r="B11" t="n">
        <v>3644</v>
      </c>
      <c r="C11" t="inlineStr">
        <is>
          <t>PUD No 1 of Clallam County</t>
        </is>
      </c>
      <c r="D11" t="inlineStr">
        <is>
          <t>A</t>
        </is>
      </c>
      <c r="E11" t="inlineStr">
        <is>
          <t>Bundled</t>
        </is>
      </c>
      <c r="F11" t="inlineStr">
        <is>
          <t>O</t>
        </is>
      </c>
      <c r="G11" t="inlineStr">
        <is>
          <t>WA</t>
        </is>
      </c>
      <c r="H11" t="inlineStr">
        <is>
          <t>Political Subdivision</t>
        </is>
      </c>
      <c r="I11" t="inlineStr">
        <is>
          <t>BPAT</t>
        </is>
      </c>
      <c r="J11" t="n">
        <v>54471.3</v>
      </c>
      <c r="K11" t="n">
        <v>459616</v>
      </c>
      <c r="L11" t="n">
        <v>30585</v>
      </c>
      <c r="M11" t="n">
        <v>16940.2</v>
      </c>
      <c r="N11" t="n">
        <v>174021</v>
      </c>
      <c r="O11" t="n">
        <v>3494</v>
      </c>
      <c r="P11" t="n">
        <v>1512.9</v>
      </c>
      <c r="Q11" t="n">
        <v>19771</v>
      </c>
      <c r="R11" t="n">
        <v>1</v>
      </c>
      <c r="S11" t="inlineStr">
        <is>
          <t>.</t>
        </is>
      </c>
      <c r="T11" t="inlineStr">
        <is>
          <t>.</t>
        </is>
      </c>
      <c r="U11" t="inlineStr">
        <is>
          <t>.</t>
        </is>
      </c>
      <c r="V11" t="n">
        <v>72924.39999999999</v>
      </c>
      <c r="W11" t="n">
        <v>653408</v>
      </c>
      <c r="X11" t="n">
        <v>34080</v>
      </c>
      <c r="Y11">
        <f>IF(ISNUMBER($W11),$W11,0)</f>
        <v/>
      </c>
      <c r="Z11">
        <f>IF(ISNUMBER(SEARCH("Adjustment",$C11)),"excluded",IF($H11="Behind the Meter","excluded",IF(NOT(OR($E11="Bundled",$E11="Energy")),"excluded",IF(OR($H11="Retail Power Marketer",$H11="Community Choice Aggregator",$E11="Energy"),"procurement",IF(OR($H11="Municipal",$H11="Cooperative",$H11="Federal",$H11="State",$H11="Political Subdivision"),"cost_service",IF($H11="Investor Owned",IF(AND(COUNTIF(Parameters!$A$4:$A$33,$G11)&gt;0,COUNTIF(Parameters!$B$4:$B$33,$B11)=0),"procurement","cost_service"),"unclassified"))))))</f>
        <v/>
      </c>
    </row>
    <row r="12">
      <c r="A12" t="n">
        <v>2024</v>
      </c>
      <c r="B12" t="n">
        <v>3660</v>
      </c>
      <c r="C12" t="inlineStr">
        <is>
          <t>PUD No 1 of Clark County - (WA)</t>
        </is>
      </c>
      <c r="D12" t="inlineStr">
        <is>
          <t>A</t>
        </is>
      </c>
      <c r="E12" t="inlineStr">
        <is>
          <t>Bundled</t>
        </is>
      </c>
      <c r="F12" t="inlineStr">
        <is>
          <t>O</t>
        </is>
      </c>
      <c r="G12" t="inlineStr">
        <is>
          <t>WA</t>
        </is>
      </c>
      <c r="H12" t="inlineStr">
        <is>
          <t>Political Subdivision</t>
        </is>
      </c>
      <c r="I12" t="inlineStr">
        <is>
          <t>BPAT</t>
        </is>
      </c>
      <c r="J12" t="n">
        <v>276231.2</v>
      </c>
      <c r="K12" t="n">
        <v>2653494</v>
      </c>
      <c r="L12" t="n">
        <v>219477</v>
      </c>
      <c r="M12" t="n">
        <v>116227</v>
      </c>
      <c r="N12" t="n">
        <v>1365364</v>
      </c>
      <c r="O12" t="n">
        <v>20389</v>
      </c>
      <c r="P12" t="n">
        <v>44592.9</v>
      </c>
      <c r="Q12" t="n">
        <v>737975</v>
      </c>
      <c r="R12" t="n">
        <v>30</v>
      </c>
      <c r="S12" t="n">
        <v>0</v>
      </c>
      <c r="T12" t="n">
        <v>0</v>
      </c>
      <c r="U12" t="n">
        <v>0</v>
      </c>
      <c r="V12" t="n">
        <v>437051.1</v>
      </c>
      <c r="W12" t="n">
        <v>4756833</v>
      </c>
      <c r="X12" t="n">
        <v>239896</v>
      </c>
      <c r="Y12">
        <f>IF(ISNUMBER($W12),$W12,0)</f>
        <v/>
      </c>
      <c r="Z12">
        <f>IF(ISNUMBER(SEARCH("Adjustment",$C12)),"excluded",IF($H12="Behind the Meter","excluded",IF(NOT(OR($E12="Bundled",$E12="Energy")),"excluded",IF(OR($H12="Retail Power Marketer",$H12="Community Choice Aggregator",$E12="Energy"),"procurement",IF(OR($H12="Municipal",$H12="Cooperative",$H12="Federal",$H12="State",$H12="Political Subdivision"),"cost_service",IF($H12="Investor Owned",IF(AND(COUNTIF(Parameters!$A$4:$A$33,$G12)&gt;0,COUNTIF(Parameters!$B$4:$B$33,$B12)=0),"procurement","cost_service"),"unclassified"))))))</f>
        <v/>
      </c>
    </row>
    <row r="13">
      <c r="A13" t="n">
        <v>2024</v>
      </c>
      <c r="B13" t="n">
        <v>4041</v>
      </c>
      <c r="C13" t="inlineStr">
        <is>
          <t>Columbia Rural Elec Assn, Inc</t>
        </is>
      </c>
      <c r="D13" t="inlineStr">
        <is>
          <t>A</t>
        </is>
      </c>
      <c r="E13" t="inlineStr">
        <is>
          <t>Bundled</t>
        </is>
      </c>
      <c r="F13" t="inlineStr">
        <is>
          <t>O</t>
        </is>
      </c>
      <c r="G13" t="inlineStr">
        <is>
          <t>WA</t>
        </is>
      </c>
      <c r="H13" t="inlineStr">
        <is>
          <t>Cooperative</t>
        </is>
      </c>
      <c r="I13" t="inlineStr">
        <is>
          <t>BPAT</t>
        </is>
      </c>
      <c r="J13" t="n">
        <v>8490</v>
      </c>
      <c r="K13" t="n">
        <v>59980</v>
      </c>
      <c r="L13" t="n">
        <v>4339</v>
      </c>
      <c r="M13" t="n">
        <v>8472.799999999999</v>
      </c>
      <c r="N13" t="n">
        <v>81835</v>
      </c>
      <c r="O13" t="n">
        <v>1668</v>
      </c>
      <c r="P13" t="n">
        <v>18152.1</v>
      </c>
      <c r="Q13" t="n">
        <v>228253</v>
      </c>
      <c r="R13" t="n">
        <v>520</v>
      </c>
      <c r="S13" t="inlineStr">
        <is>
          <t>.</t>
        </is>
      </c>
      <c r="T13" t="inlineStr">
        <is>
          <t>.</t>
        </is>
      </c>
      <c r="U13" t="inlineStr">
        <is>
          <t>.</t>
        </is>
      </c>
      <c r="V13" t="n">
        <v>35114.9</v>
      </c>
      <c r="W13" t="n">
        <v>370068</v>
      </c>
      <c r="X13" t="n">
        <v>6527</v>
      </c>
      <c r="Y13">
        <f>IF(ISNUMBER($W13),$W13,0)</f>
        <v/>
      </c>
      <c r="Z13">
        <f>IF(ISNUMBER(SEARCH("Adjustment",$C13)),"excluded",IF($H13="Behind the Meter","excluded",IF(NOT(OR($E13="Bundled",$E13="Energy")),"excluded",IF(OR($H13="Retail Power Marketer",$H13="Community Choice Aggregator",$E13="Energy"),"procurement",IF(OR($H13="Municipal",$H13="Cooperative",$H13="Federal",$H13="State",$H13="Political Subdivision"),"cost_service",IF($H13="Investor Owned",IF(AND(COUNTIF(Parameters!$A$4:$A$33,$G13)&gt;0,COUNTIF(Parameters!$B$4:$B$33,$B13)=0),"procurement","cost_service"),"unclassified"))))))</f>
        <v/>
      </c>
    </row>
    <row r="14">
      <c r="A14" t="n">
        <v>2024</v>
      </c>
      <c r="B14" t="n">
        <v>4410</v>
      </c>
      <c r="C14" t="inlineStr">
        <is>
          <t>Shell Energy North America (US), L.P.</t>
        </is>
      </c>
      <c r="D14" t="inlineStr">
        <is>
          <t>B</t>
        </is>
      </c>
      <c r="E14" t="inlineStr">
        <is>
          <t>Energy</t>
        </is>
      </c>
      <c r="F14" t="inlineStr">
        <is>
          <t>O</t>
        </is>
      </c>
      <c r="G14" t="inlineStr">
        <is>
          <t>WA</t>
        </is>
      </c>
      <c r="H14" t="inlineStr">
        <is>
          <t>Retail Power Marketer</t>
        </is>
      </c>
      <c r="I14" t="inlineStr">
        <is>
          <t>PSEI</t>
        </is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14808.9</v>
      </c>
      <c r="Q14" t="n">
        <v>182721</v>
      </c>
      <c r="R14" t="n">
        <v>2</v>
      </c>
      <c r="S14" t="n">
        <v>0</v>
      </c>
      <c r="T14" t="n">
        <v>0</v>
      </c>
      <c r="U14" t="n">
        <v>0</v>
      </c>
      <c r="V14" t="n">
        <v>14808.9</v>
      </c>
      <c r="W14" t="n">
        <v>182721</v>
      </c>
      <c r="X14" t="n">
        <v>2</v>
      </c>
      <c r="Y14">
        <f>IF(ISNUMBER($W14),$W14,0)</f>
        <v/>
      </c>
      <c r="Z14">
        <f>IF(ISNUMBER(SEARCH("Adjustment",$C14)),"excluded",IF($H14="Behind the Meter","excluded",IF(NOT(OR($E14="Bundled",$E14="Energy")),"excluded",IF(OR($H14="Retail Power Marketer",$H14="Community Choice Aggregator",$E14="Energy"),"procurement",IF(OR($H14="Municipal",$H14="Cooperative",$H14="Federal",$H14="State",$H14="Political Subdivision"),"cost_service",IF($H14="Investor Owned",IF(AND(COUNTIF(Parameters!$A$4:$A$33,$G14)&gt;0,COUNTIF(Parameters!$B$4:$B$33,$B14)=0),"procurement","cost_service"),"unclassified"))))))</f>
        <v/>
      </c>
    </row>
    <row r="15">
      <c r="A15" t="n">
        <v>2024</v>
      </c>
      <c r="B15" t="n">
        <v>4442</v>
      </c>
      <c r="C15" t="inlineStr">
        <is>
          <t>PUD No 1 of Cowlitz County</t>
        </is>
      </c>
      <c r="D15" t="inlineStr">
        <is>
          <t>A</t>
        </is>
      </c>
      <c r="E15" t="inlineStr">
        <is>
          <t>Bundled</t>
        </is>
      </c>
      <c r="F15" t="inlineStr">
        <is>
          <t>O</t>
        </is>
      </c>
      <c r="G15" t="inlineStr">
        <is>
          <t>WA</t>
        </is>
      </c>
      <c r="H15" t="inlineStr">
        <is>
          <t>Political Subdivision</t>
        </is>
      </c>
      <c r="I15" t="inlineStr">
        <is>
          <t>BPAT</t>
        </is>
      </c>
      <c r="J15" t="n">
        <v>67600</v>
      </c>
      <c r="K15" t="n">
        <v>768514</v>
      </c>
      <c r="L15" t="n">
        <v>48267</v>
      </c>
      <c r="M15" t="n">
        <v>33320</v>
      </c>
      <c r="N15" t="n">
        <v>378239</v>
      </c>
      <c r="O15" t="n">
        <v>5418</v>
      </c>
      <c r="P15" t="n">
        <v>146466</v>
      </c>
      <c r="Q15" t="n">
        <v>2991042</v>
      </c>
      <c r="R15" t="n">
        <v>31</v>
      </c>
      <c r="S15" t="n">
        <v>0</v>
      </c>
      <c r="T15" t="n">
        <v>0</v>
      </c>
      <c r="U15" t="n">
        <v>0</v>
      </c>
      <c r="V15" t="n">
        <v>247386</v>
      </c>
      <c r="W15" t="n">
        <v>4137795</v>
      </c>
      <c r="X15" t="n">
        <v>53716</v>
      </c>
      <c r="Y15">
        <f>IF(ISNUMBER($W15),$W15,0)</f>
        <v/>
      </c>
      <c r="Z15">
        <f>IF(ISNUMBER(SEARCH("Adjustment",$C15)),"excluded",IF($H15="Behind the Meter","excluded",IF(NOT(OR($E15="Bundled",$E15="Energy")),"excluded",IF(OR($H15="Retail Power Marketer",$H15="Community Choice Aggregator",$E15="Energy"),"procurement",IF(OR($H15="Municipal",$H15="Cooperative",$H15="Federal",$H15="State",$H15="Political Subdivision"),"cost_service",IF($H15="Investor Owned",IF(AND(COUNTIF(Parameters!$A$4:$A$33,$G15)&gt;0,COUNTIF(Parameters!$B$4:$B$33,$B15)=0),"procurement","cost_service"),"unclassified"))))))</f>
        <v/>
      </c>
    </row>
    <row r="16">
      <c r="A16" t="n">
        <v>2024</v>
      </c>
      <c r="B16" t="n">
        <v>5326</v>
      </c>
      <c r="C16" t="inlineStr">
        <is>
          <t>PUD No 1 of Douglas County</t>
        </is>
      </c>
      <c r="D16" t="inlineStr">
        <is>
          <t>A</t>
        </is>
      </c>
      <c r="E16" t="inlineStr">
        <is>
          <t>Bundled</t>
        </is>
      </c>
      <c r="F16" t="inlineStr">
        <is>
          <t>O</t>
        </is>
      </c>
      <c r="G16" t="inlineStr">
        <is>
          <t>WA</t>
        </is>
      </c>
      <c r="H16" t="inlineStr">
        <is>
          <t>Political Subdivision</t>
        </is>
      </c>
      <c r="I16" t="inlineStr">
        <is>
          <t>DOPD</t>
        </is>
      </c>
      <c r="J16" t="n">
        <v>14320</v>
      </c>
      <c r="K16" t="n">
        <v>454640</v>
      </c>
      <c r="L16" t="n">
        <v>16667</v>
      </c>
      <c r="M16" t="n">
        <v>43060</v>
      </c>
      <c r="N16" t="n">
        <v>1099016</v>
      </c>
      <c r="O16" t="n">
        <v>828</v>
      </c>
      <c r="P16" t="n">
        <v>1367</v>
      </c>
      <c r="Q16" t="n">
        <v>47373</v>
      </c>
      <c r="R16" t="n">
        <v>58</v>
      </c>
      <c r="S16" t="inlineStr">
        <is>
          <t>.</t>
        </is>
      </c>
      <c r="T16" t="inlineStr">
        <is>
          <t>.</t>
        </is>
      </c>
      <c r="U16" t="inlineStr">
        <is>
          <t>.</t>
        </is>
      </c>
      <c r="V16" t="n">
        <v>58747</v>
      </c>
      <c r="W16" t="n">
        <v>1601029</v>
      </c>
      <c r="X16" t="n">
        <v>17553</v>
      </c>
      <c r="Y16">
        <f>IF(ISNUMBER($W16),$W16,0)</f>
        <v/>
      </c>
      <c r="Z16">
        <f>IF(ISNUMBER(SEARCH("Adjustment",$C16)),"excluded",IF($H16="Behind the Meter","excluded",IF(NOT(OR($E16="Bundled",$E16="Energy")),"excluded",IF(OR($H16="Retail Power Marketer",$H16="Community Choice Aggregator",$E16="Energy"),"procurement",IF(OR($H16="Municipal",$H16="Cooperative",$H16="Federal",$H16="State",$H16="Political Subdivision"),"cost_service",IF($H16="Investor Owned",IF(AND(COUNTIF(Parameters!$A$4:$A$33,$G16)&gt;0,COUNTIF(Parameters!$B$4:$B$33,$B16)=0),"procurement","cost_service"),"unclassified"))))))</f>
        <v/>
      </c>
    </row>
    <row r="17">
      <c r="A17" t="n">
        <v>2024</v>
      </c>
      <c r="B17" t="n">
        <v>5832</v>
      </c>
      <c r="C17" t="inlineStr">
        <is>
          <t>Elmhurst Mutual Power &amp; Light Co</t>
        </is>
      </c>
      <c r="D17" t="inlineStr">
        <is>
          <t>A</t>
        </is>
      </c>
      <c r="E17" t="inlineStr">
        <is>
          <t>Bundled</t>
        </is>
      </c>
      <c r="F17" t="inlineStr">
        <is>
          <t>O</t>
        </is>
      </c>
      <c r="G17" t="inlineStr">
        <is>
          <t>WA</t>
        </is>
      </c>
      <c r="H17" t="inlineStr">
        <is>
          <t>Cooperative</t>
        </is>
      </c>
      <c r="I17" t="inlineStr">
        <is>
          <t>BPAT</t>
        </is>
      </c>
      <c r="J17" t="n">
        <v>18921.7</v>
      </c>
      <c r="K17" t="n">
        <v>227517</v>
      </c>
      <c r="L17" t="n">
        <v>15410</v>
      </c>
      <c r="M17" t="n">
        <v>3919.3</v>
      </c>
      <c r="N17" t="n">
        <v>47127</v>
      </c>
      <c r="O17" t="n">
        <v>785</v>
      </c>
      <c r="P17" t="inlineStr">
        <is>
          <t>.</t>
        </is>
      </c>
      <c r="Q17" t="inlineStr">
        <is>
          <t>.</t>
        </is>
      </c>
      <c r="R17" t="inlineStr">
        <is>
          <t>.</t>
        </is>
      </c>
      <c r="S17" t="inlineStr">
        <is>
          <t>.</t>
        </is>
      </c>
      <c r="T17" t="inlineStr">
        <is>
          <t>.</t>
        </is>
      </c>
      <c r="U17" t="inlineStr">
        <is>
          <t>.</t>
        </is>
      </c>
      <c r="V17" t="n">
        <v>22841</v>
      </c>
      <c r="W17" t="n">
        <v>274644</v>
      </c>
      <c r="X17" t="n">
        <v>16195</v>
      </c>
      <c r="Y17">
        <f>IF(ISNUMBER($W17),$W17,0)</f>
        <v/>
      </c>
      <c r="Z17">
        <f>IF(ISNUMBER(SEARCH("Adjustment",$C17)),"excluded",IF($H17="Behind the Meter","excluded",IF(NOT(OR($E17="Bundled",$E17="Energy")),"excluded",IF(OR($H17="Retail Power Marketer",$H17="Community Choice Aggregator",$E17="Energy"),"procurement",IF(OR($H17="Municipal",$H17="Cooperative",$H17="Federal",$H17="State",$H17="Political Subdivision"),"cost_service",IF($H17="Investor Owned",IF(AND(COUNTIF(Parameters!$A$4:$A$33,$G17)&gt;0,COUNTIF(Parameters!$B$4:$B$33,$B17)=0),"procurement","cost_service"),"unclassified"))))))</f>
        <v/>
      </c>
    </row>
    <row r="18">
      <c r="A18" t="n">
        <v>2024</v>
      </c>
      <c r="B18" t="n">
        <v>6149</v>
      </c>
      <c r="C18" t="inlineStr">
        <is>
          <t>City of Ellensburg - (WA)</t>
        </is>
      </c>
      <c r="D18" t="inlineStr">
        <is>
          <t>A</t>
        </is>
      </c>
      <c r="E18" t="inlineStr">
        <is>
          <t>Bundled</t>
        </is>
      </c>
      <c r="F18" t="inlineStr">
        <is>
          <t>O</t>
        </is>
      </c>
      <c r="G18" t="inlineStr">
        <is>
          <t>WA</t>
        </is>
      </c>
      <c r="H18" t="inlineStr">
        <is>
          <t>Municipal</t>
        </is>
      </c>
      <c r="I18" t="inlineStr">
        <is>
          <t>BPAT</t>
        </is>
      </c>
      <c r="J18" t="n">
        <v>9950</v>
      </c>
      <c r="K18" t="n">
        <v>95700</v>
      </c>
      <c r="L18" t="n">
        <v>8799</v>
      </c>
      <c r="M18" t="n">
        <v>9245</v>
      </c>
      <c r="N18" t="n">
        <v>119740</v>
      </c>
      <c r="O18" t="n">
        <v>1378</v>
      </c>
      <c r="P18" t="n">
        <v>642</v>
      </c>
      <c r="Q18" t="n">
        <v>9078</v>
      </c>
      <c r="R18" t="n">
        <v>1</v>
      </c>
      <c r="S18" t="inlineStr">
        <is>
          <t>.</t>
        </is>
      </c>
      <c r="T18" t="inlineStr">
        <is>
          <t>.</t>
        </is>
      </c>
      <c r="U18" t="inlineStr">
        <is>
          <t>.</t>
        </is>
      </c>
      <c r="V18" t="n">
        <v>19837</v>
      </c>
      <c r="W18" t="n">
        <v>224518</v>
      </c>
      <c r="X18" t="n">
        <v>10178</v>
      </c>
      <c r="Y18">
        <f>IF(ISNUMBER($W18),$W18,0)</f>
        <v/>
      </c>
      <c r="Z18">
        <f>IF(ISNUMBER(SEARCH("Adjustment",$C18)),"excluded",IF($H18="Behind the Meter","excluded",IF(NOT(OR($E18="Bundled",$E18="Energy")),"excluded",IF(OR($H18="Retail Power Marketer",$H18="Community Choice Aggregator",$E18="Energy"),"procurement",IF(OR($H18="Municipal",$H18="Cooperative",$H18="Federal",$H18="State",$H18="Political Subdivision"),"cost_service",IF($H18="Investor Owned",IF(AND(COUNTIF(Parameters!$A$4:$A$33,$G18)&gt;0,COUNTIF(Parameters!$B$4:$B$33,$B18)=0),"procurement","cost_service"),"unclassified"))))))</f>
        <v/>
      </c>
    </row>
    <row r="19">
      <c r="A19" t="n">
        <v>2024</v>
      </c>
      <c r="B19" t="n">
        <v>6716</v>
      </c>
      <c r="C19" t="inlineStr">
        <is>
          <t>PUD No 1 of Franklin County</t>
        </is>
      </c>
      <c r="D19" t="inlineStr">
        <is>
          <t>A</t>
        </is>
      </c>
      <c r="E19" t="inlineStr">
        <is>
          <t>Bundled</t>
        </is>
      </c>
      <c r="F19" t="inlineStr">
        <is>
          <t>O</t>
        </is>
      </c>
      <c r="G19" t="inlineStr">
        <is>
          <t>WA</t>
        </is>
      </c>
      <c r="H19" t="inlineStr">
        <is>
          <t>Political Subdivision</t>
        </is>
      </c>
      <c r="I19" t="inlineStr">
        <is>
          <t>BPAT</t>
        </is>
      </c>
      <c r="J19" t="n">
        <v>38424</v>
      </c>
      <c r="K19" t="n">
        <v>396763</v>
      </c>
      <c r="L19" t="n">
        <v>27388</v>
      </c>
      <c r="M19" t="n">
        <v>32470</v>
      </c>
      <c r="N19" t="n">
        <v>435005</v>
      </c>
      <c r="O19" t="n">
        <v>2032</v>
      </c>
      <c r="P19" t="n">
        <v>17730</v>
      </c>
      <c r="Q19" t="n">
        <v>272401</v>
      </c>
      <c r="R19" t="n">
        <v>332</v>
      </c>
      <c r="S19" t="inlineStr">
        <is>
          <t>.</t>
        </is>
      </c>
      <c r="T19" t="inlineStr">
        <is>
          <t>.</t>
        </is>
      </c>
      <c r="U19" t="inlineStr">
        <is>
          <t>.</t>
        </is>
      </c>
      <c r="V19" t="n">
        <v>88624</v>
      </c>
      <c r="W19" t="n">
        <v>1104169</v>
      </c>
      <c r="X19" t="n">
        <v>29752</v>
      </c>
      <c r="Y19">
        <f>IF(ISNUMBER($W19),$W19,0)</f>
        <v/>
      </c>
      <c r="Z19">
        <f>IF(ISNUMBER(SEARCH("Adjustment",$C19)),"excluded",IF($H19="Behind the Meter","excluded",IF(NOT(OR($E19="Bundled",$E19="Energy")),"excluded",IF(OR($H19="Retail Power Marketer",$H19="Community Choice Aggregator",$E19="Energy"),"procurement",IF(OR($H19="Municipal",$H19="Cooperative",$H19="Federal",$H19="State",$H19="Political Subdivision"),"cost_service",IF($H19="Investor Owned",IF(AND(COUNTIF(Parameters!$A$4:$A$33,$G19)&gt;0,COUNTIF(Parameters!$B$4:$B$33,$B19)=0),"procurement","cost_service"),"unclassified"))))))</f>
        <v/>
      </c>
    </row>
    <row r="20">
      <c r="A20" t="n">
        <v>2024</v>
      </c>
      <c r="B20" t="n">
        <v>7548</v>
      </c>
      <c r="C20" t="inlineStr">
        <is>
          <t>PUD No 1 of Grays Harbor County</t>
        </is>
      </c>
      <c r="D20" t="inlineStr">
        <is>
          <t>A</t>
        </is>
      </c>
      <c r="E20" t="inlineStr">
        <is>
          <t>Bundled</t>
        </is>
      </c>
      <c r="F20" t="inlineStr">
        <is>
          <t>O</t>
        </is>
      </c>
      <c r="G20" t="inlineStr">
        <is>
          <t>WA</t>
        </is>
      </c>
      <c r="H20" t="inlineStr">
        <is>
          <t>Political Subdivision</t>
        </is>
      </c>
      <c r="I20" t="inlineStr">
        <is>
          <t>BPAT</t>
        </is>
      </c>
      <c r="J20" t="n">
        <v>63187</v>
      </c>
      <c r="K20" t="n">
        <v>504823</v>
      </c>
      <c r="L20" t="n">
        <v>39881</v>
      </c>
      <c r="M20" t="n">
        <v>33836</v>
      </c>
      <c r="N20" t="n">
        <v>314970</v>
      </c>
      <c r="O20" t="n">
        <v>5686</v>
      </c>
      <c r="P20" t="n">
        <v>6463</v>
      </c>
      <c r="Q20" t="n">
        <v>111396</v>
      </c>
      <c r="R20" t="n">
        <v>20</v>
      </c>
      <c r="S20" t="n">
        <v>0</v>
      </c>
      <c r="T20" t="n">
        <v>0</v>
      </c>
      <c r="U20" t="n">
        <v>0</v>
      </c>
      <c r="V20" t="n">
        <v>103486</v>
      </c>
      <c r="W20" t="n">
        <v>931189</v>
      </c>
      <c r="X20" t="n">
        <v>45587</v>
      </c>
      <c r="Y20">
        <f>IF(ISNUMBER($W20),$W20,0)</f>
        <v/>
      </c>
      <c r="Z20">
        <f>IF(ISNUMBER(SEARCH("Adjustment",$C20)),"excluded",IF($H20="Behind the Meter","excluded",IF(NOT(OR($E20="Bundled",$E20="Energy")),"excluded",IF(OR($H20="Retail Power Marketer",$H20="Community Choice Aggregator",$E20="Energy"),"procurement",IF(OR($H20="Municipal",$H20="Cooperative",$H20="Federal",$H20="State",$H20="Political Subdivision"),"cost_service",IF($H20="Investor Owned",IF(AND(COUNTIF(Parameters!$A$4:$A$33,$G20)&gt;0,COUNTIF(Parameters!$B$4:$B$33,$B20)=0),"procurement","cost_service"),"unclassified"))))))</f>
        <v/>
      </c>
    </row>
    <row r="21">
      <c r="A21" t="n">
        <v>2024</v>
      </c>
      <c r="B21" t="n">
        <v>8699</v>
      </c>
      <c r="C21" t="inlineStr">
        <is>
          <t>Inland Power &amp; Light Company</t>
        </is>
      </c>
      <c r="D21" t="inlineStr">
        <is>
          <t>A</t>
        </is>
      </c>
      <c r="E21" t="inlineStr">
        <is>
          <t>Bundled</t>
        </is>
      </c>
      <c r="F21" t="inlineStr">
        <is>
          <t>O</t>
        </is>
      </c>
      <c r="G21" t="inlineStr">
        <is>
          <t>WA</t>
        </is>
      </c>
      <c r="H21" t="inlineStr">
        <is>
          <t>Cooperative</t>
        </is>
      </c>
      <c r="I21" t="inlineStr">
        <is>
          <t>BPAT</t>
        </is>
      </c>
      <c r="J21" t="n">
        <v>64202.2</v>
      </c>
      <c r="K21" t="n">
        <v>715220</v>
      </c>
      <c r="L21" t="n">
        <v>41684</v>
      </c>
      <c r="M21" t="n">
        <v>18210.9</v>
      </c>
      <c r="N21" t="n">
        <v>209378</v>
      </c>
      <c r="O21" t="n">
        <v>3348</v>
      </c>
      <c r="P21" t="n">
        <v>6478.1</v>
      </c>
      <c r="Q21" t="n">
        <v>99958</v>
      </c>
      <c r="R21" t="n">
        <v>504</v>
      </c>
      <c r="S21" t="n">
        <v>0</v>
      </c>
      <c r="T21" t="n">
        <v>0</v>
      </c>
      <c r="U21" t="n">
        <v>0</v>
      </c>
      <c r="V21" t="n">
        <v>88891.2</v>
      </c>
      <c r="W21" t="n">
        <v>1024556</v>
      </c>
      <c r="X21" t="n">
        <v>45536</v>
      </c>
      <c r="Y21">
        <f>IF(ISNUMBER($W21),$W21,0)</f>
        <v/>
      </c>
      <c r="Z21">
        <f>IF(ISNUMBER(SEARCH("Adjustment",$C21)),"excluded",IF($H21="Behind the Meter","excluded",IF(NOT(OR($E21="Bundled",$E21="Energy")),"excluded",IF(OR($H21="Retail Power Marketer",$H21="Community Choice Aggregator",$E21="Energy"),"procurement",IF(OR($H21="Municipal",$H21="Cooperative",$H21="Federal",$H21="State",$H21="Political Subdivision"),"cost_service",IF($H21="Investor Owned",IF(AND(COUNTIF(Parameters!$A$4:$A$33,$G21)&gt;0,COUNTIF(Parameters!$B$4:$B$33,$B21)=0),"procurement","cost_service"),"unclassified"))))))</f>
        <v/>
      </c>
    </row>
    <row r="22">
      <c r="A22" t="n">
        <v>2024</v>
      </c>
      <c r="B22" t="n">
        <v>10393</v>
      </c>
      <c r="C22" t="inlineStr">
        <is>
          <t>PUD No 1 of Klickitat County</t>
        </is>
      </c>
      <c r="D22" t="inlineStr">
        <is>
          <t>A</t>
        </is>
      </c>
      <c r="E22" t="inlineStr">
        <is>
          <t>Bundled</t>
        </is>
      </c>
      <c r="F22" t="inlineStr">
        <is>
          <t>O</t>
        </is>
      </c>
      <c r="G22" t="inlineStr">
        <is>
          <t>WA</t>
        </is>
      </c>
      <c r="H22" t="inlineStr">
        <is>
          <t>Political Subdivision</t>
        </is>
      </c>
      <c r="I22" t="inlineStr">
        <is>
          <t>BPAT</t>
        </is>
      </c>
      <c r="J22" t="n">
        <v>19790</v>
      </c>
      <c r="K22" t="n">
        <v>164190</v>
      </c>
      <c r="L22" t="n">
        <v>11917</v>
      </c>
      <c r="M22" t="n">
        <v>11226</v>
      </c>
      <c r="N22" t="n">
        <v>112111</v>
      </c>
      <c r="O22" t="n">
        <v>2115</v>
      </c>
      <c r="P22" t="n">
        <v>6642</v>
      </c>
      <c r="Q22" t="n">
        <v>105219</v>
      </c>
      <c r="R22" t="n">
        <v>254</v>
      </c>
      <c r="S22" t="inlineStr">
        <is>
          <t>.</t>
        </is>
      </c>
      <c r="T22" t="inlineStr">
        <is>
          <t>.</t>
        </is>
      </c>
      <c r="U22" t="inlineStr">
        <is>
          <t>.</t>
        </is>
      </c>
      <c r="V22" t="n">
        <v>37658</v>
      </c>
      <c r="W22" t="n">
        <v>381520</v>
      </c>
      <c r="X22" t="n">
        <v>14286</v>
      </c>
      <c r="Y22">
        <f>IF(ISNUMBER($W22),$W22,0)</f>
        <v/>
      </c>
      <c r="Z22">
        <f>IF(ISNUMBER(SEARCH("Adjustment",$C22)),"excluded",IF($H22="Behind the Meter","excluded",IF(NOT(OR($E22="Bundled",$E22="Energy")),"excluded",IF(OR($H22="Retail Power Marketer",$H22="Community Choice Aggregator",$E22="Energy"),"procurement",IF(OR($H22="Municipal",$H22="Cooperative",$H22="Federal",$H22="State",$H22="Political Subdivision"),"cost_service",IF($H22="Investor Owned",IF(AND(COUNTIF(Parameters!$A$4:$A$33,$G22)&gt;0,COUNTIF(Parameters!$B$4:$B$33,$B22)=0),"procurement","cost_service"),"unclassified"))))))</f>
        <v/>
      </c>
    </row>
    <row r="23">
      <c r="A23" t="n">
        <v>2024</v>
      </c>
      <c r="B23" t="n">
        <v>10454</v>
      </c>
      <c r="C23" t="inlineStr">
        <is>
          <t>Kootenai Electric Cooperative</t>
        </is>
      </c>
      <c r="D23" t="inlineStr">
        <is>
          <t>A</t>
        </is>
      </c>
      <c r="E23" t="inlineStr">
        <is>
          <t>Bundled</t>
        </is>
      </c>
      <c r="F23" t="inlineStr">
        <is>
          <t>O</t>
        </is>
      </c>
      <c r="G23" t="inlineStr">
        <is>
          <t>WA</t>
        </is>
      </c>
      <c r="H23" t="inlineStr">
        <is>
          <t>Cooperative</t>
        </is>
      </c>
      <c r="I23" t="inlineStr">
        <is>
          <t>AVA</t>
        </is>
      </c>
      <c r="J23" t="n">
        <v>258.4</v>
      </c>
      <c r="K23" t="n">
        <v>2377</v>
      </c>
      <c r="L23" t="n">
        <v>92</v>
      </c>
      <c r="M23" t="n">
        <v>24.5</v>
      </c>
      <c r="N23" t="n">
        <v>226</v>
      </c>
      <c r="O23" t="n">
        <v>4</v>
      </c>
      <c r="P23" t="n">
        <v>0.3</v>
      </c>
      <c r="Q23" t="n">
        <v>0</v>
      </c>
      <c r="R23" t="n">
        <v>1</v>
      </c>
      <c r="S23" t="n">
        <v>0</v>
      </c>
      <c r="T23" t="n">
        <v>0</v>
      </c>
      <c r="U23" t="n">
        <v>0</v>
      </c>
      <c r="V23" t="n">
        <v>283.2</v>
      </c>
      <c r="W23" t="n">
        <v>2603</v>
      </c>
      <c r="X23" t="n">
        <v>97</v>
      </c>
      <c r="Y23">
        <f>IF(ISNUMBER($W23),$W23,0)</f>
        <v/>
      </c>
      <c r="Z23">
        <f>IF(ISNUMBER(SEARCH("Adjustment",$C23)),"excluded",IF($H23="Behind the Meter","excluded",IF(NOT(OR($E23="Bundled",$E23="Energy")),"excluded",IF(OR($H23="Retail Power Marketer",$H23="Community Choice Aggregator",$E23="Energy"),"procurement",IF(OR($H23="Municipal",$H23="Cooperative",$H23="Federal",$H23="State",$H23="Political Subdivision"),"cost_service",IF($H23="Investor Owned",IF(AND(COUNTIF(Parameters!$A$4:$A$33,$G23)&gt;0,COUNTIF(Parameters!$B$4:$B$33,$B23)=0),"procurement","cost_service"),"unclassified"))))))</f>
        <v/>
      </c>
    </row>
    <row r="24">
      <c r="A24" t="n">
        <v>2024</v>
      </c>
      <c r="B24" t="n">
        <v>10627</v>
      </c>
      <c r="C24" t="inlineStr">
        <is>
          <t>Lakeview Light &amp; Power</t>
        </is>
      </c>
      <c r="D24" t="inlineStr">
        <is>
          <t>A</t>
        </is>
      </c>
      <c r="E24" t="inlineStr">
        <is>
          <t>Bundled</t>
        </is>
      </c>
      <c r="F24" t="inlineStr">
        <is>
          <t>O</t>
        </is>
      </c>
      <c r="G24" t="inlineStr">
        <is>
          <t>WA</t>
        </is>
      </c>
      <c r="H24" t="inlineStr">
        <is>
          <t>Cooperative</t>
        </is>
      </c>
      <c r="I24" t="inlineStr">
        <is>
          <t>BPAT</t>
        </is>
      </c>
      <c r="J24" t="n">
        <v>10615</v>
      </c>
      <c r="K24" t="n">
        <v>107115</v>
      </c>
      <c r="L24" t="n">
        <v>8238</v>
      </c>
      <c r="M24" t="n">
        <v>7806</v>
      </c>
      <c r="N24" t="n">
        <v>82879</v>
      </c>
      <c r="O24" t="n">
        <v>2151</v>
      </c>
      <c r="P24" t="n">
        <v>4796</v>
      </c>
      <c r="Q24" t="n">
        <v>58861</v>
      </c>
      <c r="R24" t="n">
        <v>49</v>
      </c>
      <c r="S24" t="inlineStr">
        <is>
          <t>.</t>
        </is>
      </c>
      <c r="T24" t="inlineStr">
        <is>
          <t>.</t>
        </is>
      </c>
      <c r="U24" t="inlineStr">
        <is>
          <t>.</t>
        </is>
      </c>
      <c r="V24" t="n">
        <v>23217</v>
      </c>
      <c r="W24" t="n">
        <v>248855</v>
      </c>
      <c r="X24" t="n">
        <v>10438</v>
      </c>
      <c r="Y24">
        <f>IF(ISNUMBER($W24),$W24,0)</f>
        <v/>
      </c>
      <c r="Z24">
        <f>IF(ISNUMBER(SEARCH("Adjustment",$C24)),"excluded",IF($H24="Behind the Meter","excluded",IF(NOT(OR($E24="Bundled",$E24="Energy")),"excluded",IF(OR($H24="Retail Power Marketer",$H24="Community Choice Aggregator",$E24="Energy"),"procurement",IF(OR($H24="Municipal",$H24="Cooperative",$H24="Federal",$H24="State",$H24="Political Subdivision"),"cost_service",IF($H24="Investor Owned",IF(AND(COUNTIF(Parameters!$A$4:$A$33,$G24)&gt;0,COUNTIF(Parameters!$B$4:$B$33,$B24)=0),"procurement","cost_service"),"unclassified"))))))</f>
        <v/>
      </c>
    </row>
    <row r="25">
      <c r="A25" t="n">
        <v>2024</v>
      </c>
      <c r="B25" t="n">
        <v>10944</v>
      </c>
      <c r="C25" t="inlineStr">
        <is>
          <t>PUD No 1 of Lewis County</t>
        </is>
      </c>
      <c r="D25" t="inlineStr">
        <is>
          <t>A</t>
        </is>
      </c>
      <c r="E25" t="inlineStr">
        <is>
          <t>Bundled</t>
        </is>
      </c>
      <c r="F25" t="inlineStr">
        <is>
          <t>O</t>
        </is>
      </c>
      <c r="G25" t="inlineStr">
        <is>
          <t>WA</t>
        </is>
      </c>
      <c r="H25" t="inlineStr">
        <is>
          <t>Political Subdivision</t>
        </is>
      </c>
      <c r="I25" t="inlineStr">
        <is>
          <t>BPAT</t>
        </is>
      </c>
      <c r="J25" t="n">
        <v>46703.1</v>
      </c>
      <c r="K25" t="n">
        <v>492598</v>
      </c>
      <c r="L25" t="n">
        <v>29417</v>
      </c>
      <c r="M25" t="n">
        <v>16407.4</v>
      </c>
      <c r="N25" t="n">
        <v>190531</v>
      </c>
      <c r="O25" t="n">
        <v>5213</v>
      </c>
      <c r="P25" t="n">
        <v>17921.7</v>
      </c>
      <c r="Q25" t="n">
        <v>278086</v>
      </c>
      <c r="R25" t="n">
        <v>136</v>
      </c>
      <c r="S25" t="inlineStr">
        <is>
          <t>.</t>
        </is>
      </c>
      <c r="T25" t="inlineStr">
        <is>
          <t>.</t>
        </is>
      </c>
      <c r="U25" t="inlineStr">
        <is>
          <t>.</t>
        </is>
      </c>
      <c r="V25" t="n">
        <v>81032.2</v>
      </c>
      <c r="W25" t="n">
        <v>961215</v>
      </c>
      <c r="X25" t="n">
        <v>34766</v>
      </c>
      <c r="Y25">
        <f>IF(ISNUMBER($W25),$W25,0)</f>
        <v/>
      </c>
      <c r="Z25">
        <f>IF(ISNUMBER(SEARCH("Adjustment",$C25)),"excluded",IF($H25="Behind the Meter","excluded",IF(NOT(OR($E25="Bundled",$E25="Energy")),"excluded",IF(OR($H25="Retail Power Marketer",$H25="Community Choice Aggregator",$E25="Energy"),"procurement",IF(OR($H25="Municipal",$H25="Cooperative",$H25="Federal",$H25="State",$H25="Political Subdivision"),"cost_service",IF($H25="Investor Owned",IF(AND(COUNTIF(Parameters!$A$4:$A$33,$G25)&gt;0,COUNTIF(Parameters!$B$4:$B$33,$B25)=0),"procurement","cost_service"),"unclassified"))))))</f>
        <v/>
      </c>
    </row>
    <row r="26">
      <c r="A26" t="n">
        <v>2024</v>
      </c>
      <c r="B26" t="n">
        <v>12744</v>
      </c>
      <c r="C26" t="inlineStr">
        <is>
          <t>Modern Electric Water Company</t>
        </is>
      </c>
      <c r="D26" t="inlineStr">
        <is>
          <t>A</t>
        </is>
      </c>
      <c r="E26" t="inlineStr">
        <is>
          <t>Bundled</t>
        </is>
      </c>
      <c r="F26" t="inlineStr">
        <is>
          <t>O</t>
        </is>
      </c>
      <c r="G26" t="inlineStr">
        <is>
          <t>WA</t>
        </is>
      </c>
      <c r="H26" t="inlineStr">
        <is>
          <t>Cooperative</t>
        </is>
      </c>
      <c r="I26" t="inlineStr">
        <is>
          <t>AVA</t>
        </is>
      </c>
      <c r="J26" t="n">
        <v>7588.6</v>
      </c>
      <c r="K26" t="n">
        <v>102145</v>
      </c>
      <c r="L26" t="n">
        <v>9181</v>
      </c>
      <c r="M26" t="n">
        <v>8563.9</v>
      </c>
      <c r="N26" t="n">
        <v>122895</v>
      </c>
      <c r="O26" t="n">
        <v>1748</v>
      </c>
      <c r="P26" t="inlineStr">
        <is>
          <t>.</t>
        </is>
      </c>
      <c r="Q26" t="inlineStr">
        <is>
          <t>.</t>
        </is>
      </c>
      <c r="R26" t="inlineStr">
        <is>
          <t>.</t>
        </is>
      </c>
      <c r="S26" t="inlineStr">
        <is>
          <t>.</t>
        </is>
      </c>
      <c r="T26" t="inlineStr">
        <is>
          <t>.</t>
        </is>
      </c>
      <c r="U26" t="inlineStr">
        <is>
          <t>.</t>
        </is>
      </c>
      <c r="V26" t="n">
        <v>16152.5</v>
      </c>
      <c r="W26" t="n">
        <v>225040</v>
      </c>
      <c r="X26" t="n">
        <v>10929</v>
      </c>
      <c r="Y26">
        <f>IF(ISNUMBER($W26),$W26,0)</f>
        <v/>
      </c>
      <c r="Z26">
        <f>IF(ISNUMBER(SEARCH("Adjustment",$C26)),"excluded",IF($H26="Behind the Meter","excluded",IF(NOT(OR($E26="Bundled",$E26="Energy")),"excluded",IF(OR($H26="Retail Power Marketer",$H26="Community Choice Aggregator",$E26="Energy"),"procurement",IF(OR($H26="Municipal",$H26="Cooperative",$H26="Federal",$H26="State",$H26="Political Subdivision"),"cost_service",IF($H26="Investor Owned",IF(AND(COUNTIF(Parameters!$A$4:$A$33,$G26)&gt;0,COUNTIF(Parameters!$B$4:$B$33,$B26)=0),"procurement","cost_service"),"unclassified"))))))</f>
        <v/>
      </c>
    </row>
    <row r="27">
      <c r="A27" t="n">
        <v>2024</v>
      </c>
      <c r="B27" t="n">
        <v>13758</v>
      </c>
      <c r="C27" t="inlineStr">
        <is>
          <t>Northern Lights, Inc</t>
        </is>
      </c>
      <c r="D27" t="inlineStr">
        <is>
          <t>A</t>
        </is>
      </c>
      <c r="E27" t="inlineStr">
        <is>
          <t>Bundled</t>
        </is>
      </c>
      <c r="F27" t="inlineStr">
        <is>
          <t>O</t>
        </is>
      </c>
      <c r="G27" t="inlineStr">
        <is>
          <t>WA</t>
        </is>
      </c>
      <c r="H27" t="inlineStr">
        <is>
          <t>Cooperative</t>
        </is>
      </c>
      <c r="I27" t="inlineStr">
        <is>
          <t>BPAT</t>
        </is>
      </c>
      <c r="J27" t="n">
        <v>28</v>
      </c>
      <c r="K27" t="n">
        <v>233</v>
      </c>
      <c r="L27" t="n">
        <v>14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28</v>
      </c>
      <c r="W27" t="n">
        <v>233</v>
      </c>
      <c r="X27" t="n">
        <v>14</v>
      </c>
      <c r="Y27">
        <f>IF(ISNUMBER($W27),$W27,0)</f>
        <v/>
      </c>
      <c r="Z27">
        <f>IF(ISNUMBER(SEARCH("Adjustment",$C27)),"excluded",IF($H27="Behind the Meter","excluded",IF(NOT(OR($E27="Bundled",$E27="Energy")),"excluded",IF(OR($H27="Retail Power Marketer",$H27="Community Choice Aggregator",$E27="Energy"),"procurement",IF(OR($H27="Municipal",$H27="Cooperative",$H27="Federal",$H27="State",$H27="Political Subdivision"),"cost_service",IF($H27="Investor Owned",IF(AND(COUNTIF(Parameters!$A$4:$A$33,$G27)&gt;0,COUNTIF(Parameters!$B$4:$B$33,$B27)=0),"procurement","cost_service"),"unclassified"))))))</f>
        <v/>
      </c>
    </row>
    <row r="28">
      <c r="A28" t="n">
        <v>2024</v>
      </c>
      <c r="B28" t="n">
        <v>14055</v>
      </c>
      <c r="C28" t="inlineStr">
        <is>
          <t>PUD No 1 of Okanogan County</t>
        </is>
      </c>
      <c r="D28" t="inlineStr">
        <is>
          <t>A</t>
        </is>
      </c>
      <c r="E28" t="inlineStr">
        <is>
          <t>Bundled</t>
        </is>
      </c>
      <c r="F28" t="inlineStr">
        <is>
          <t>O</t>
        </is>
      </c>
      <c r="G28" t="inlineStr">
        <is>
          <t>WA</t>
        </is>
      </c>
      <c r="H28" t="inlineStr">
        <is>
          <t>Political Subdivision</t>
        </is>
      </c>
      <c r="I28" t="inlineStr">
        <is>
          <t>DOPD</t>
        </is>
      </c>
      <c r="J28" t="n">
        <v>30420</v>
      </c>
      <c r="K28" t="n">
        <v>297361</v>
      </c>
      <c r="L28" t="n">
        <v>18133</v>
      </c>
      <c r="M28" t="n">
        <v>25333.2</v>
      </c>
      <c r="N28" t="n">
        <v>315880</v>
      </c>
      <c r="O28" t="n">
        <v>4020</v>
      </c>
      <c r="P28" t="n">
        <v>934.6</v>
      </c>
      <c r="Q28" t="n">
        <v>13173</v>
      </c>
      <c r="R28" t="n">
        <v>2</v>
      </c>
      <c r="S28" t="inlineStr">
        <is>
          <t>.</t>
        </is>
      </c>
      <c r="T28" t="inlineStr">
        <is>
          <t>.</t>
        </is>
      </c>
      <c r="U28" t="inlineStr">
        <is>
          <t>.</t>
        </is>
      </c>
      <c r="V28" t="n">
        <v>56687.8</v>
      </c>
      <c r="W28" t="n">
        <v>626414</v>
      </c>
      <c r="X28" t="n">
        <v>22155</v>
      </c>
      <c r="Y28">
        <f>IF(ISNUMBER($W28),$W28,0)</f>
        <v/>
      </c>
      <c r="Z28">
        <f>IF(ISNUMBER(SEARCH("Adjustment",$C28)),"excluded",IF($H28="Behind the Meter","excluded",IF(NOT(OR($E28="Bundled",$E28="Energy")),"excluded",IF(OR($H28="Retail Power Marketer",$H28="Community Choice Aggregator",$E28="Energy"),"procurement",IF(OR($H28="Municipal",$H28="Cooperative",$H28="Federal",$H28="State",$H28="Political Subdivision"),"cost_service",IF($H28="Investor Owned",IF(AND(COUNTIF(Parameters!$A$4:$A$33,$G28)&gt;0,COUNTIF(Parameters!$B$4:$B$33,$B28)=0),"procurement","cost_service"),"unclassified"))))))</f>
        <v/>
      </c>
    </row>
    <row r="29">
      <c r="A29" t="n">
        <v>2024</v>
      </c>
      <c r="B29" t="n">
        <v>14170</v>
      </c>
      <c r="C29" t="inlineStr">
        <is>
          <t>Orcas Power &amp; Light Coop</t>
        </is>
      </c>
      <c r="D29" t="inlineStr">
        <is>
          <t>A</t>
        </is>
      </c>
      <c r="E29" t="inlineStr">
        <is>
          <t>Bundled</t>
        </is>
      </c>
      <c r="F29" t="inlineStr">
        <is>
          <t>O</t>
        </is>
      </c>
      <c r="G29" t="inlineStr">
        <is>
          <t>WA</t>
        </is>
      </c>
      <c r="H29" t="inlineStr">
        <is>
          <t>Cooperative</t>
        </is>
      </c>
      <c r="I29" t="inlineStr">
        <is>
          <t>BPAT</t>
        </is>
      </c>
      <c r="J29" t="n">
        <v>29823</v>
      </c>
      <c r="K29" t="n">
        <v>162295</v>
      </c>
      <c r="L29" t="n">
        <v>13948</v>
      </c>
      <c r="M29" t="n">
        <v>9490</v>
      </c>
      <c r="N29" t="n">
        <v>56915</v>
      </c>
      <c r="O29" t="n">
        <v>1995</v>
      </c>
      <c r="P29" t="inlineStr">
        <is>
          <t>.</t>
        </is>
      </c>
      <c r="Q29" t="inlineStr">
        <is>
          <t>.</t>
        </is>
      </c>
      <c r="R29" t="inlineStr">
        <is>
          <t>.</t>
        </is>
      </c>
      <c r="S29" t="inlineStr">
        <is>
          <t>.</t>
        </is>
      </c>
      <c r="T29" t="inlineStr">
        <is>
          <t>.</t>
        </is>
      </c>
      <c r="U29" t="inlineStr">
        <is>
          <t>.</t>
        </is>
      </c>
      <c r="V29" t="n">
        <v>39313</v>
      </c>
      <c r="W29" t="n">
        <v>219210</v>
      </c>
      <c r="X29" t="n">
        <v>15943</v>
      </c>
      <c r="Y29">
        <f>IF(ISNUMBER($W29),$W29,0)</f>
        <v/>
      </c>
      <c r="Z29">
        <f>IF(ISNUMBER(SEARCH("Adjustment",$C29)),"excluded",IF($H29="Behind the Meter","excluded",IF(NOT(OR($E29="Bundled",$E29="Energy")),"excluded",IF(OR($H29="Retail Power Marketer",$H29="Community Choice Aggregator",$E29="Energy"),"procurement",IF(OR($H29="Municipal",$H29="Cooperative",$H29="Federal",$H29="State",$H29="Political Subdivision"),"cost_service",IF($H29="Investor Owned",IF(AND(COUNTIF(Parameters!$A$4:$A$33,$G29)&gt;0,COUNTIF(Parameters!$B$4:$B$33,$B29)=0),"procurement","cost_service"),"unclassified"))))))</f>
        <v/>
      </c>
    </row>
    <row r="30">
      <c r="A30" t="n">
        <v>2024</v>
      </c>
      <c r="B30" t="n">
        <v>14324</v>
      </c>
      <c r="C30" t="inlineStr">
        <is>
          <t>PUD No 2 of Pacific County</t>
        </is>
      </c>
      <c r="D30" t="inlineStr">
        <is>
          <t>A</t>
        </is>
      </c>
      <c r="E30" t="inlineStr">
        <is>
          <t>Bundled</t>
        </is>
      </c>
      <c r="F30" t="inlineStr">
        <is>
          <t>O</t>
        </is>
      </c>
      <c r="G30" t="inlineStr">
        <is>
          <t>WA</t>
        </is>
      </c>
      <c r="H30" t="inlineStr">
        <is>
          <t>Political Subdivision</t>
        </is>
      </c>
      <c r="I30" t="inlineStr">
        <is>
          <t>BPAT</t>
        </is>
      </c>
      <c r="J30" t="n">
        <v>18052</v>
      </c>
      <c r="K30" t="n">
        <v>196783</v>
      </c>
      <c r="L30" t="n">
        <v>16513</v>
      </c>
      <c r="M30" t="n">
        <v>7993</v>
      </c>
      <c r="N30" t="n">
        <v>90423</v>
      </c>
      <c r="O30" t="n">
        <v>2063</v>
      </c>
      <c r="P30" t="n">
        <v>1439</v>
      </c>
      <c r="Q30" t="n">
        <v>23911</v>
      </c>
      <c r="R30" t="n">
        <v>1</v>
      </c>
      <c r="S30" t="inlineStr">
        <is>
          <t>.</t>
        </is>
      </c>
      <c r="T30" t="inlineStr">
        <is>
          <t>.</t>
        </is>
      </c>
      <c r="U30" t="inlineStr">
        <is>
          <t>.</t>
        </is>
      </c>
      <c r="V30" t="n">
        <v>27484</v>
      </c>
      <c r="W30" t="n">
        <v>311117</v>
      </c>
      <c r="X30" t="n">
        <v>18577</v>
      </c>
      <c r="Y30">
        <f>IF(ISNUMBER($W30),$W30,0)</f>
        <v/>
      </c>
      <c r="Z30">
        <f>IF(ISNUMBER(SEARCH("Adjustment",$C30)),"excluded",IF($H30="Behind the Meter","excluded",IF(NOT(OR($E30="Bundled",$E30="Energy")),"excluded",IF(OR($H30="Retail Power Marketer",$H30="Community Choice Aggregator",$E30="Energy"),"procurement",IF(OR($H30="Municipal",$H30="Cooperative",$H30="Federal",$H30="State",$H30="Political Subdivision"),"cost_service",IF($H30="Investor Owned",IF(AND(COUNTIF(Parameters!$A$4:$A$33,$G30)&gt;0,COUNTIF(Parameters!$B$4:$B$33,$B30)=0),"procurement","cost_service"),"unclassified"))))))</f>
        <v/>
      </c>
    </row>
    <row r="31">
      <c r="A31" t="n">
        <v>2024</v>
      </c>
      <c r="B31" t="n">
        <v>14349</v>
      </c>
      <c r="C31" t="inlineStr">
        <is>
          <t>Avangrid Power, LLC</t>
        </is>
      </c>
      <c r="D31" t="inlineStr">
        <is>
          <t>B</t>
        </is>
      </c>
      <c r="E31" t="inlineStr">
        <is>
          <t>Energy</t>
        </is>
      </c>
      <c r="F31" t="inlineStr">
        <is>
          <t>O</t>
        </is>
      </c>
      <c r="G31" t="inlineStr">
        <is>
          <t>WA</t>
        </is>
      </c>
      <c r="H31" t="inlineStr">
        <is>
          <t>Retail Power Marketer</t>
        </is>
      </c>
      <c r="I31" t="inlineStr">
        <is>
          <t>PSEI</t>
        </is>
      </c>
      <c r="J31" t="n">
        <v>0</v>
      </c>
      <c r="K31" t="n">
        <v>0</v>
      </c>
      <c r="L31" t="n">
        <v>0</v>
      </c>
      <c r="M31" t="n">
        <v>1021</v>
      </c>
      <c r="N31" t="n">
        <v>32951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1021</v>
      </c>
      <c r="W31" t="n">
        <v>32951</v>
      </c>
      <c r="X31" t="n">
        <v>1</v>
      </c>
      <c r="Y31">
        <f>IF(ISNUMBER($W31),$W31,0)</f>
        <v/>
      </c>
      <c r="Z31">
        <f>IF(ISNUMBER(SEARCH("Adjustment",$C31)),"excluded",IF($H31="Behind the Meter","excluded",IF(NOT(OR($E31="Bundled",$E31="Energy")),"excluded",IF(OR($H31="Retail Power Marketer",$H31="Community Choice Aggregator",$E31="Energy"),"procurement",IF(OR($H31="Municipal",$H31="Cooperative",$H31="Federal",$H31="State",$H31="Political Subdivision"),"cost_service",IF($H31="Investor Owned",IF(AND(COUNTIF(Parameters!$A$4:$A$33,$G31)&gt;0,COUNTIF(Parameters!$B$4:$B$33,$B31)=0),"procurement","cost_service"),"unclassified"))))))</f>
        <v/>
      </c>
    </row>
    <row r="32">
      <c r="A32" t="n">
        <v>2024</v>
      </c>
      <c r="B32" t="n">
        <v>14354</v>
      </c>
      <c r="C32" t="inlineStr">
        <is>
          <t>PacifiCorp</t>
        </is>
      </c>
      <c r="D32" t="inlineStr">
        <is>
          <t>A</t>
        </is>
      </c>
      <c r="E32" t="inlineStr">
        <is>
          <t>Bundled</t>
        </is>
      </c>
      <c r="F32" t="inlineStr">
        <is>
          <t>O</t>
        </is>
      </c>
      <c r="G32" t="inlineStr">
        <is>
          <t>WA</t>
        </is>
      </c>
      <c r="H32" t="inlineStr">
        <is>
          <t>Investor Owned</t>
        </is>
      </c>
      <c r="I32" t="inlineStr">
        <is>
          <t>PACW</t>
        </is>
      </c>
      <c r="J32" t="n">
        <v>179704.9</v>
      </c>
      <c r="K32" t="n">
        <v>1621664</v>
      </c>
      <c r="L32" t="n">
        <v>114453</v>
      </c>
      <c r="M32" t="n">
        <v>157279.4</v>
      </c>
      <c r="N32" t="n">
        <v>1558707</v>
      </c>
      <c r="O32" t="n">
        <v>17383</v>
      </c>
      <c r="P32" t="n">
        <v>77516.89999999999</v>
      </c>
      <c r="Q32" t="n">
        <v>931940</v>
      </c>
      <c r="R32" t="n">
        <v>5427</v>
      </c>
      <c r="S32" t="n">
        <v>0</v>
      </c>
      <c r="T32" t="n">
        <v>0</v>
      </c>
      <c r="U32" t="n">
        <v>0</v>
      </c>
      <c r="V32" t="n">
        <v>414501.2</v>
      </c>
      <c r="W32" t="n">
        <v>4112311</v>
      </c>
      <c r="X32" t="n">
        <v>137263</v>
      </c>
      <c r="Y32">
        <f>IF(ISNUMBER($W32),$W32,0)</f>
        <v/>
      </c>
      <c r="Z32">
        <f>IF(ISNUMBER(SEARCH("Adjustment",$C32)),"excluded",IF($H32="Behind the Meter","excluded",IF(NOT(OR($E32="Bundled",$E32="Energy")),"excluded",IF(OR($H32="Retail Power Marketer",$H32="Community Choice Aggregator",$E32="Energy"),"procurement",IF(OR($H32="Municipal",$H32="Cooperative",$H32="Federal",$H32="State",$H32="Political Subdivision"),"cost_service",IF($H32="Investor Owned",IF(AND(COUNTIF(Parameters!$A$4:$A$33,$G32)&gt;0,COUNTIF(Parameters!$B$4:$B$33,$B32)=0),"procurement","cost_service"),"unclassified"))))))</f>
        <v/>
      </c>
    </row>
    <row r="33">
      <c r="A33" t="n">
        <v>2024</v>
      </c>
      <c r="B33" t="n">
        <v>14624</v>
      </c>
      <c r="C33" t="inlineStr">
        <is>
          <t>PUD No 2 of Grant County</t>
        </is>
      </c>
      <c r="D33" t="inlineStr">
        <is>
          <t>A</t>
        </is>
      </c>
      <c r="E33" t="inlineStr">
        <is>
          <t>Bundled</t>
        </is>
      </c>
      <c r="F33" t="inlineStr">
        <is>
          <t>O</t>
        </is>
      </c>
      <c r="G33" t="inlineStr">
        <is>
          <t>WA</t>
        </is>
      </c>
      <c r="H33" t="inlineStr">
        <is>
          <t>Political Subdivision</t>
        </is>
      </c>
      <c r="I33" t="inlineStr">
        <is>
          <t>GCPD</t>
        </is>
      </c>
      <c r="J33" t="n">
        <v>50832</v>
      </c>
      <c r="K33" t="n">
        <v>845768</v>
      </c>
      <c r="L33" t="n">
        <v>42485</v>
      </c>
      <c r="M33" t="n">
        <v>157723.8</v>
      </c>
      <c r="N33" t="n">
        <v>3621318</v>
      </c>
      <c r="O33" t="n">
        <v>8098</v>
      </c>
      <c r="P33" t="n">
        <v>74887.3</v>
      </c>
      <c r="Q33" t="n">
        <v>1881611</v>
      </c>
      <c r="R33" t="n">
        <v>5360</v>
      </c>
      <c r="S33" t="inlineStr">
        <is>
          <t>.</t>
        </is>
      </c>
      <c r="T33" t="inlineStr">
        <is>
          <t>.</t>
        </is>
      </c>
      <c r="U33" t="inlineStr">
        <is>
          <t>.</t>
        </is>
      </c>
      <c r="V33" t="n">
        <v>283443.1</v>
      </c>
      <c r="W33" t="n">
        <v>6348697</v>
      </c>
      <c r="X33" t="n">
        <v>55943</v>
      </c>
      <c r="Y33">
        <f>IF(ISNUMBER($W33),$W33,0)</f>
        <v/>
      </c>
      <c r="Z33">
        <f>IF(ISNUMBER(SEARCH("Adjustment",$C33)),"excluded",IF($H33="Behind the Meter","excluded",IF(NOT(OR($E33="Bundled",$E33="Energy")),"excluded",IF(OR($H33="Retail Power Marketer",$H33="Community Choice Aggregator",$E33="Energy"),"procurement",IF(OR($H33="Municipal",$H33="Cooperative",$H33="Federal",$H33="State",$H33="Political Subdivision"),"cost_service",IF($H33="Investor Owned",IF(AND(COUNTIF(Parameters!$A$4:$A$33,$G33)&gt;0,COUNTIF(Parameters!$B$4:$B$33,$B33)=0),"procurement","cost_service"),"unclassified"))))))</f>
        <v/>
      </c>
    </row>
    <row r="34">
      <c r="A34" t="n">
        <v>2024</v>
      </c>
      <c r="B34" t="n">
        <v>14653</v>
      </c>
      <c r="C34" t="inlineStr">
        <is>
          <t>PUD No 1 of Pend Oreille County</t>
        </is>
      </c>
      <c r="D34" t="inlineStr">
        <is>
          <t>A</t>
        </is>
      </c>
      <c r="E34" t="inlineStr">
        <is>
          <t>Bundled</t>
        </is>
      </c>
      <c r="F34" t="inlineStr">
        <is>
          <t>O</t>
        </is>
      </c>
      <c r="G34" t="inlineStr">
        <is>
          <t>WA</t>
        </is>
      </c>
      <c r="H34" t="inlineStr">
        <is>
          <t>Political Subdivision</t>
        </is>
      </c>
      <c r="I34" t="inlineStr">
        <is>
          <t>AVA</t>
        </is>
      </c>
      <c r="J34" t="n">
        <v>13543</v>
      </c>
      <c r="K34" t="n">
        <v>157751</v>
      </c>
      <c r="L34" t="n">
        <v>9120</v>
      </c>
      <c r="M34" t="n">
        <v>25804.2</v>
      </c>
      <c r="N34" t="n">
        <v>448506</v>
      </c>
      <c r="O34" t="n">
        <v>977</v>
      </c>
      <c r="P34" t="n">
        <v>1696.9</v>
      </c>
      <c r="Q34" t="n">
        <v>21874</v>
      </c>
      <c r="R34" t="n">
        <v>4</v>
      </c>
      <c r="S34" t="inlineStr">
        <is>
          <t>.</t>
        </is>
      </c>
      <c r="T34" t="inlineStr">
        <is>
          <t>.</t>
        </is>
      </c>
      <c r="U34" t="inlineStr">
        <is>
          <t>.</t>
        </is>
      </c>
      <c r="V34" t="n">
        <v>41044.1</v>
      </c>
      <c r="W34" t="n">
        <v>628131</v>
      </c>
      <c r="X34" t="n">
        <v>10101</v>
      </c>
      <c r="Y34">
        <f>IF(ISNUMBER($W34),$W34,0)</f>
        <v/>
      </c>
      <c r="Z34">
        <f>IF(ISNUMBER(SEARCH("Adjustment",$C34)),"excluded",IF($H34="Behind the Meter","excluded",IF(NOT(OR($E34="Bundled",$E34="Energy")),"excluded",IF(OR($H34="Retail Power Marketer",$H34="Community Choice Aggregator",$E34="Energy"),"procurement",IF(OR($H34="Municipal",$H34="Cooperative",$H34="Federal",$H34="State",$H34="Political Subdivision"),"cost_service",IF($H34="Investor Owned",IF(AND(COUNTIF(Parameters!$A$4:$A$33,$G34)&gt;0,COUNTIF(Parameters!$B$4:$B$33,$B34)=0),"procurement","cost_service"),"unclassified"))))))</f>
        <v/>
      </c>
    </row>
    <row r="35">
      <c r="A35" t="n">
        <v>2024</v>
      </c>
      <c r="B35" t="n">
        <v>14668</v>
      </c>
      <c r="C35" t="inlineStr">
        <is>
          <t>Peninsula Light Company</t>
        </is>
      </c>
      <c r="D35" t="inlineStr">
        <is>
          <t>A</t>
        </is>
      </c>
      <c r="E35" t="inlineStr">
        <is>
          <t>Bundled</t>
        </is>
      </c>
      <c r="F35" t="inlineStr">
        <is>
          <t>O</t>
        </is>
      </c>
      <c r="G35" t="inlineStr">
        <is>
          <t>WA</t>
        </is>
      </c>
      <c r="H35" t="inlineStr">
        <is>
          <t>Cooperative</t>
        </is>
      </c>
      <c r="I35" t="inlineStr">
        <is>
          <t>BPAT</t>
        </is>
      </c>
      <c r="J35" t="n">
        <v>56522.5</v>
      </c>
      <c r="K35" t="n">
        <v>538073</v>
      </c>
      <c r="L35" t="n">
        <v>35478</v>
      </c>
      <c r="M35" t="n">
        <v>6072.3</v>
      </c>
      <c r="N35" t="n">
        <v>77296</v>
      </c>
      <c r="O35" t="n">
        <v>138</v>
      </c>
      <c r="P35" t="inlineStr">
        <is>
          <t>.</t>
        </is>
      </c>
      <c r="Q35" t="inlineStr">
        <is>
          <t>.</t>
        </is>
      </c>
      <c r="R35" t="inlineStr">
        <is>
          <t>.</t>
        </is>
      </c>
      <c r="S35" t="inlineStr">
        <is>
          <t>.</t>
        </is>
      </c>
      <c r="T35" t="inlineStr">
        <is>
          <t>.</t>
        </is>
      </c>
      <c r="U35" t="inlineStr">
        <is>
          <t>.</t>
        </is>
      </c>
      <c r="V35" t="n">
        <v>62594.8</v>
      </c>
      <c r="W35" t="n">
        <v>615369</v>
      </c>
      <c r="X35" t="n">
        <v>35616</v>
      </c>
      <c r="Y35">
        <f>IF(ISNUMBER($W35),$W35,0)</f>
        <v/>
      </c>
      <c r="Z35">
        <f>IF(ISNUMBER(SEARCH("Adjustment",$C35)),"excluded",IF($H35="Behind the Meter","excluded",IF(NOT(OR($E35="Bundled",$E35="Energy")),"excluded",IF(OR($H35="Retail Power Marketer",$H35="Community Choice Aggregator",$E35="Energy"),"procurement",IF(OR($H35="Municipal",$H35="Cooperative",$H35="Federal",$H35="State",$H35="Political Subdivision"),"cost_service",IF($H35="Investor Owned",IF(AND(COUNTIF(Parameters!$A$4:$A$33,$G35)&gt;0,COUNTIF(Parameters!$B$4:$B$33,$B35)=0),"procurement","cost_service"),"unclassified"))))))</f>
        <v/>
      </c>
    </row>
    <row r="36">
      <c r="A36" t="n">
        <v>2024</v>
      </c>
      <c r="B36" t="n">
        <v>15231</v>
      </c>
      <c r="C36" t="inlineStr">
        <is>
          <t>City of Port Angeles - (WA)</t>
        </is>
      </c>
      <c r="D36" t="inlineStr">
        <is>
          <t>A</t>
        </is>
      </c>
      <c r="E36" t="inlineStr">
        <is>
          <t>Bundled</t>
        </is>
      </c>
      <c r="F36" t="inlineStr">
        <is>
          <t>O</t>
        </is>
      </c>
      <c r="G36" t="inlineStr">
        <is>
          <t>WA</t>
        </is>
      </c>
      <c r="H36" t="inlineStr">
        <is>
          <t>Municipal</t>
        </is>
      </c>
      <c r="I36" t="inlineStr">
        <is>
          <t>BPAT</t>
        </is>
      </c>
      <c r="J36" t="n">
        <v>11300</v>
      </c>
      <c r="K36" t="n">
        <v>123731</v>
      </c>
      <c r="L36" t="n">
        <v>9321</v>
      </c>
      <c r="M36" t="n">
        <v>7693</v>
      </c>
      <c r="N36" t="n">
        <v>96981</v>
      </c>
      <c r="O36" t="n">
        <v>1703</v>
      </c>
      <c r="P36" t="n">
        <v>5914</v>
      </c>
      <c r="Q36" t="n">
        <v>125070</v>
      </c>
      <c r="R36" t="n">
        <v>4</v>
      </c>
      <c r="S36" t="inlineStr">
        <is>
          <t>.</t>
        </is>
      </c>
      <c r="T36" t="inlineStr">
        <is>
          <t>.</t>
        </is>
      </c>
      <c r="U36" t="inlineStr">
        <is>
          <t>.</t>
        </is>
      </c>
      <c r="V36" t="n">
        <v>24907</v>
      </c>
      <c r="W36" t="n">
        <v>345782</v>
      </c>
      <c r="X36" t="n">
        <v>11028</v>
      </c>
      <c r="Y36">
        <f>IF(ISNUMBER($W36),$W36,0)</f>
        <v/>
      </c>
      <c r="Z36">
        <f>IF(ISNUMBER(SEARCH("Adjustment",$C36)),"excluded",IF($H36="Behind the Meter","excluded",IF(NOT(OR($E36="Bundled",$E36="Energy")),"excluded",IF(OR($H36="Retail Power Marketer",$H36="Community Choice Aggregator",$E36="Energy"),"procurement",IF(OR($H36="Municipal",$H36="Cooperative",$H36="Federal",$H36="State",$H36="Political Subdivision"),"cost_service",IF($H36="Investor Owned",IF(AND(COUNTIF(Parameters!$A$4:$A$33,$G36)&gt;0,COUNTIF(Parameters!$B$4:$B$33,$B36)=0),"procurement","cost_service"),"unclassified"))))))</f>
        <v/>
      </c>
    </row>
    <row r="37">
      <c r="A37" t="n">
        <v>2024</v>
      </c>
      <c r="B37" t="n">
        <v>15419</v>
      </c>
      <c r="C37" t="inlineStr">
        <is>
          <t>PUD No 3 of Mason County</t>
        </is>
      </c>
      <c r="D37" t="inlineStr">
        <is>
          <t>A</t>
        </is>
      </c>
      <c r="E37" t="inlineStr">
        <is>
          <t>Bundled</t>
        </is>
      </c>
      <c r="F37" t="inlineStr">
        <is>
          <t>O</t>
        </is>
      </c>
      <c r="G37" t="inlineStr">
        <is>
          <t>WA</t>
        </is>
      </c>
      <c r="H37" t="inlineStr">
        <is>
          <t>Political Subdivision</t>
        </is>
      </c>
      <c r="I37" t="inlineStr">
        <is>
          <t>BPAT</t>
        </is>
      </c>
      <c r="J37" t="n">
        <v>63717</v>
      </c>
      <c r="K37" t="n">
        <v>461961</v>
      </c>
      <c r="L37" t="n">
        <v>33975</v>
      </c>
      <c r="M37" t="n">
        <v>18198</v>
      </c>
      <c r="N37" t="n">
        <v>177258</v>
      </c>
      <c r="O37" t="n">
        <v>2431</v>
      </c>
      <c r="P37" t="n">
        <v>3302</v>
      </c>
      <c r="Q37" t="n">
        <v>42754</v>
      </c>
      <c r="R37" t="n">
        <v>1</v>
      </c>
      <c r="S37" t="n">
        <v>0</v>
      </c>
      <c r="T37" t="n">
        <v>0</v>
      </c>
      <c r="U37" t="n">
        <v>0</v>
      </c>
      <c r="V37" t="n">
        <v>85217</v>
      </c>
      <c r="W37" t="n">
        <v>681973</v>
      </c>
      <c r="X37" t="n">
        <v>36407</v>
      </c>
      <c r="Y37">
        <f>IF(ISNUMBER($W37),$W37,0)</f>
        <v/>
      </c>
      <c r="Z37">
        <f>IF(ISNUMBER(SEARCH("Adjustment",$C37)),"excluded",IF($H37="Behind the Meter","excluded",IF(NOT(OR($E37="Bundled",$E37="Energy")),"excluded",IF(OR($H37="Retail Power Marketer",$H37="Community Choice Aggregator",$E37="Energy"),"procurement",IF(OR($H37="Municipal",$H37="Cooperative",$H37="Federal",$H37="State",$H37="Political Subdivision"),"cost_service",IF($H37="Investor Owned",IF(AND(COUNTIF(Parameters!$A$4:$A$33,$G37)&gt;0,COUNTIF(Parameters!$B$4:$B$33,$B37)=0),"procurement","cost_service"),"unclassified"))))))</f>
        <v/>
      </c>
    </row>
    <row r="38">
      <c r="A38" t="n">
        <v>2024</v>
      </c>
      <c r="B38" t="n">
        <v>15500</v>
      </c>
      <c r="C38" t="inlineStr">
        <is>
          <t>Puget Sound Energy Inc</t>
        </is>
      </c>
      <c r="D38" t="inlineStr">
        <is>
          <t>A</t>
        </is>
      </c>
      <c r="E38" t="inlineStr">
        <is>
          <t>Bundled</t>
        </is>
      </c>
      <c r="F38" t="inlineStr">
        <is>
          <t>O</t>
        </is>
      </c>
      <c r="G38" t="inlineStr">
        <is>
          <t>WA</t>
        </is>
      </c>
      <c r="H38" t="inlineStr">
        <is>
          <t>Investor Owned</t>
        </is>
      </c>
      <c r="I38" t="inlineStr">
        <is>
          <t>PSEI</t>
        </is>
      </c>
      <c r="J38" t="n">
        <v>1677597.3</v>
      </c>
      <c r="K38" t="n">
        <v>11462976</v>
      </c>
      <c r="L38" t="n">
        <v>1091599</v>
      </c>
      <c r="M38" t="n">
        <v>1180702.1</v>
      </c>
      <c r="N38" t="n">
        <v>8625073</v>
      </c>
      <c r="O38" t="n">
        <v>143261</v>
      </c>
      <c r="P38" t="n">
        <v>131869.1</v>
      </c>
      <c r="Q38" t="n">
        <v>1057368</v>
      </c>
      <c r="R38" t="n">
        <v>3175</v>
      </c>
      <c r="S38" t="n">
        <v>2142</v>
      </c>
      <c r="T38" t="n">
        <v>16188</v>
      </c>
      <c r="U38" t="n">
        <v>1</v>
      </c>
      <c r="V38" t="n">
        <v>2992310.5</v>
      </c>
      <c r="W38" t="n">
        <v>21161605</v>
      </c>
      <c r="X38" t="n">
        <v>1238036</v>
      </c>
      <c r="Y38">
        <f>IF(ISNUMBER($W38),$W38,0)</f>
        <v/>
      </c>
      <c r="Z38">
        <f>IF(ISNUMBER(SEARCH("Adjustment",$C38)),"excluded",IF($H38="Behind the Meter","excluded",IF(NOT(OR($E38="Bundled",$E38="Energy")),"excluded",IF(OR($H38="Retail Power Marketer",$H38="Community Choice Aggregator",$E38="Energy"),"procurement",IF(OR($H38="Municipal",$H38="Cooperative",$H38="Federal",$H38="State",$H38="Political Subdivision"),"cost_service",IF($H38="Investor Owned",IF(AND(COUNTIF(Parameters!$A$4:$A$33,$G38)&gt;0,COUNTIF(Parameters!$B$4:$B$33,$B38)=0),"procurement","cost_service"),"unclassified"))))))</f>
        <v/>
      </c>
    </row>
    <row r="39">
      <c r="A39" t="n">
        <v>2024</v>
      </c>
      <c r="B39" t="n">
        <v>15500</v>
      </c>
      <c r="C39" t="inlineStr">
        <is>
          <t>Puget Sound Energy Inc</t>
        </is>
      </c>
      <c r="D39" t="inlineStr">
        <is>
          <t>C</t>
        </is>
      </c>
      <c r="E39" t="inlineStr">
        <is>
          <t>Delivery</t>
        </is>
      </c>
      <c r="F39" t="inlineStr">
        <is>
          <t>O</t>
        </is>
      </c>
      <c r="G39" t="inlineStr">
        <is>
          <t>WA</t>
        </is>
      </c>
      <c r="H39" t="inlineStr">
        <is>
          <t>Investor Owned</t>
        </is>
      </c>
      <c r="I39" t="inlineStr">
        <is>
          <t>PSEI</t>
        </is>
      </c>
      <c r="J39" t="n">
        <v>0</v>
      </c>
      <c r="K39" t="n">
        <v>0</v>
      </c>
      <c r="L39" t="n">
        <v>0</v>
      </c>
      <c r="M39" t="n">
        <v>7168.1</v>
      </c>
      <c r="N39" t="n">
        <v>310949</v>
      </c>
      <c r="O39" t="n">
        <v>102</v>
      </c>
      <c r="P39" t="n">
        <v>11461.5</v>
      </c>
      <c r="Q39" t="n">
        <v>1996863</v>
      </c>
      <c r="R39" t="n">
        <v>13</v>
      </c>
      <c r="S39" t="n">
        <v>0</v>
      </c>
      <c r="T39" t="n">
        <v>0</v>
      </c>
      <c r="U39" t="n">
        <v>0</v>
      </c>
      <c r="V39" t="n">
        <v>18629.6</v>
      </c>
      <c r="W39" t="n">
        <v>2307812</v>
      </c>
      <c r="X39" t="n">
        <v>115</v>
      </c>
      <c r="Y39">
        <f>IF(ISNUMBER($W39),$W39,0)</f>
        <v/>
      </c>
      <c r="Z39">
        <f>IF(ISNUMBER(SEARCH("Adjustment",$C39)),"excluded",IF($H39="Behind the Meter","excluded",IF(NOT(OR($E39="Bundled",$E39="Energy")),"excluded",IF(OR($H39="Retail Power Marketer",$H39="Community Choice Aggregator",$E39="Energy"),"procurement",IF(OR($H39="Municipal",$H39="Cooperative",$H39="Federal",$H39="State",$H39="Political Subdivision"),"cost_service",IF($H39="Investor Owned",IF(AND(COUNTIF(Parameters!$A$4:$A$33,$G39)&gt;0,COUNTIF(Parameters!$B$4:$B$33,$B39)=0),"procurement","cost_service"),"unclassified"))))))</f>
        <v/>
      </c>
    </row>
    <row r="40">
      <c r="A40" t="n">
        <v>2024</v>
      </c>
      <c r="B40" t="n">
        <v>15979</v>
      </c>
      <c r="C40" t="inlineStr">
        <is>
          <t>City of Richland - (WA)</t>
        </is>
      </c>
      <c r="D40" t="inlineStr">
        <is>
          <t>A</t>
        </is>
      </c>
      <c r="E40" t="inlineStr">
        <is>
          <t>Bundled</t>
        </is>
      </c>
      <c r="F40" t="inlineStr">
        <is>
          <t>O</t>
        </is>
      </c>
      <c r="G40" t="inlineStr">
        <is>
          <t>WA</t>
        </is>
      </c>
      <c r="H40" t="inlineStr">
        <is>
          <t>Municipal</t>
        </is>
      </c>
      <c r="I40" t="inlineStr">
        <is>
          <t>BPAT</t>
        </is>
      </c>
      <c r="J40" t="n">
        <v>37671</v>
      </c>
      <c r="K40" t="n">
        <v>383484</v>
      </c>
      <c r="L40" t="n">
        <v>25687</v>
      </c>
      <c r="M40" t="n">
        <v>27712</v>
      </c>
      <c r="N40" t="n">
        <v>410500</v>
      </c>
      <c r="O40" t="n">
        <v>1821</v>
      </c>
      <c r="P40" t="n">
        <v>10031</v>
      </c>
      <c r="Q40" t="n">
        <v>163887</v>
      </c>
      <c r="R40" t="n">
        <v>55</v>
      </c>
      <c r="S40" t="inlineStr">
        <is>
          <t>.</t>
        </is>
      </c>
      <c r="T40" t="inlineStr">
        <is>
          <t>.</t>
        </is>
      </c>
      <c r="U40" t="inlineStr">
        <is>
          <t>.</t>
        </is>
      </c>
      <c r="V40" t="n">
        <v>75414</v>
      </c>
      <c r="W40" t="n">
        <v>957871</v>
      </c>
      <c r="X40" t="n">
        <v>27563</v>
      </c>
      <c r="Y40">
        <f>IF(ISNUMBER($W40),$W40,0)</f>
        <v/>
      </c>
      <c r="Z40">
        <f>IF(ISNUMBER(SEARCH("Adjustment",$C40)),"excluded",IF($H40="Behind the Meter","excluded",IF(NOT(OR($E40="Bundled",$E40="Energy")),"excluded",IF(OR($H40="Retail Power Marketer",$H40="Community Choice Aggregator",$E40="Energy"),"procurement",IF(OR($H40="Municipal",$H40="Cooperative",$H40="Federal",$H40="State",$H40="Political Subdivision"),"cost_service",IF($H40="Investor Owned",IF(AND(COUNTIF(Parameters!$A$4:$A$33,$G40)&gt;0,COUNTIF(Parameters!$B$4:$B$33,$B40)=0),"procurement","cost_service"),"unclassified"))))))</f>
        <v/>
      </c>
    </row>
    <row r="41">
      <c r="A41" t="n">
        <v>2024</v>
      </c>
      <c r="B41" t="n">
        <v>16868</v>
      </c>
      <c r="C41" t="inlineStr">
        <is>
          <t>City of Seattle - (WA)</t>
        </is>
      </c>
      <c r="D41" t="inlineStr">
        <is>
          <t>A</t>
        </is>
      </c>
      <c r="E41" t="inlineStr">
        <is>
          <t>Bundled</t>
        </is>
      </c>
      <c r="F41" t="inlineStr">
        <is>
          <t>O</t>
        </is>
      </c>
      <c r="G41" t="inlineStr">
        <is>
          <t>WA</t>
        </is>
      </c>
      <c r="H41" t="inlineStr">
        <is>
          <t>Municipal</t>
        </is>
      </c>
      <c r="I41" t="inlineStr">
        <is>
          <t>SCL</t>
        </is>
      </c>
      <c r="J41" t="n">
        <v>467404.3</v>
      </c>
      <c r="K41" t="n">
        <v>3317659</v>
      </c>
      <c r="L41" t="n">
        <v>459964</v>
      </c>
      <c r="M41" t="n">
        <v>583327.9</v>
      </c>
      <c r="N41" t="n">
        <v>4954390</v>
      </c>
      <c r="O41" t="n">
        <v>52473</v>
      </c>
      <c r="P41" t="n">
        <v>69995.60000000001</v>
      </c>
      <c r="Q41" t="n">
        <v>693409</v>
      </c>
      <c r="R41" t="n">
        <v>58</v>
      </c>
      <c r="S41" t="n">
        <v>8705.200000000001</v>
      </c>
      <c r="T41" t="n">
        <v>76818</v>
      </c>
      <c r="U41" t="n">
        <v>3</v>
      </c>
      <c r="V41" t="n">
        <v>1129433</v>
      </c>
      <c r="W41" t="n">
        <v>9042276</v>
      </c>
      <c r="X41" t="n">
        <v>512498</v>
      </c>
      <c r="Y41">
        <f>IF(ISNUMBER($W41),$W41,0)</f>
        <v/>
      </c>
      <c r="Z41">
        <f>IF(ISNUMBER(SEARCH("Adjustment",$C41)),"excluded",IF($H41="Behind the Meter","excluded",IF(NOT(OR($E41="Bundled",$E41="Energy")),"excluded",IF(OR($H41="Retail Power Marketer",$H41="Community Choice Aggregator",$E41="Energy"),"procurement",IF(OR($H41="Municipal",$H41="Cooperative",$H41="Federal",$H41="State",$H41="Political Subdivision"),"cost_service",IF($H41="Investor Owned",IF(AND(COUNTIF(Parameters!$A$4:$A$33,$G41)&gt;0,COUNTIF(Parameters!$B$4:$B$33,$B41)=0),"procurement","cost_service"),"unclassified"))))))</f>
        <v/>
      </c>
    </row>
    <row r="42">
      <c r="A42" t="n">
        <v>2024</v>
      </c>
      <c r="B42" t="n">
        <v>17470</v>
      </c>
      <c r="C42" t="inlineStr">
        <is>
          <t>PUD No 1 of Snohomish County</t>
        </is>
      </c>
      <c r="D42" t="inlineStr">
        <is>
          <t>A</t>
        </is>
      </c>
      <c r="E42" t="inlineStr">
        <is>
          <t>Bundled</t>
        </is>
      </c>
      <c r="F42" t="inlineStr">
        <is>
          <t>O</t>
        </is>
      </c>
      <c r="G42" t="inlineStr">
        <is>
          <t>WA</t>
        </is>
      </c>
      <c r="H42" t="inlineStr">
        <is>
          <t>Political Subdivision</t>
        </is>
      </c>
      <c r="I42" t="inlineStr">
        <is>
          <t>BPAT</t>
        </is>
      </c>
      <c r="J42" t="n">
        <v>452788</v>
      </c>
      <c r="K42" t="n">
        <v>3933257</v>
      </c>
      <c r="L42" t="n">
        <v>346532</v>
      </c>
      <c r="M42" t="n">
        <v>229745</v>
      </c>
      <c r="N42" t="n">
        <v>2431764</v>
      </c>
      <c r="O42" t="n">
        <v>35453</v>
      </c>
      <c r="P42" t="n">
        <v>33545</v>
      </c>
      <c r="Q42" t="n">
        <v>440362</v>
      </c>
      <c r="R42" t="n">
        <v>77</v>
      </c>
      <c r="S42" t="n">
        <v>0</v>
      </c>
      <c r="T42" t="n">
        <v>0</v>
      </c>
      <c r="U42" t="n">
        <v>0</v>
      </c>
      <c r="V42" t="n">
        <v>716078</v>
      </c>
      <c r="W42" t="n">
        <v>6805383</v>
      </c>
      <c r="X42" t="n">
        <v>382062</v>
      </c>
      <c r="Y42">
        <f>IF(ISNUMBER($W42),$W42,0)</f>
        <v/>
      </c>
      <c r="Z42">
        <f>IF(ISNUMBER(SEARCH("Adjustment",$C42)),"excluded",IF($H42="Behind the Meter","excluded",IF(NOT(OR($E42="Bundled",$E42="Energy")),"excluded",IF(OR($H42="Retail Power Marketer",$H42="Community Choice Aggregator",$E42="Energy"),"procurement",IF(OR($H42="Municipal",$H42="Cooperative",$H42="Federal",$H42="State",$H42="Political Subdivision"),"cost_service",IF($H42="Investor Owned",IF(AND(COUNTIF(Parameters!$A$4:$A$33,$G42)&gt;0,COUNTIF(Parameters!$B$4:$B$33,$B42)=0),"procurement","cost_service"),"unclassified"))))))</f>
        <v/>
      </c>
    </row>
    <row r="43">
      <c r="A43" t="n">
        <v>2024</v>
      </c>
      <c r="B43" t="n">
        <v>18429</v>
      </c>
      <c r="C43" t="inlineStr">
        <is>
          <t>City of Tacoma - (WA)</t>
        </is>
      </c>
      <c r="D43" t="inlineStr">
        <is>
          <t>A</t>
        </is>
      </c>
      <c r="E43" t="inlineStr">
        <is>
          <t>Bundled</t>
        </is>
      </c>
      <c r="F43" t="inlineStr">
        <is>
          <t>O</t>
        </is>
      </c>
      <c r="G43" t="inlineStr">
        <is>
          <t>WA</t>
        </is>
      </c>
      <c r="H43" t="inlineStr">
        <is>
          <t>Municipal</t>
        </is>
      </c>
      <c r="I43" t="inlineStr">
        <is>
          <t>TPWR</t>
        </is>
      </c>
      <c r="J43" t="n">
        <v>212225.8</v>
      </c>
      <c r="K43" t="n">
        <v>1962766</v>
      </c>
      <c r="L43" t="n">
        <v>180357</v>
      </c>
      <c r="M43" t="n">
        <v>32954.3</v>
      </c>
      <c r="N43" t="n">
        <v>319870</v>
      </c>
      <c r="O43" t="n">
        <v>20032</v>
      </c>
      <c r="P43" t="n">
        <v>160128.6</v>
      </c>
      <c r="Q43" t="n">
        <v>2081037</v>
      </c>
      <c r="R43" t="n">
        <v>2795</v>
      </c>
      <c r="S43" t="n">
        <v>75.2</v>
      </c>
      <c r="T43" t="n">
        <v>791</v>
      </c>
      <c r="U43" t="n">
        <v>1</v>
      </c>
      <c r="V43" t="n">
        <v>405383.9</v>
      </c>
      <c r="W43" t="n">
        <v>4364464</v>
      </c>
      <c r="X43" t="n">
        <v>203185</v>
      </c>
      <c r="Y43">
        <f>IF(ISNUMBER($W43),$W43,0)</f>
        <v/>
      </c>
      <c r="Z43">
        <f>IF(ISNUMBER(SEARCH("Adjustment",$C43)),"excluded",IF($H43="Behind the Meter","excluded",IF(NOT(OR($E43="Bundled",$E43="Energy")),"excluded",IF(OR($H43="Retail Power Marketer",$H43="Community Choice Aggregator",$E43="Energy"),"procurement",IF(OR($H43="Municipal",$H43="Cooperative",$H43="Federal",$H43="State",$H43="Political Subdivision"),"cost_service",IF($H43="Investor Owned",IF(AND(COUNTIF(Parameters!$A$4:$A$33,$G43)&gt;0,COUNTIF(Parameters!$B$4:$B$33,$B43)=0),"procurement","cost_service"),"unclassified"))))))</f>
        <v/>
      </c>
    </row>
    <row r="44">
      <c r="A44" t="n">
        <v>2024</v>
      </c>
      <c r="B44" t="n">
        <v>19784</v>
      </c>
      <c r="C44" t="inlineStr">
        <is>
          <t>Vera Irrigation District #15</t>
        </is>
      </c>
      <c r="D44" t="inlineStr">
        <is>
          <t>A</t>
        </is>
      </c>
      <c r="E44" t="inlineStr">
        <is>
          <t>Bundled</t>
        </is>
      </c>
      <c r="F44" t="inlineStr">
        <is>
          <t>O</t>
        </is>
      </c>
      <c r="G44" t="inlineStr">
        <is>
          <t>WA</t>
        </is>
      </c>
      <c r="H44" t="inlineStr">
        <is>
          <t>Political Subdivision</t>
        </is>
      </c>
      <c r="I44" t="inlineStr">
        <is>
          <t>BPAT</t>
        </is>
      </c>
      <c r="J44" t="n">
        <v>14678</v>
      </c>
      <c r="K44" t="n">
        <v>159937</v>
      </c>
      <c r="L44" t="n">
        <v>12171</v>
      </c>
      <c r="M44" t="n">
        <v>6997</v>
      </c>
      <c r="N44" t="n">
        <v>78080</v>
      </c>
      <c r="O44" t="n">
        <v>1379</v>
      </c>
      <c r="P44" t="inlineStr">
        <is>
          <t>.</t>
        </is>
      </c>
      <c r="Q44" t="inlineStr">
        <is>
          <t>.</t>
        </is>
      </c>
      <c r="R44" t="inlineStr">
        <is>
          <t>.</t>
        </is>
      </c>
      <c r="S44" t="inlineStr">
        <is>
          <t>.</t>
        </is>
      </c>
      <c r="T44" t="inlineStr">
        <is>
          <t>.</t>
        </is>
      </c>
      <c r="U44" t="inlineStr">
        <is>
          <t>.</t>
        </is>
      </c>
      <c r="V44" t="n">
        <v>21675</v>
      </c>
      <c r="W44" t="n">
        <v>238017</v>
      </c>
      <c r="X44" t="n">
        <v>13550</v>
      </c>
      <c r="Y44">
        <f>IF(ISNUMBER($W44),$W44,0)</f>
        <v/>
      </c>
      <c r="Z44">
        <f>IF(ISNUMBER(SEARCH("Adjustment",$C44)),"excluded",IF($H44="Behind the Meter","excluded",IF(NOT(OR($E44="Bundled",$E44="Energy")),"excluded",IF(OR($H44="Retail Power Marketer",$H44="Community Choice Aggregator",$E44="Energy"),"procurement",IF(OR($H44="Municipal",$H44="Cooperative",$H44="Federal",$H44="State",$H44="Political Subdivision"),"cost_service",IF($H44="Investor Owned",IF(AND(COUNTIF(Parameters!$A$4:$A$33,$G44)&gt;0,COUNTIF(Parameters!$B$4:$B$33,$B44)=0),"procurement","cost_service"),"unclassified"))))))</f>
        <v/>
      </c>
    </row>
    <row r="45">
      <c r="A45" t="n">
        <v>2024</v>
      </c>
      <c r="B45" t="n">
        <v>20169</v>
      </c>
      <c r="C45" t="inlineStr">
        <is>
          <t>Avista Corp</t>
        </is>
      </c>
      <c r="D45" t="inlineStr">
        <is>
          <t>A</t>
        </is>
      </c>
      <c r="E45" t="inlineStr">
        <is>
          <t>Bundled</t>
        </is>
      </c>
      <c r="F45" t="inlineStr">
        <is>
          <t>O</t>
        </is>
      </c>
      <c r="G45" t="inlineStr">
        <is>
          <t>WA</t>
        </is>
      </c>
      <c r="H45" t="inlineStr">
        <is>
          <t>Investor Owned</t>
        </is>
      </c>
      <c r="I45" t="inlineStr">
        <is>
          <t>AVA</t>
        </is>
      </c>
      <c r="J45" t="n">
        <v>315779</v>
      </c>
      <c r="K45" t="n">
        <v>2661059</v>
      </c>
      <c r="L45" t="n">
        <v>246055</v>
      </c>
      <c r="M45" t="n">
        <v>274894</v>
      </c>
      <c r="N45" t="n">
        <v>2152148</v>
      </c>
      <c r="O45" t="n">
        <v>27249</v>
      </c>
      <c r="P45" t="n">
        <v>83254</v>
      </c>
      <c r="Q45" t="n">
        <v>1067474</v>
      </c>
      <c r="R45" t="n">
        <v>811</v>
      </c>
      <c r="S45" t="inlineStr">
        <is>
          <t>.</t>
        </is>
      </c>
      <c r="T45" t="inlineStr">
        <is>
          <t>.</t>
        </is>
      </c>
      <c r="U45" t="inlineStr">
        <is>
          <t>.</t>
        </is>
      </c>
      <c r="V45" t="n">
        <v>673927</v>
      </c>
      <c r="W45" t="n">
        <v>5880681</v>
      </c>
      <c r="X45" t="n">
        <v>274115</v>
      </c>
      <c r="Y45">
        <f>IF(ISNUMBER($W45),$W45,0)</f>
        <v/>
      </c>
      <c r="Z45">
        <f>IF(ISNUMBER(SEARCH("Adjustment",$C45)),"excluded",IF($H45="Behind the Meter","excluded",IF(NOT(OR($E45="Bundled",$E45="Energy")),"excluded",IF(OR($H45="Retail Power Marketer",$H45="Community Choice Aggregator",$E45="Energy"),"procurement",IF(OR($H45="Municipal",$H45="Cooperative",$H45="Federal",$H45="State",$H45="Political Subdivision"),"cost_service",IF($H45="Investor Owned",IF(AND(COUNTIF(Parameters!$A$4:$A$33,$G45)&gt;0,COUNTIF(Parameters!$B$4:$B$33,$B45)=0),"procurement","cost_service"),"unclassified"))))))</f>
        <v/>
      </c>
    </row>
    <row r="46">
      <c r="A46" t="n">
        <v>2024</v>
      </c>
      <c r="B46" t="n">
        <v>40456</v>
      </c>
      <c r="C46" t="inlineStr">
        <is>
          <t>PUD No 1 of Whatcom County</t>
        </is>
      </c>
      <c r="D46" t="inlineStr">
        <is>
          <t>A</t>
        </is>
      </c>
      <c r="E46" t="inlineStr">
        <is>
          <t>Bundled</t>
        </is>
      </c>
      <c r="F46" t="inlineStr">
        <is>
          <t>O</t>
        </is>
      </c>
      <c r="G46" t="inlineStr">
        <is>
          <t>WA</t>
        </is>
      </c>
      <c r="H46" t="inlineStr">
        <is>
          <t>Political Subdivision</t>
        </is>
      </c>
      <c r="I46" t="inlineStr">
        <is>
          <t>BPAT</t>
        </is>
      </c>
      <c r="J46" t="inlineStr">
        <is>
          <t>.</t>
        </is>
      </c>
      <c r="K46" t="inlineStr">
        <is>
          <t>.</t>
        </is>
      </c>
      <c r="L46" t="inlineStr">
        <is>
          <t>.</t>
        </is>
      </c>
      <c r="M46" t="inlineStr">
        <is>
          <t>.</t>
        </is>
      </c>
      <c r="N46" t="inlineStr">
        <is>
          <t>.</t>
        </is>
      </c>
      <c r="O46" t="inlineStr">
        <is>
          <t>.</t>
        </is>
      </c>
      <c r="P46" t="n">
        <v>10702</v>
      </c>
      <c r="Q46" t="n">
        <v>228736</v>
      </c>
      <c r="R46" t="n">
        <v>1</v>
      </c>
      <c r="S46" t="inlineStr">
        <is>
          <t>.</t>
        </is>
      </c>
      <c r="T46" t="inlineStr">
        <is>
          <t>.</t>
        </is>
      </c>
      <c r="U46" t="inlineStr">
        <is>
          <t>.</t>
        </is>
      </c>
      <c r="V46" t="n">
        <v>10702</v>
      </c>
      <c r="W46" t="n">
        <v>228736</v>
      </c>
      <c r="X46" t="n">
        <v>1</v>
      </c>
      <c r="Y46">
        <f>IF(ISNUMBER($W46),$W46,0)</f>
        <v/>
      </c>
      <c r="Z46">
        <f>IF(ISNUMBER(SEARCH("Adjustment",$C46)),"excluded",IF($H46="Behind the Meter","excluded",IF(NOT(OR($E46="Bundled",$E46="Energy")),"excluded",IF(OR($H46="Retail Power Marketer",$H46="Community Choice Aggregator",$E46="Energy"),"procurement",IF(OR($H46="Municipal",$H46="Cooperative",$H46="Federal",$H46="State",$H46="Political Subdivision"),"cost_service",IF($H46="Investor Owned",IF(AND(COUNTIF(Parameters!$A$4:$A$33,$G46)&gt;0,COUNTIF(Parameters!$B$4:$B$33,$B46)=0),"procurement","cost_service"),"unclassified"))))))</f>
        <v/>
      </c>
    </row>
    <row r="47">
      <c r="A47" t="n">
        <v>2024</v>
      </c>
      <c r="B47" t="n">
        <v>57313</v>
      </c>
      <c r="C47" t="inlineStr">
        <is>
          <t>Tesla Inc.</t>
        </is>
      </c>
      <c r="D47" t="inlineStr">
        <is>
          <t>A</t>
        </is>
      </c>
      <c r="E47" t="inlineStr">
        <is>
          <t>Bundled</t>
        </is>
      </c>
      <c r="F47" t="inlineStr">
        <is>
          <t>O</t>
        </is>
      </c>
      <c r="G47" t="inlineStr">
        <is>
          <t>WA</t>
        </is>
      </c>
      <c r="H47" t="inlineStr">
        <is>
          <t>Behind the Meter</t>
        </is>
      </c>
      <c r="I47" t="inlineStr">
        <is>
          <t>PSEI</t>
        </is>
      </c>
      <c r="J47" t="n">
        <v>26</v>
      </c>
      <c r="K47" t="n">
        <v>485</v>
      </c>
      <c r="L47" t="n">
        <v>99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26</v>
      </c>
      <c r="W47" t="n">
        <v>485</v>
      </c>
      <c r="X47" t="n">
        <v>99</v>
      </c>
      <c r="Y47">
        <f>IF(ISNUMBER($W47),$W47,0)</f>
        <v/>
      </c>
      <c r="Z47">
        <f>IF(ISNUMBER(SEARCH("Adjustment",$C47)),"excluded",IF($H47="Behind the Meter","excluded",IF(NOT(OR($E47="Bundled",$E47="Energy")),"excluded",IF(OR($H47="Retail Power Marketer",$H47="Community Choice Aggregator",$E47="Energy"),"procurement",IF(OR($H47="Municipal",$H47="Cooperative",$H47="Federal",$H47="State",$H47="Political Subdivision"),"cost_service",IF($H47="Investor Owned",IF(AND(COUNTIF(Parameters!$A$4:$A$33,$G47)&gt;0,COUNTIF(Parameters!$B$4:$B$33,$B47)=0),"procurement","cost_service"),"unclassified"))))))</f>
        <v/>
      </c>
    </row>
    <row r="48">
      <c r="A48" t="n">
        <v>2024</v>
      </c>
      <c r="B48" t="n">
        <v>59013</v>
      </c>
      <c r="C48" t="inlineStr">
        <is>
          <t>PUD No 1 of Jefferson County</t>
        </is>
      </c>
      <c r="D48" t="inlineStr">
        <is>
          <t>A</t>
        </is>
      </c>
      <c r="E48" t="inlineStr">
        <is>
          <t>Bundled</t>
        </is>
      </c>
      <c r="F48" t="inlineStr">
        <is>
          <t>O</t>
        </is>
      </c>
      <c r="G48" t="inlineStr">
        <is>
          <t>WA</t>
        </is>
      </c>
      <c r="H48" t="inlineStr">
        <is>
          <t>Political Subdivision</t>
        </is>
      </c>
      <c r="I48" t="inlineStr">
        <is>
          <t>BPAT</t>
        </is>
      </c>
      <c r="J48" t="n">
        <v>29017.3</v>
      </c>
      <c r="K48" t="n">
        <v>223058</v>
      </c>
      <c r="L48" t="n">
        <v>18661</v>
      </c>
      <c r="M48" t="n">
        <v>8499.6</v>
      </c>
      <c r="N48" t="n">
        <v>66107</v>
      </c>
      <c r="O48" t="n">
        <v>2279</v>
      </c>
      <c r="P48" t="n">
        <v>5913.7</v>
      </c>
      <c r="Q48" t="n">
        <v>98557</v>
      </c>
      <c r="R48" t="n">
        <v>16</v>
      </c>
      <c r="S48" t="n">
        <v>0</v>
      </c>
      <c r="T48" t="n">
        <v>0</v>
      </c>
      <c r="U48" t="n">
        <v>0</v>
      </c>
      <c r="V48" t="n">
        <v>43430.6</v>
      </c>
      <c r="W48" t="n">
        <v>387722</v>
      </c>
      <c r="X48" t="n">
        <v>20956</v>
      </c>
      <c r="Y48">
        <f>IF(ISNUMBER($W48),$W48,0)</f>
        <v/>
      </c>
      <c r="Z48">
        <f>IF(ISNUMBER(SEARCH("Adjustment",$C48)),"excluded",IF($H48="Behind the Meter","excluded",IF(NOT(OR($E48="Bundled",$E48="Energy")),"excluded",IF(OR($H48="Retail Power Marketer",$H48="Community Choice Aggregator",$E48="Energy"),"procurement",IF(OR($H48="Municipal",$H48="Cooperative",$H48="Federal",$H48="State",$H48="Political Subdivision"),"cost_service",IF($H48="Investor Owned",IF(AND(COUNTIF(Parameters!$A$4:$A$33,$G48)&gt;0,COUNTIF(Parameters!$B$4:$B$33,$B48)=0),"procurement","cost_service"),"unclassified"))))))</f>
        <v/>
      </c>
    </row>
    <row r="49">
      <c r="A49" t="n">
        <v>2024</v>
      </c>
      <c r="B49" t="n">
        <v>59579</v>
      </c>
      <c r="C49" t="inlineStr">
        <is>
          <t>Sunnova</t>
        </is>
      </c>
      <c r="D49" t="inlineStr">
        <is>
          <t>A</t>
        </is>
      </c>
      <c r="E49" t="inlineStr">
        <is>
          <t>Bundled</t>
        </is>
      </c>
      <c r="F49" t="inlineStr">
        <is>
          <t>O</t>
        </is>
      </c>
      <c r="G49" t="inlineStr">
        <is>
          <t>WA</t>
        </is>
      </c>
      <c r="H49" t="inlineStr">
        <is>
          <t>Behind the Meter</t>
        </is>
      </c>
      <c r="I49" t="inlineStr">
        <is>
          <t>AVA</t>
        </is>
      </c>
      <c r="J49" t="n">
        <v>0</v>
      </c>
      <c r="K49" t="n">
        <v>0</v>
      </c>
      <c r="L49" t="n">
        <v>0</v>
      </c>
      <c r="M49" t="inlineStr">
        <is>
          <t>.</t>
        </is>
      </c>
      <c r="N49" t="inlineStr">
        <is>
          <t>.</t>
        </is>
      </c>
      <c r="O49" t="inlineStr">
        <is>
          <t>.</t>
        </is>
      </c>
      <c r="P49" t="inlineStr">
        <is>
          <t>.</t>
        </is>
      </c>
      <c r="Q49" t="inlineStr">
        <is>
          <t>.</t>
        </is>
      </c>
      <c r="R49" t="inlineStr">
        <is>
          <t>.</t>
        </is>
      </c>
      <c r="S49" t="inlineStr">
        <is>
          <t>.</t>
        </is>
      </c>
      <c r="T49" t="inlineStr">
        <is>
          <t>.</t>
        </is>
      </c>
      <c r="U49" t="inlineStr">
        <is>
          <t>.</t>
        </is>
      </c>
      <c r="V49" t="n">
        <v>0</v>
      </c>
      <c r="W49" t="n">
        <v>0</v>
      </c>
      <c r="X49" t="n">
        <v>0</v>
      </c>
      <c r="Y49">
        <f>IF(ISNUMBER($W49),$W49,0)</f>
        <v/>
      </c>
      <c r="Z49">
        <f>IF(ISNUMBER(SEARCH("Adjustment",$C49)),"excluded",IF($H49="Behind the Meter","excluded",IF(NOT(OR($E49="Bundled",$E49="Energy")),"excluded",IF(OR($H49="Retail Power Marketer",$H49="Community Choice Aggregator",$E49="Energy"),"procurement",IF(OR($H49="Municipal",$H49="Cooperative",$H49="Federal",$H49="State",$H49="Political Subdivision"),"cost_service",IF($H49="Investor Owned",IF(AND(COUNTIF(Parameters!$A$4:$A$33,$G49)&gt;0,COUNTIF(Parameters!$B$4:$B$33,$B49)=0),"procurement","cost_service"),"unclassified"))))))</f>
        <v/>
      </c>
    </row>
    <row r="50">
      <c r="A50" t="n">
        <v>2024</v>
      </c>
      <c r="B50" t="n">
        <v>66399</v>
      </c>
      <c r="C50" t="inlineStr">
        <is>
          <t>Brookfield Renewable Energy Marketing US LLC</t>
        </is>
      </c>
      <c r="D50" t="inlineStr">
        <is>
          <t>B</t>
        </is>
      </c>
      <c r="E50" t="inlineStr">
        <is>
          <t>Energy</t>
        </is>
      </c>
      <c r="F50" t="inlineStr">
        <is>
          <t>O</t>
        </is>
      </c>
      <c r="G50" t="inlineStr">
        <is>
          <t>WA</t>
        </is>
      </c>
      <c r="H50" t="inlineStr">
        <is>
          <t>Retail Power Marketer</t>
        </is>
      </c>
      <c r="I50" t="inlineStr">
        <is>
          <t>PSEI</t>
        </is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18078.6</v>
      </c>
      <c r="Q50" t="n">
        <v>338886</v>
      </c>
      <c r="R50" t="n">
        <v>1</v>
      </c>
      <c r="S50" t="n">
        <v>0</v>
      </c>
      <c r="T50" t="n">
        <v>0</v>
      </c>
      <c r="U50" t="n">
        <v>0</v>
      </c>
      <c r="V50" t="n">
        <v>18078.6</v>
      </c>
      <c r="W50" t="n">
        <v>338886</v>
      </c>
      <c r="X50" t="n">
        <v>1</v>
      </c>
      <c r="Y50">
        <f>IF(ISNUMBER($W50),$W50,0)</f>
        <v/>
      </c>
      <c r="Z50">
        <f>IF(ISNUMBER(SEARCH("Adjustment",$C50)),"excluded",IF($H50="Behind the Meter","excluded",IF(NOT(OR($E50="Bundled",$E50="Energy")),"excluded",IF(OR($H50="Retail Power Marketer",$H50="Community Choice Aggregator",$E50="Energy"),"procurement",IF(OR($H50="Municipal",$H50="Cooperative",$H50="Federal",$H50="State",$H50="Political Subdivision"),"cost_service",IF($H50="Investor Owned",IF(AND(COUNTIF(Parameters!$A$4:$A$33,$G50)&gt;0,COUNTIF(Parameters!$B$4:$B$33,$B50)=0),"procurement","cost_service"),"unclassified"))))))</f>
        <v/>
      </c>
    </row>
    <row r="51">
      <c r="A51" t="n">
        <v>2024</v>
      </c>
      <c r="B51" t="n">
        <v>99999</v>
      </c>
      <c r="C51" t="inlineStr">
        <is>
          <t>Adjustment 2024</t>
        </is>
      </c>
      <c r="D51" t="inlineStr">
        <is>
          <t>A</t>
        </is>
      </c>
      <c r="E51" t="inlineStr">
        <is>
          <t>Bundled</t>
        </is>
      </c>
      <c r="F51" t="inlineStr">
        <is>
          <t>I</t>
        </is>
      </c>
      <c r="G51" t="inlineStr">
        <is>
          <t>WA</t>
        </is>
      </c>
      <c r="H51" t="inlineStr"/>
      <c r="I51" t="inlineStr">
        <is>
          <t>BPAT</t>
        </is>
      </c>
      <c r="J51" t="n">
        <v>80772.7</v>
      </c>
      <c r="K51" t="n">
        <v>691271</v>
      </c>
      <c r="L51" t="n">
        <v>50106</v>
      </c>
      <c r="M51" t="n">
        <v>35249.7</v>
      </c>
      <c r="N51" t="n">
        <v>376884</v>
      </c>
      <c r="O51" t="n">
        <v>6044</v>
      </c>
      <c r="P51" t="n">
        <v>7714.9</v>
      </c>
      <c r="Q51" t="n">
        <v>83854</v>
      </c>
      <c r="R51" t="n">
        <v>148</v>
      </c>
      <c r="S51" t="n">
        <v>0</v>
      </c>
      <c r="T51" t="n">
        <v>0</v>
      </c>
      <c r="U51" t="n">
        <v>0</v>
      </c>
      <c r="V51" t="n">
        <v>123737.3</v>
      </c>
      <c r="W51" t="n">
        <v>1152009</v>
      </c>
      <c r="X51" t="n">
        <v>56298</v>
      </c>
      <c r="Y51">
        <f>IF(ISNUMBER($W51),$W51,0)</f>
        <v/>
      </c>
      <c r="Z51">
        <f>IF(ISNUMBER(SEARCH("Adjustment",$C51)),"excluded",IF($H51="Behind the Meter","excluded",IF(NOT(OR($E51="Bundled",$E51="Energy")),"excluded",IF(OR($H51="Retail Power Marketer",$H51="Community Choice Aggregator",$E51="Energy"),"procurement",IF(OR($H51="Municipal",$H51="Cooperative",$H51="Federal",$H51="State",$H51="Political Subdivision"),"cost_service",IF($H51="Investor Owned",IF(AND(COUNTIF(Parameters!$A$4:$A$33,$G51)&gt;0,COUNTIF(Parameters!$B$4:$B$33,$B51)=0),"procurement","cost_service"),"unclassified"))))))</f>
        <v/>
      </c>
    </row>
    <row r="52">
      <c r="A52" t="n">
        <v>2024</v>
      </c>
      <c r="B52" t="n">
        <v>99999</v>
      </c>
      <c r="C52" t="inlineStr">
        <is>
          <t>Adjustment 2024</t>
        </is>
      </c>
      <c r="D52" t="inlineStr">
        <is>
          <t>A</t>
        </is>
      </c>
      <c r="E52" t="inlineStr">
        <is>
          <t>Bundled</t>
        </is>
      </c>
      <c r="F52" t="inlineStr">
        <is>
          <t>I</t>
        </is>
      </c>
      <c r="G52" t="inlineStr">
        <is>
          <t>WA</t>
        </is>
      </c>
      <c r="H52" t="inlineStr"/>
      <c r="I52" t="inlineStr">
        <is>
          <t>PSEI</t>
        </is>
      </c>
      <c r="J52" t="n">
        <v>2932.4</v>
      </c>
      <c r="K52" t="n">
        <v>34589</v>
      </c>
      <c r="L52" t="n">
        <v>4026</v>
      </c>
      <c r="M52" t="n">
        <v>4515.9</v>
      </c>
      <c r="N52" t="n">
        <v>55537</v>
      </c>
      <c r="O52" t="n">
        <v>715</v>
      </c>
      <c r="P52" t="n">
        <v>2442.8</v>
      </c>
      <c r="Q52" t="n">
        <v>29154</v>
      </c>
      <c r="R52" t="n">
        <v>36</v>
      </c>
      <c r="S52" t="n">
        <v>0</v>
      </c>
      <c r="T52" t="n">
        <v>0</v>
      </c>
      <c r="U52" t="n">
        <v>0</v>
      </c>
      <c r="V52" t="n">
        <v>9891.1</v>
      </c>
      <c r="W52" t="n">
        <v>119280</v>
      </c>
      <c r="X52" t="n">
        <v>4777</v>
      </c>
      <c r="Y52">
        <f>IF(ISNUMBER($W52),$W52,0)</f>
        <v/>
      </c>
      <c r="Z52">
        <f>IF(ISNUMBER(SEARCH("Adjustment",$C52)),"excluded",IF($H52="Behind the Meter","excluded",IF(NOT(OR($E52="Bundled",$E52="Energy")),"excluded",IF(OR($H52="Retail Power Marketer",$H52="Community Choice Aggregator",$E52="Energy"),"procurement",IF(OR($H52="Municipal",$H52="Cooperative",$H52="Federal",$H52="State",$H52="Political Subdivision"),"cost_service",IF($H52="Investor Owned",IF(AND(COUNTIF(Parameters!$A$4:$A$33,$G52)&gt;0,COUNTIF(Parameters!$B$4:$B$33,$B52)=0),"procurement","cost_service"),"unclassified"))))))</f>
        <v/>
      </c>
    </row>
    <row r="53">
      <c r="A53" t="n">
        <v>2024</v>
      </c>
      <c r="B53" t="n">
        <v>99999</v>
      </c>
      <c r="C53" t="inlineStr">
        <is>
          <t>Adjustment 2024</t>
        </is>
      </c>
      <c r="D53" t="inlineStr">
        <is>
          <t>A</t>
        </is>
      </c>
      <c r="E53" t="inlineStr">
        <is>
          <t>Bundled</t>
        </is>
      </c>
      <c r="F53" t="inlineStr">
        <is>
          <t>I</t>
        </is>
      </c>
      <c r="G53" t="inlineStr">
        <is>
          <t>WA</t>
        </is>
      </c>
      <c r="H53" t="inlineStr"/>
      <c r="I53" t="inlineStr">
        <is>
          <t>TPWR</t>
        </is>
      </c>
      <c r="J53" t="n">
        <v>1404</v>
      </c>
      <c r="K53" t="n">
        <v>10314</v>
      </c>
      <c r="L53" t="n">
        <v>605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1404</v>
      </c>
      <c r="W53" t="n">
        <v>10314</v>
      </c>
      <c r="X53" t="n">
        <v>605</v>
      </c>
      <c r="Y53">
        <f>IF(ISNUMBER($W53),$W53,0)</f>
        <v/>
      </c>
      <c r="Z53">
        <f>IF(ISNUMBER(SEARCH("Adjustment",$C53)),"excluded",IF($H53="Behind the Meter","excluded",IF(NOT(OR($E53="Bundled",$E53="Energy")),"excluded",IF(OR($H53="Retail Power Marketer",$H53="Community Choice Aggregator",$E53="Energy"),"procurement",IF(OR($H53="Municipal",$H53="Cooperative",$H53="Federal",$H53="State",$H53="Political Subdivision"),"cost_service",IF($H53="Investor Owned",IF(AND(COUNTIF(Parameters!$A$4:$A$33,$G53)&gt;0,COUNTIF(Parameters!$B$4:$B$33,$B53)=0),"procurement","cost_service"),"unclassified"))))))</f>
        <v/>
      </c>
    </row>
    <row r="54">
      <c r="A54" t="n">
        <v>2024</v>
      </c>
      <c r="B54" t="n">
        <v>99999</v>
      </c>
      <c r="C54" t="inlineStr">
        <is>
          <t>Adjustment 2024</t>
        </is>
      </c>
      <c r="D54" t="inlineStr">
        <is>
          <t>A</t>
        </is>
      </c>
      <c r="E54" t="inlineStr">
        <is>
          <t>Bundled</t>
        </is>
      </c>
      <c r="F54" t="inlineStr">
        <is>
          <t>I</t>
        </is>
      </c>
      <c r="G54" t="inlineStr">
        <is>
          <t>WA</t>
        </is>
      </c>
      <c r="H54" t="inlineStr"/>
      <c r="I54" t="inlineStr">
        <is>
          <t>AVA</t>
        </is>
      </c>
      <c r="J54" t="n">
        <v>7437.4</v>
      </c>
      <c r="K54" t="n">
        <v>75203</v>
      </c>
      <c r="L54" t="n">
        <v>7811</v>
      </c>
      <c r="M54" t="n">
        <v>5665.1</v>
      </c>
      <c r="N54" t="n">
        <v>80438</v>
      </c>
      <c r="O54" t="n">
        <v>820</v>
      </c>
      <c r="P54" t="n">
        <v>1606.4</v>
      </c>
      <c r="Q54" t="n">
        <v>23955</v>
      </c>
      <c r="R54" t="n">
        <v>10</v>
      </c>
      <c r="S54" t="n">
        <v>0</v>
      </c>
      <c r="T54" t="n">
        <v>0</v>
      </c>
      <c r="U54" t="n">
        <v>0</v>
      </c>
      <c r="V54" t="n">
        <v>14708.9</v>
      </c>
      <c r="W54" t="n">
        <v>179596</v>
      </c>
      <c r="X54" t="n">
        <v>8641</v>
      </c>
      <c r="Y54">
        <f>IF(ISNUMBER($W54),$W54,0)</f>
        <v/>
      </c>
      <c r="Z54">
        <f>IF(ISNUMBER(SEARCH("Adjustment",$C54)),"excluded",IF($H54="Behind the Meter","excluded",IF(NOT(OR($E54="Bundled",$E54="Energy")),"excluded",IF(OR($H54="Retail Power Marketer",$H54="Community Choice Aggregator",$E54="Energy"),"procurement",IF(OR($H54="Municipal",$H54="Cooperative",$H54="Federal",$H54="State",$H54="Political Subdivision"),"cost_service",IF($H54="Investor Owned",IF(AND(COUNTIF(Parameters!$A$4:$A$33,$G54)&gt;0,COUNTIF(Parameters!$B$4:$B$33,$B54)=0),"procurement","cost_service"),"unclassified"))))))</f>
        <v/>
      </c>
    </row>
    <row r="55">
      <c r="A55" t="n">
        <v>2024</v>
      </c>
      <c r="B55" t="n">
        <v>99999</v>
      </c>
      <c r="C55" t="inlineStr">
        <is>
          <t>Adjustment 2024</t>
        </is>
      </c>
      <c r="D55" t="inlineStr">
        <is>
          <t>B</t>
        </is>
      </c>
      <c r="E55" t="inlineStr">
        <is>
          <t>Energy</t>
        </is>
      </c>
      <c r="F55" t="inlineStr">
        <is>
          <t>I</t>
        </is>
      </c>
      <c r="G55" t="inlineStr">
        <is>
          <t>WA</t>
        </is>
      </c>
      <c r="H55" t="inlineStr"/>
      <c r="I55" t="inlineStr">
        <is>
          <t>PSEI</t>
        </is>
      </c>
      <c r="J55" t="n">
        <v>0</v>
      </c>
      <c r="K55" t="n">
        <v>0</v>
      </c>
      <c r="L55" t="n">
        <v>0</v>
      </c>
      <c r="M55" t="n">
        <v>17599</v>
      </c>
      <c r="N55" t="n">
        <v>277998</v>
      </c>
      <c r="O55" t="n">
        <v>101</v>
      </c>
      <c r="P55" t="n">
        <v>39472.5</v>
      </c>
      <c r="Q55" t="n">
        <v>587453</v>
      </c>
      <c r="R55" t="n">
        <v>8</v>
      </c>
      <c r="S55" t="n">
        <v>0</v>
      </c>
      <c r="T55" t="n">
        <v>0</v>
      </c>
      <c r="U55" t="n">
        <v>0</v>
      </c>
      <c r="V55" t="n">
        <v>57071.5</v>
      </c>
      <c r="W55" t="n">
        <v>865451</v>
      </c>
      <c r="X55" t="n">
        <v>109</v>
      </c>
      <c r="Y55">
        <f>IF(ISNUMBER($W55),$W55,0)</f>
        <v/>
      </c>
      <c r="Z55">
        <f>IF(ISNUMBER(SEARCH("Adjustment",$C55)),"excluded",IF($H55="Behind the Meter","excluded",IF(NOT(OR($E55="Bundled",$E55="Energy")),"excluded",IF(OR($H55="Retail Power Marketer",$H55="Community Choice Aggregator",$E55="Energy"),"procurement",IF(OR($H55="Municipal",$H55="Cooperative",$H55="Federal",$H55="State",$H55="Political Subdivision"),"cost_service",IF($H55="Investor Owned",IF(AND(COUNTIF(Parameters!$A$4:$A$33,$G55)&gt;0,COUNTIF(Parameters!$B$4:$B$33,$B55)=0),"procurement","cost_service"),"unclassified"))))))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3864"/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7" t="inlineStr">
        <is>
          <t>region</t>
        </is>
      </c>
      <c r="B1" s="7" t="inlineStr">
        <is>
          <t>cost_service_mwh</t>
        </is>
      </c>
      <c r="C1" s="7" t="inlineStr">
        <is>
          <t>procurement_mwh</t>
        </is>
      </c>
      <c r="D1" s="7" t="inlineStr">
        <is>
          <t>total_mwh</t>
        </is>
      </c>
      <c r="E1" s="7" t="inlineStr">
        <is>
          <t>share_cost_service</t>
        </is>
      </c>
      <c r="F1" s="7" t="inlineStr">
        <is>
          <t>share_procurement</t>
        </is>
      </c>
    </row>
    <row r="2">
      <c r="A2" t="inlineStr">
        <is>
          <t>WA</t>
        </is>
      </c>
      <c r="B2">
        <f>SUMIFS('EIA-861 Sales 2024'!$Y$4:$Y$55,'EIA-861 Sales 2024'!$Z$4:$Z$55,"cost_service")</f>
        <v/>
      </c>
      <c r="C2">
        <f>SUMIFS('EIA-861 Sales 2024'!$Y$4:$Y$55,'EIA-861 Sales 2024'!$Z$4:$Z$55,"procurement")</f>
        <v/>
      </c>
      <c r="D2">
        <f>B2+C2</f>
        <v/>
      </c>
      <c r="E2">
        <f>IF($D2=0,0,B2/$D2)</f>
        <v/>
      </c>
      <c r="F2">
        <f>IF($D2=0,0,C2/$D2)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3864"/>
    <outlinePr summaryBelow="1" summaryRight="1"/>
    <pageSetUpPr/>
  </sheetPr>
  <dimension ref="A1:AE2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sheetData>
    <row r="1">
      <c r="A1" t="inlineStr">
        <is>
          <t>Unit: dimensionless (% of demand)</t>
        </is>
      </c>
      <c r="B1" t="n">
        <v>2021</v>
      </c>
      <c r="C1" t="n">
        <v>2022</v>
      </c>
      <c r="D1" t="n">
        <v>2023</v>
      </c>
      <c r="E1" t="n">
        <v>2024</v>
      </c>
      <c r="F1" t="n">
        <v>2025</v>
      </c>
      <c r="G1" t="n">
        <v>2026</v>
      </c>
      <c r="H1" t="n">
        <v>2027</v>
      </c>
      <c r="I1" t="n">
        <v>2028</v>
      </c>
      <c r="J1" t="n">
        <v>2029</v>
      </c>
      <c r="K1" t="n">
        <v>2030</v>
      </c>
      <c r="L1" t="n">
        <v>2031</v>
      </c>
      <c r="M1" t="n">
        <v>2032</v>
      </c>
      <c r="N1" t="n">
        <v>2033</v>
      </c>
      <c r="O1" t="n">
        <v>2034</v>
      </c>
      <c r="P1" t="n">
        <v>2035</v>
      </c>
      <c r="Q1" t="n">
        <v>2036</v>
      </c>
      <c r="R1" t="n">
        <v>2037</v>
      </c>
      <c r="S1" t="n">
        <v>2038</v>
      </c>
      <c r="T1" t="n">
        <v>2039</v>
      </c>
      <c r="U1" t="n">
        <v>2040</v>
      </c>
      <c r="V1" t="n">
        <v>2041</v>
      </c>
      <c r="W1" t="n">
        <v>2042</v>
      </c>
      <c r="X1" t="n">
        <v>2043</v>
      </c>
      <c r="Y1" t="n">
        <v>2044</v>
      </c>
      <c r="Z1" t="n">
        <v>2045</v>
      </c>
      <c r="AA1" t="n">
        <v>2046</v>
      </c>
      <c r="AB1" t="n">
        <v>2047</v>
      </c>
      <c r="AC1" t="n">
        <v>2048</v>
      </c>
      <c r="AD1" t="n">
        <v>2049</v>
      </c>
      <c r="AE1" t="n">
        <v>2050</v>
      </c>
    </row>
    <row r="2">
      <c r="A2" t="inlineStr">
        <is>
          <t>Share that is Cost of Service</t>
        </is>
      </c>
      <c r="B2">
        <f>ROUND('Share'!$E$2,3)</f>
        <v/>
      </c>
      <c r="C2">
        <f>ROUND('Share'!$E$2,3)</f>
        <v/>
      </c>
      <c r="D2">
        <f>ROUND('Share'!$E$2,3)</f>
        <v/>
      </c>
      <c r="E2">
        <f>ROUND('Share'!$E$2,3)</f>
        <v/>
      </c>
      <c r="F2">
        <f>ROUND('Share'!$E$2,3)</f>
        <v/>
      </c>
      <c r="G2">
        <f>ROUND('Share'!$E$2,3)</f>
        <v/>
      </c>
      <c r="H2">
        <f>ROUND('Share'!$E$2,3)</f>
        <v/>
      </c>
      <c r="I2">
        <f>ROUND('Share'!$E$2,3)</f>
        <v/>
      </c>
      <c r="J2">
        <f>ROUND('Share'!$E$2,3)</f>
        <v/>
      </c>
      <c r="K2">
        <f>ROUND('Share'!$E$2,3)</f>
        <v/>
      </c>
      <c r="L2">
        <f>ROUND('Share'!$E$2,3)</f>
        <v/>
      </c>
      <c r="M2">
        <f>ROUND('Share'!$E$2,3)</f>
        <v/>
      </c>
      <c r="N2">
        <f>ROUND('Share'!$E$2,3)</f>
        <v/>
      </c>
      <c r="O2">
        <f>ROUND('Share'!$E$2,3)</f>
        <v/>
      </c>
      <c r="P2">
        <f>ROUND('Share'!$E$2,3)</f>
        <v/>
      </c>
      <c r="Q2">
        <f>ROUND('Share'!$E$2,3)</f>
        <v/>
      </c>
      <c r="R2">
        <f>ROUND('Share'!$E$2,3)</f>
        <v/>
      </c>
      <c r="S2">
        <f>ROUND('Share'!$E$2,3)</f>
        <v/>
      </c>
      <c r="T2">
        <f>ROUND('Share'!$E$2,3)</f>
        <v/>
      </c>
      <c r="U2">
        <f>ROUND('Share'!$E$2,3)</f>
        <v/>
      </c>
      <c r="V2">
        <f>ROUND('Share'!$E$2,3)</f>
        <v/>
      </c>
      <c r="W2">
        <f>ROUND('Share'!$E$2,3)</f>
        <v/>
      </c>
      <c r="X2">
        <f>ROUND('Share'!$E$2,3)</f>
        <v/>
      </c>
      <c r="Y2">
        <f>ROUND('Share'!$E$2,3)</f>
        <v/>
      </c>
      <c r="Z2">
        <f>ROUND('Share'!$E$2,3)</f>
        <v/>
      </c>
      <c r="AA2">
        <f>ROUND('Share'!$E$2,3)</f>
        <v/>
      </c>
      <c r="AB2">
        <f>ROUND('Share'!$E$2,3)</f>
        <v/>
      </c>
      <c r="AC2">
        <f>ROUND('Share'!$E$2,3)</f>
        <v/>
      </c>
      <c r="AD2">
        <f>ROUND('Share'!$E$2,3)</f>
        <v/>
      </c>
      <c r="AE2">
        <f>ROUND('Share'!$E$2,3)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2026-06-02T20:15:33Z</dcterms:created>
  <dcterms:modified xmlns:dcterms="http://purl.org/dc/terms/" xmlns:xsi="http://www.w3.org/2001/XMLSchema-instance" xsi:type="dcterms:W3CDTF">2026-06-02T20:15:33Z</dcterms:modified>
</cp:coreProperties>
</file>